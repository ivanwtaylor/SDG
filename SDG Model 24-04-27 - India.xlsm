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chartsheets/sheet1.xml" ContentType="application/vnd.openxmlformats-officedocument.spreadsheetml.chart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drawings/drawing12.xml" ContentType="application/vnd.openxmlformats-officedocument.drawing+xml"/>
  <Override PartName="/xl/charts/chart10.xml" ContentType="application/vnd.openxmlformats-officedocument.drawingml.chart+xml"/>
  <Override PartName="/xl/drawings/drawing13.xml" ContentType="application/vnd.openxmlformats-officedocument.drawing+xml"/>
  <Override PartName="/xl/charts/chart11.xml" ContentType="application/vnd.openxmlformats-officedocument.drawingml.chart+xml"/>
  <Override PartName="/xl/drawings/drawing14.xml" ContentType="application/vnd.openxmlformats-officedocument.drawing+xml"/>
  <Override PartName="/xl/charts/chart12.xml" ContentType="application/vnd.openxmlformats-officedocument.drawingml.chart+xml"/>
  <Override PartName="/xl/drawings/drawing15.xml" ContentType="application/vnd.openxmlformats-officedocument.drawing+xml"/>
  <Override PartName="/xl/charts/chart13.xml" ContentType="application/vnd.openxmlformats-officedocument.drawingml.chart+xml"/>
  <Override PartName="/xl/drawings/drawing16.xml" ContentType="application/vnd.openxmlformats-officedocument.drawing+xml"/>
  <Override PartName="/xl/charts/chart14.xml" ContentType="application/vnd.openxmlformats-officedocument.drawingml.chart+xml"/>
  <Override PartName="/xl/drawings/drawing17.xml" ContentType="application/vnd.openxmlformats-officedocument.drawing+xml"/>
  <Override PartName="/xl/charts/chart15.xml" ContentType="application/vnd.openxmlformats-officedocument.drawingml.chart+xml"/>
  <Override PartName="/xl/drawings/drawing18.xml" ContentType="application/vnd.openxmlformats-officedocument.drawing+xml"/>
  <Override PartName="/xl/charts/chart16.xml" ContentType="application/vnd.openxmlformats-officedocument.drawingml.chart+xml"/>
  <Override PartName="/xl/drawings/drawing19.xml" ContentType="application/vnd.openxmlformats-officedocument.drawing+xml"/>
  <Override PartName="/xl/charts/chart17.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18.xml" ContentType="application/vnd.openxmlformats-officedocument.drawingml.chart+xml"/>
  <Override PartName="/xl/drawings/drawing22.xml" ContentType="application/vnd.openxmlformats-officedocument.drawing+xml"/>
  <Override PartName="/xl/charts/chart19.xml" ContentType="application/vnd.openxmlformats-officedocument.drawingml.chart+xml"/>
  <Override PartName="/xl/drawings/drawing23.xml" ContentType="application/vnd.openxmlformats-officedocument.drawing+xml"/>
  <Override PartName="/xl/charts/chart20.xml" ContentType="application/vnd.openxmlformats-officedocument.drawingml.chart+xml"/>
  <Override PartName="/xl/drawings/drawing24.xml" ContentType="application/vnd.openxmlformats-officedocument.drawing+xml"/>
  <Override PartName="/xl/charts/chart2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Ivan\Documents\AAA Ivans Work\AAA System_Dynamics\SDG Paper\"/>
    </mc:Choice>
  </mc:AlternateContent>
  <xr:revisionPtr revIDLastSave="0" documentId="13_ncr:1_{8E85753F-B549-4481-8946-3E7D07DC04C7}" xr6:coauthVersionLast="47" xr6:coauthVersionMax="47" xr10:uidLastSave="{00000000-0000-0000-0000-000000000000}"/>
  <bookViews>
    <workbookView xWindow="-120" yWindow="-120" windowWidth="24240" windowHeight="13140" tabRatio="498" firstSheet="26" activeTab="30" xr2:uid="{00000000-000D-0000-FFFF-FFFF00000000}"/>
  </bookViews>
  <sheets>
    <sheet name="2023 Data" sheetId="1" r:id="rId1"/>
    <sheet name="2022 Data" sheetId="2" r:id="rId2"/>
    <sheet name="2021 Data" sheetId="3" r:id="rId3"/>
    <sheet name="2020 Data" sheetId="4" r:id="rId4"/>
    <sheet name="2019 Data" sheetId="5" r:id="rId5"/>
    <sheet name="2018 Data" sheetId="6" r:id="rId6"/>
    <sheet name="2017 Data" sheetId="7" r:id="rId7"/>
    <sheet name="SDG1" sheetId="8" r:id="rId8"/>
    <sheet name="SDG2" sheetId="9" r:id="rId9"/>
    <sheet name="SDG3" sheetId="10" r:id="rId10"/>
    <sheet name="SDG4" sheetId="11" r:id="rId11"/>
    <sheet name="SDG5" sheetId="12" r:id="rId12"/>
    <sheet name="SDG6" sheetId="13" r:id="rId13"/>
    <sheet name="SDG7" sheetId="14" r:id="rId14"/>
    <sheet name="SDG8" sheetId="15" r:id="rId15"/>
    <sheet name="SDG9" sheetId="16" r:id="rId16"/>
    <sheet name="SDG10" sheetId="17" r:id="rId17"/>
    <sheet name="SDG11" sheetId="18" r:id="rId18"/>
    <sheet name="SDG12" sheetId="19" r:id="rId19"/>
    <sheet name="SDG13" sheetId="20" r:id="rId20"/>
    <sheet name="SDG14" sheetId="21" r:id="rId21"/>
    <sheet name="SDG15" sheetId="22" r:id="rId22"/>
    <sheet name="SDG16" sheetId="23" r:id="rId23"/>
    <sheet name="SDG17" sheetId="24" r:id="rId24"/>
    <sheet name="Model Structure" sheetId="25" r:id="rId25"/>
    <sheet name="Minimums" sheetId="26" r:id="rId26"/>
    <sheet name="Scenarios" sheetId="27" r:id="rId27"/>
    <sheet name="SDGs 1-9" sheetId="28" r:id="rId28"/>
    <sheet name="SDGs 10-17" sheetId="29" r:id="rId29"/>
    <sheet name="Chart1" sheetId="33" r:id="rId30"/>
    <sheet name="Model" sheetId="30" r:id="rId31"/>
    <sheet name="Policies" sheetId="32" r:id="rId32"/>
    <sheet name="Time Series" sheetId="31" r:id="rId33"/>
  </sheets>
  <definedNames>
    <definedName name="solver_adj" localSheetId="30" hidden="1">Model!$I$139:$I$155</definedName>
    <definedName name="solver_cvg" localSheetId="30" hidden="1">0.0001</definedName>
    <definedName name="solver_drv" localSheetId="30" hidden="1">1</definedName>
    <definedName name="solver_eng" localSheetId="30" hidden="1">1</definedName>
    <definedName name="solver_est" localSheetId="30" hidden="1">1</definedName>
    <definedName name="solver_itr" localSheetId="30" hidden="1">10000</definedName>
    <definedName name="solver_lhs1" localSheetId="30" hidden="1">Model!$H$139:$H$155</definedName>
    <definedName name="solver_lhs10" localSheetId="30" hidden="1">Model!$F$122:$F$138</definedName>
    <definedName name="solver_lhs11" localSheetId="30" hidden="1">Model!$F$139:$F$172</definedName>
    <definedName name="solver_lhs12" localSheetId="30" hidden="1">Model!$F$139:$F$172</definedName>
    <definedName name="solver_lhs2" localSheetId="30" hidden="1">Model!$H$139:$H$155</definedName>
    <definedName name="solver_lhs3" localSheetId="30" hidden="1">Model!$K$139</definedName>
    <definedName name="solver_lhs4" localSheetId="30" hidden="1">Model!$F$139:$F$172</definedName>
    <definedName name="solver_lhs5" localSheetId="30" hidden="1">Model!$F$139:$F$172</definedName>
    <definedName name="solver_lhs6" localSheetId="30" hidden="1">Model!$F$139:$F$172</definedName>
    <definedName name="solver_lhs7" localSheetId="30" hidden="1">Model!$F$139:$F$172</definedName>
    <definedName name="solver_lhs8" localSheetId="30" hidden="1">Model!$F$139:$F$172</definedName>
    <definedName name="solver_lhs9" localSheetId="30" hidden="1">Model!$F$122:$F$138</definedName>
    <definedName name="solver_lin" localSheetId="30" hidden="1">2</definedName>
    <definedName name="solver_mip" localSheetId="30" hidden="1">2147483647</definedName>
    <definedName name="solver_mni" localSheetId="30" hidden="1">30</definedName>
    <definedName name="solver_mrt" localSheetId="30" hidden="1">0.075</definedName>
    <definedName name="solver_msl" localSheetId="30" hidden="1">2</definedName>
    <definedName name="solver_neg" localSheetId="30" hidden="1">1</definedName>
    <definedName name="solver_nod" localSheetId="30" hidden="1">2147483647</definedName>
    <definedName name="solver_num" localSheetId="30" hidden="1">3</definedName>
    <definedName name="solver_nwt" localSheetId="30" hidden="1">1</definedName>
    <definedName name="solver_opt" localSheetId="30" hidden="1">Model!$J$139</definedName>
    <definedName name="solver_pre" localSheetId="30" hidden="1">0.000001</definedName>
    <definedName name="solver_rbv" localSheetId="30" hidden="1">1</definedName>
    <definedName name="solver_rel1" localSheetId="30" hidden="1">3</definedName>
    <definedName name="solver_rel10" localSheetId="30" hidden="1">1</definedName>
    <definedName name="solver_rel11" localSheetId="30" hidden="1">3</definedName>
    <definedName name="solver_rel12" localSheetId="30" hidden="1">1</definedName>
    <definedName name="solver_rel2" localSheetId="30" hidden="1">1</definedName>
    <definedName name="solver_rel3" localSheetId="30" hidden="1">1</definedName>
    <definedName name="solver_rel4" localSheetId="30" hidden="1">1</definedName>
    <definedName name="solver_rel5" localSheetId="30" hidden="1">3</definedName>
    <definedName name="solver_rel6" localSheetId="30" hidden="1">1</definedName>
    <definedName name="solver_rel7" localSheetId="30" hidden="1">3</definedName>
    <definedName name="solver_rel8" localSheetId="30" hidden="1">1</definedName>
    <definedName name="solver_rel9" localSheetId="30" hidden="1">3</definedName>
    <definedName name="solver_rhs1" localSheetId="30" hidden="1">0.1</definedName>
    <definedName name="solver_rhs10" localSheetId="30" hidden="1">10</definedName>
    <definedName name="solver_rhs11" localSheetId="30" hidden="1">0.1</definedName>
    <definedName name="solver_rhs12" localSheetId="30" hidden="1">2</definedName>
    <definedName name="solver_rhs2" localSheetId="30" hidden="1">2</definedName>
    <definedName name="solver_rhs3" localSheetId="30" hidden="1">Model!L139</definedName>
    <definedName name="solver_rhs4" localSheetId="30" hidden="1">2</definedName>
    <definedName name="solver_rhs5" localSheetId="30" hidden="1">0.1</definedName>
    <definedName name="solver_rhs6" localSheetId="30" hidden="1">2</definedName>
    <definedName name="solver_rhs7" localSheetId="30" hidden="1">0.1</definedName>
    <definedName name="solver_rhs8" localSheetId="30" hidden="1">2</definedName>
    <definedName name="solver_rhs9" localSheetId="30" hidden="1">1</definedName>
    <definedName name="solver_rlx" localSheetId="30" hidden="1">1</definedName>
    <definedName name="solver_rsd" localSheetId="30" hidden="1">0</definedName>
    <definedName name="solver_scl" localSheetId="30" hidden="1">2</definedName>
    <definedName name="solver_sho" localSheetId="30" hidden="1">2</definedName>
    <definedName name="solver_ssz" localSheetId="30" hidden="1">100</definedName>
    <definedName name="solver_tim" localSheetId="30" hidden="1">10000</definedName>
    <definedName name="solver_tol" localSheetId="30" hidden="1">0.05</definedName>
    <definedName name="solver_typ" localSheetId="30" hidden="1">1</definedName>
    <definedName name="solver_val" localSheetId="30" hidden="1">0</definedName>
    <definedName name="solver_ver" localSheetId="30" hidden="1">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72" i="30" l="1"/>
  <c r="N171" i="30"/>
  <c r="N170" i="30"/>
  <c r="N169" i="30"/>
  <c r="N168" i="30"/>
  <c r="N167" i="30"/>
  <c r="N166" i="30"/>
  <c r="N165" i="30"/>
  <c r="N164" i="30"/>
  <c r="N163" i="30"/>
  <c r="N162" i="30"/>
  <c r="N161" i="30"/>
  <c r="N160" i="30"/>
  <c r="N159" i="30"/>
  <c r="N158" i="30"/>
  <c r="N157" i="30"/>
  <c r="N156" i="30"/>
  <c r="M172" i="30"/>
  <c r="M171" i="30"/>
  <c r="M170" i="30"/>
  <c r="M169" i="30"/>
  <c r="M168" i="30"/>
  <c r="M167" i="30"/>
  <c r="M166" i="30"/>
  <c r="M165" i="30"/>
  <c r="M164" i="30"/>
  <c r="M163" i="30"/>
  <c r="M162" i="30"/>
  <c r="M161" i="30"/>
  <c r="M160" i="30"/>
  <c r="M159" i="30"/>
  <c r="M158" i="30"/>
  <c r="M157" i="30"/>
  <c r="M156" i="30"/>
  <c r="AF253" i="30"/>
  <c r="AE253" i="30"/>
  <c r="AD253" i="30"/>
  <c r="AC253" i="30"/>
  <c r="AB253" i="30"/>
  <c r="AA253" i="30"/>
  <c r="Z253" i="30"/>
  <c r="Y253" i="30"/>
  <c r="X253" i="30"/>
  <c r="W253" i="30"/>
  <c r="V253" i="30"/>
  <c r="U253" i="30"/>
  <c r="T253" i="30"/>
  <c r="S253" i="30"/>
  <c r="R253" i="30"/>
  <c r="Q253" i="30"/>
  <c r="P253" i="30"/>
  <c r="O253" i="30"/>
  <c r="N253" i="30"/>
  <c r="M253" i="30"/>
  <c r="L253" i="30"/>
  <c r="K253" i="30"/>
  <c r="J253" i="30"/>
  <c r="I253" i="30"/>
  <c r="H253" i="30"/>
  <c r="G253" i="30"/>
  <c r="F253" i="30"/>
  <c r="E253" i="30"/>
  <c r="D253" i="30"/>
  <c r="C253" i="30"/>
  <c r="B253" i="30"/>
  <c r="AF248" i="30"/>
  <c r="AE248" i="30"/>
  <c r="AD248" i="30"/>
  <c r="AC248" i="30"/>
  <c r="AB248" i="30"/>
  <c r="AA248" i="30"/>
  <c r="Z248" i="30"/>
  <c r="Y248" i="30"/>
  <c r="X248" i="30"/>
  <c r="W248" i="30"/>
  <c r="V248" i="30"/>
  <c r="U248" i="30"/>
  <c r="T248" i="30"/>
  <c r="S248" i="30"/>
  <c r="R248" i="30"/>
  <c r="Q248" i="30"/>
  <c r="P248" i="30"/>
  <c r="O248" i="30"/>
  <c r="N248" i="30"/>
  <c r="M248" i="30"/>
  <c r="L248" i="30"/>
  <c r="K248" i="30"/>
  <c r="J248" i="30"/>
  <c r="I248" i="30"/>
  <c r="H248" i="30"/>
  <c r="G248" i="30"/>
  <c r="F248" i="30"/>
  <c r="E248" i="30"/>
  <c r="D248" i="30"/>
  <c r="C248" i="30"/>
  <c r="B248" i="30"/>
  <c r="AF243" i="30"/>
  <c r="AE243" i="30"/>
  <c r="AD243" i="30"/>
  <c r="AC243" i="30"/>
  <c r="AB243" i="30"/>
  <c r="AA243" i="30"/>
  <c r="Z243" i="30"/>
  <c r="Y243" i="30"/>
  <c r="X243" i="30"/>
  <c r="W243" i="30"/>
  <c r="V243" i="30"/>
  <c r="U243" i="30"/>
  <c r="T243" i="30"/>
  <c r="S243" i="30"/>
  <c r="R243" i="30"/>
  <c r="Q243" i="30"/>
  <c r="P243" i="30"/>
  <c r="O243" i="30"/>
  <c r="N243" i="30"/>
  <c r="M243" i="30"/>
  <c r="L243" i="30"/>
  <c r="K243" i="30"/>
  <c r="J243" i="30"/>
  <c r="I243" i="30"/>
  <c r="H243" i="30"/>
  <c r="G243" i="30"/>
  <c r="F243" i="30"/>
  <c r="E243" i="30"/>
  <c r="D243" i="30"/>
  <c r="C243" i="30"/>
  <c r="B243" i="30"/>
  <c r="AF238" i="30"/>
  <c r="AE238" i="30"/>
  <c r="AD238" i="30"/>
  <c r="AC238" i="30"/>
  <c r="AB238" i="30"/>
  <c r="AA238" i="30"/>
  <c r="Z238" i="30"/>
  <c r="Y238" i="30"/>
  <c r="X238" i="30"/>
  <c r="W238" i="30"/>
  <c r="V238" i="30"/>
  <c r="U238" i="30"/>
  <c r="T238" i="30"/>
  <c r="S238" i="30"/>
  <c r="R238" i="30"/>
  <c r="Q238" i="30"/>
  <c r="P238" i="30"/>
  <c r="O238" i="30"/>
  <c r="N238" i="30"/>
  <c r="M238" i="30"/>
  <c r="L238" i="30"/>
  <c r="K238" i="30"/>
  <c r="J238" i="30"/>
  <c r="I238" i="30"/>
  <c r="H238" i="30"/>
  <c r="G238" i="30"/>
  <c r="F238" i="30"/>
  <c r="E238" i="30"/>
  <c r="D238" i="30"/>
  <c r="C238" i="30"/>
  <c r="B238" i="30"/>
  <c r="AF233" i="30"/>
  <c r="AE233" i="30"/>
  <c r="AD233" i="30"/>
  <c r="AC233" i="30"/>
  <c r="AB233" i="30"/>
  <c r="AA233" i="30"/>
  <c r="Z233" i="30"/>
  <c r="Y233" i="30"/>
  <c r="X233" i="30"/>
  <c r="W233" i="30"/>
  <c r="V233" i="30"/>
  <c r="U233" i="30"/>
  <c r="T233" i="30"/>
  <c r="S233" i="30"/>
  <c r="R233" i="30"/>
  <c r="Q233" i="30"/>
  <c r="P233" i="30"/>
  <c r="O233" i="30"/>
  <c r="N233" i="30"/>
  <c r="M233" i="30"/>
  <c r="L233" i="30"/>
  <c r="K233" i="30"/>
  <c r="J233" i="30"/>
  <c r="I233" i="30"/>
  <c r="H233" i="30"/>
  <c r="G233" i="30"/>
  <c r="F233" i="30"/>
  <c r="E233" i="30"/>
  <c r="D233" i="30"/>
  <c r="C233" i="30"/>
  <c r="B233" i="30"/>
  <c r="AF228" i="30"/>
  <c r="AE228" i="30"/>
  <c r="AD228" i="30"/>
  <c r="AC228" i="30"/>
  <c r="AB228" i="30"/>
  <c r="AA228" i="30"/>
  <c r="Z228" i="30"/>
  <c r="Y228" i="30"/>
  <c r="X228" i="30"/>
  <c r="W228" i="30"/>
  <c r="V228" i="30"/>
  <c r="U228" i="30"/>
  <c r="T228" i="30"/>
  <c r="S228" i="30"/>
  <c r="R228" i="30"/>
  <c r="Q228" i="30"/>
  <c r="P228" i="30"/>
  <c r="O228" i="30"/>
  <c r="N228" i="30"/>
  <c r="M228" i="30"/>
  <c r="L228" i="30"/>
  <c r="K228" i="30"/>
  <c r="J228" i="30"/>
  <c r="I228" i="30"/>
  <c r="H228" i="30"/>
  <c r="G228" i="30"/>
  <c r="F228" i="30"/>
  <c r="E228" i="30"/>
  <c r="D228" i="30"/>
  <c r="C228" i="30"/>
  <c r="B228" i="30"/>
  <c r="AF223" i="30"/>
  <c r="AE223" i="30"/>
  <c r="AD223" i="30"/>
  <c r="AC223" i="30"/>
  <c r="AB223" i="30"/>
  <c r="AA223" i="30"/>
  <c r="Z223" i="30"/>
  <c r="Y223" i="30"/>
  <c r="X223" i="30"/>
  <c r="W223" i="30"/>
  <c r="V223" i="30"/>
  <c r="U223" i="30"/>
  <c r="T223" i="30"/>
  <c r="S223" i="30"/>
  <c r="R223" i="30"/>
  <c r="Q223" i="30"/>
  <c r="P223" i="30"/>
  <c r="O223" i="30"/>
  <c r="N223" i="30"/>
  <c r="M223" i="30"/>
  <c r="L223" i="30"/>
  <c r="K223" i="30"/>
  <c r="J223" i="30"/>
  <c r="I223" i="30"/>
  <c r="H223" i="30"/>
  <c r="G223" i="30"/>
  <c r="F223" i="30"/>
  <c r="E223" i="30"/>
  <c r="D223" i="30"/>
  <c r="C223" i="30"/>
  <c r="B223" i="30"/>
  <c r="AF218" i="30"/>
  <c r="AE218" i="30"/>
  <c r="AD218" i="30"/>
  <c r="AC218" i="30"/>
  <c r="AB218" i="30"/>
  <c r="AA218" i="30"/>
  <c r="Z218" i="30"/>
  <c r="Y218" i="30"/>
  <c r="X218" i="30"/>
  <c r="W218" i="30"/>
  <c r="V218" i="30"/>
  <c r="U218" i="30"/>
  <c r="T218" i="30"/>
  <c r="S218" i="30"/>
  <c r="R218" i="30"/>
  <c r="Q218" i="30"/>
  <c r="P218" i="30"/>
  <c r="O218" i="30"/>
  <c r="N218" i="30"/>
  <c r="M218" i="30"/>
  <c r="L218" i="30"/>
  <c r="K218" i="30"/>
  <c r="J218" i="30"/>
  <c r="I218" i="30"/>
  <c r="H218" i="30"/>
  <c r="G218" i="30"/>
  <c r="F218" i="30"/>
  <c r="E218" i="30"/>
  <c r="D218" i="30"/>
  <c r="C218" i="30"/>
  <c r="B218" i="30"/>
  <c r="AF213" i="30"/>
  <c r="AE213" i="30"/>
  <c r="AD213" i="30"/>
  <c r="AC213" i="30"/>
  <c r="AB213" i="30"/>
  <c r="AA213" i="30"/>
  <c r="Z213" i="30"/>
  <c r="Y213" i="30"/>
  <c r="X213" i="30"/>
  <c r="W213" i="30"/>
  <c r="V213" i="30"/>
  <c r="U213" i="30"/>
  <c r="T213" i="30"/>
  <c r="S213" i="30"/>
  <c r="R213" i="30"/>
  <c r="Q213" i="30"/>
  <c r="P213" i="30"/>
  <c r="O213" i="30"/>
  <c r="N213" i="30"/>
  <c r="M213" i="30"/>
  <c r="L213" i="30"/>
  <c r="K213" i="30"/>
  <c r="J213" i="30"/>
  <c r="I213" i="30"/>
  <c r="H213" i="30"/>
  <c r="G213" i="30"/>
  <c r="F213" i="30"/>
  <c r="E213" i="30"/>
  <c r="D213" i="30"/>
  <c r="C213" i="30"/>
  <c r="B213" i="30"/>
  <c r="AF208" i="30"/>
  <c r="AE208" i="30"/>
  <c r="AD208" i="30"/>
  <c r="AC208" i="30"/>
  <c r="AB208" i="30"/>
  <c r="AA208" i="30"/>
  <c r="Z208" i="30"/>
  <c r="Y208" i="30"/>
  <c r="X208" i="30"/>
  <c r="W208" i="30"/>
  <c r="V208" i="30"/>
  <c r="U208" i="30"/>
  <c r="T208" i="30"/>
  <c r="S208" i="30"/>
  <c r="R208" i="30"/>
  <c r="Q208" i="30"/>
  <c r="P208" i="30"/>
  <c r="O208" i="30"/>
  <c r="N208" i="30"/>
  <c r="M208" i="30"/>
  <c r="L208" i="30"/>
  <c r="K208" i="30"/>
  <c r="J208" i="30"/>
  <c r="I208" i="30"/>
  <c r="H208" i="30"/>
  <c r="G208" i="30"/>
  <c r="F208" i="30"/>
  <c r="E208" i="30"/>
  <c r="D208" i="30"/>
  <c r="C208" i="30"/>
  <c r="B208" i="30"/>
  <c r="AF203" i="30"/>
  <c r="AE203" i="30"/>
  <c r="AD203" i="30"/>
  <c r="AC203" i="30"/>
  <c r="AB203" i="30"/>
  <c r="AA203" i="30"/>
  <c r="Z203" i="30"/>
  <c r="Y203" i="30"/>
  <c r="X203" i="30"/>
  <c r="W203" i="30"/>
  <c r="V203" i="30"/>
  <c r="U203" i="30"/>
  <c r="T203" i="30"/>
  <c r="S203" i="30"/>
  <c r="R203" i="30"/>
  <c r="Q203" i="30"/>
  <c r="P203" i="30"/>
  <c r="O203" i="30"/>
  <c r="N203" i="30"/>
  <c r="M203" i="30"/>
  <c r="L203" i="30"/>
  <c r="K203" i="30"/>
  <c r="J203" i="30"/>
  <c r="I203" i="30"/>
  <c r="H203" i="30"/>
  <c r="G203" i="30"/>
  <c r="F203" i="30"/>
  <c r="E203" i="30"/>
  <c r="D203" i="30"/>
  <c r="C203" i="30"/>
  <c r="B203" i="30"/>
  <c r="AF198" i="30"/>
  <c r="AE198" i="30"/>
  <c r="AD198" i="30"/>
  <c r="AC198" i="30"/>
  <c r="AB198" i="30"/>
  <c r="AA198" i="30"/>
  <c r="Z198" i="30"/>
  <c r="Y198" i="30"/>
  <c r="X198" i="30"/>
  <c r="W198" i="30"/>
  <c r="V198" i="30"/>
  <c r="U198" i="30"/>
  <c r="T198" i="30"/>
  <c r="S198" i="30"/>
  <c r="R198" i="30"/>
  <c r="Q198" i="30"/>
  <c r="P198" i="30"/>
  <c r="O198" i="30"/>
  <c r="N198" i="30"/>
  <c r="M198" i="30"/>
  <c r="L198" i="30"/>
  <c r="K198" i="30"/>
  <c r="J198" i="30"/>
  <c r="I198" i="30"/>
  <c r="H198" i="30"/>
  <c r="G198" i="30"/>
  <c r="F198" i="30"/>
  <c r="E198" i="30"/>
  <c r="D198" i="30"/>
  <c r="C198" i="30"/>
  <c r="B198" i="30"/>
  <c r="AF193" i="30"/>
  <c r="AE193" i="30"/>
  <c r="AD193" i="30"/>
  <c r="AC193" i="30"/>
  <c r="AB193" i="30"/>
  <c r="AA193" i="30"/>
  <c r="Z193" i="30"/>
  <c r="Y193" i="30"/>
  <c r="X193" i="30"/>
  <c r="W193" i="30"/>
  <c r="V193" i="30"/>
  <c r="U193" i="30"/>
  <c r="T193" i="30"/>
  <c r="S193" i="30"/>
  <c r="R193" i="30"/>
  <c r="Q193" i="30"/>
  <c r="P193" i="30"/>
  <c r="O193" i="30"/>
  <c r="N193" i="30"/>
  <c r="M193" i="30"/>
  <c r="L193" i="30"/>
  <c r="K193" i="30"/>
  <c r="J193" i="30"/>
  <c r="I193" i="30"/>
  <c r="H193" i="30"/>
  <c r="G193" i="30"/>
  <c r="F193" i="30"/>
  <c r="E193" i="30"/>
  <c r="D193" i="30"/>
  <c r="C193" i="30"/>
  <c r="B193" i="30"/>
  <c r="AF188" i="30"/>
  <c r="AE188" i="30"/>
  <c r="AD188" i="30"/>
  <c r="AC188" i="30"/>
  <c r="AB188" i="30"/>
  <c r="AA188" i="30"/>
  <c r="Z188" i="30"/>
  <c r="Y188" i="30"/>
  <c r="X188" i="30"/>
  <c r="W188" i="30"/>
  <c r="V188" i="30"/>
  <c r="U188" i="30"/>
  <c r="T188" i="30"/>
  <c r="S188" i="30"/>
  <c r="R188" i="30"/>
  <c r="Q188" i="30"/>
  <c r="P188" i="30"/>
  <c r="O188" i="30"/>
  <c r="N188" i="30"/>
  <c r="M188" i="30"/>
  <c r="L188" i="30"/>
  <c r="K188" i="30"/>
  <c r="J188" i="30"/>
  <c r="I188" i="30"/>
  <c r="H188" i="30"/>
  <c r="G188" i="30"/>
  <c r="F188" i="30"/>
  <c r="E188" i="30"/>
  <c r="D188" i="30"/>
  <c r="C188" i="30"/>
  <c r="B188" i="30"/>
  <c r="B185" i="30"/>
  <c r="B186" i="30" s="1"/>
  <c r="AF183" i="30"/>
  <c r="AE183" i="30"/>
  <c r="AD183" i="30"/>
  <c r="AC183" i="30"/>
  <c r="AB183" i="30"/>
  <c r="AA183" i="30"/>
  <c r="Z183" i="30"/>
  <c r="Y183" i="30"/>
  <c r="X183" i="30"/>
  <c r="W183" i="30"/>
  <c r="V183" i="30"/>
  <c r="U183" i="30"/>
  <c r="T183" i="30"/>
  <c r="S183" i="30"/>
  <c r="R183" i="30"/>
  <c r="Q183" i="30"/>
  <c r="P183" i="30"/>
  <c r="O183" i="30"/>
  <c r="N183" i="30"/>
  <c r="M183" i="30"/>
  <c r="L183" i="30"/>
  <c r="K183" i="30"/>
  <c r="J183" i="30"/>
  <c r="I183" i="30"/>
  <c r="H183" i="30"/>
  <c r="G183" i="30"/>
  <c r="F183" i="30"/>
  <c r="E183" i="30"/>
  <c r="D183" i="30"/>
  <c r="C183" i="30"/>
  <c r="B183" i="30"/>
  <c r="AF178" i="30"/>
  <c r="AE178" i="30"/>
  <c r="AD178" i="30"/>
  <c r="AC178" i="30"/>
  <c r="AB178" i="30"/>
  <c r="AA178" i="30"/>
  <c r="Z178" i="30"/>
  <c r="Y178" i="30"/>
  <c r="X178" i="30"/>
  <c r="W178" i="30"/>
  <c r="V178" i="30"/>
  <c r="U178" i="30"/>
  <c r="T178" i="30"/>
  <c r="S178" i="30"/>
  <c r="R178" i="30"/>
  <c r="Q178" i="30"/>
  <c r="P178" i="30"/>
  <c r="O178" i="30"/>
  <c r="N178" i="30"/>
  <c r="M178" i="30"/>
  <c r="L178" i="30"/>
  <c r="K178" i="30"/>
  <c r="J178" i="30"/>
  <c r="I178" i="30"/>
  <c r="H178" i="30"/>
  <c r="G178" i="30"/>
  <c r="F178" i="30"/>
  <c r="E178" i="30"/>
  <c r="D178" i="30"/>
  <c r="C178" i="30"/>
  <c r="B178" i="30"/>
  <c r="B175" i="30"/>
  <c r="B176" i="30" s="1"/>
  <c r="AF173" i="30"/>
  <c r="AE173" i="30"/>
  <c r="AD173" i="30"/>
  <c r="AC173" i="30"/>
  <c r="AB173" i="30"/>
  <c r="AA173" i="30"/>
  <c r="Z173" i="30"/>
  <c r="Y173" i="30"/>
  <c r="X173" i="30"/>
  <c r="W173" i="30"/>
  <c r="V173" i="30"/>
  <c r="U173" i="30"/>
  <c r="T173" i="30"/>
  <c r="S173" i="30"/>
  <c r="R173" i="30"/>
  <c r="Q173" i="30"/>
  <c r="P173" i="30"/>
  <c r="O173" i="30"/>
  <c r="N173" i="30"/>
  <c r="M173" i="30"/>
  <c r="L173" i="30"/>
  <c r="K173" i="30"/>
  <c r="J173" i="30"/>
  <c r="I173" i="30"/>
  <c r="H173" i="30"/>
  <c r="G173" i="30"/>
  <c r="F173" i="30"/>
  <c r="E173" i="30"/>
  <c r="D173" i="30"/>
  <c r="C173" i="30"/>
  <c r="B173" i="30"/>
  <c r="G172" i="30"/>
  <c r="F172" i="30"/>
  <c r="E172" i="30"/>
  <c r="D172" i="30"/>
  <c r="C172" i="30"/>
  <c r="G171" i="30"/>
  <c r="F171" i="30"/>
  <c r="E171" i="30"/>
  <c r="D171" i="30"/>
  <c r="C171" i="30"/>
  <c r="G170" i="30"/>
  <c r="F170" i="30"/>
  <c r="E170" i="30"/>
  <c r="D170" i="30"/>
  <c r="C170" i="30"/>
  <c r="G169" i="30"/>
  <c r="F169" i="30"/>
  <c r="E169" i="30"/>
  <c r="D169" i="30"/>
  <c r="C169" i="30"/>
  <c r="G168" i="30"/>
  <c r="F168" i="30"/>
  <c r="E168" i="30"/>
  <c r="D168" i="30"/>
  <c r="C168" i="30"/>
  <c r="G167" i="30"/>
  <c r="F167" i="30"/>
  <c r="E167" i="30"/>
  <c r="D167" i="30"/>
  <c r="C167" i="30"/>
  <c r="G166" i="30"/>
  <c r="F166" i="30"/>
  <c r="E166" i="30"/>
  <c r="D166" i="30"/>
  <c r="C166" i="30"/>
  <c r="G165" i="30"/>
  <c r="F165" i="30"/>
  <c r="E165" i="30"/>
  <c r="D165" i="30"/>
  <c r="C165" i="30"/>
  <c r="G164" i="30"/>
  <c r="F164" i="30"/>
  <c r="E164" i="30"/>
  <c r="D164" i="30"/>
  <c r="C164" i="30"/>
  <c r="G163" i="30"/>
  <c r="F163" i="30"/>
  <c r="E163" i="30"/>
  <c r="D163" i="30"/>
  <c r="C163" i="30"/>
  <c r="G162" i="30"/>
  <c r="F162" i="30"/>
  <c r="E162" i="30"/>
  <c r="D162" i="30"/>
  <c r="C162" i="30"/>
  <c r="G161" i="30"/>
  <c r="F161" i="30"/>
  <c r="E161" i="30"/>
  <c r="D161" i="30"/>
  <c r="C161" i="30"/>
  <c r="G160" i="30"/>
  <c r="F160" i="30"/>
  <c r="E160" i="30"/>
  <c r="D160" i="30"/>
  <c r="C160" i="30"/>
  <c r="G159" i="30"/>
  <c r="F159" i="30"/>
  <c r="E159" i="30"/>
  <c r="D159" i="30"/>
  <c r="C159" i="30"/>
  <c r="G158" i="30"/>
  <c r="F158" i="30"/>
  <c r="E158" i="30"/>
  <c r="D158" i="30"/>
  <c r="C158" i="30"/>
  <c r="G157" i="30"/>
  <c r="F157" i="30"/>
  <c r="E157" i="30"/>
  <c r="D157" i="30"/>
  <c r="C157" i="30"/>
  <c r="G156" i="30"/>
  <c r="F156" i="30"/>
  <c r="E156" i="30"/>
  <c r="D156" i="30"/>
  <c r="C156" i="30"/>
  <c r="B70" i="30"/>
  <c r="B53" i="30"/>
  <c r="B87" i="30" s="1"/>
  <c r="C70" i="30"/>
  <c r="C53" i="30"/>
  <c r="C87" i="30" s="1"/>
  <c r="D70" i="30"/>
  <c r="D53" i="30"/>
  <c r="D87" i="30" s="1"/>
  <c r="E70" i="30"/>
  <c r="E53" i="30"/>
  <c r="E87" i="30" s="1"/>
  <c r="F70" i="30"/>
  <c r="F53" i="30"/>
  <c r="F87" i="30" s="1"/>
  <c r="G70" i="30"/>
  <c r="G53" i="30"/>
  <c r="G87" i="30" s="1"/>
  <c r="H70" i="30"/>
  <c r="H53" i="30"/>
  <c r="H87" i="30" s="1"/>
  <c r="I70" i="30"/>
  <c r="I53" i="30"/>
  <c r="I87" i="30" s="1"/>
  <c r="J70" i="30"/>
  <c r="J53" i="30"/>
  <c r="J87" i="30" s="1"/>
  <c r="K70" i="30"/>
  <c r="K53" i="30"/>
  <c r="K87" i="30" s="1"/>
  <c r="L70" i="30"/>
  <c r="L53" i="30"/>
  <c r="L87" i="30" s="1"/>
  <c r="M70" i="30"/>
  <c r="M53" i="30"/>
  <c r="M87" i="30" s="1"/>
  <c r="N70" i="30"/>
  <c r="N53" i="30"/>
  <c r="N87" i="30" s="1"/>
  <c r="O70" i="30"/>
  <c r="O53" i="30"/>
  <c r="O87" i="30" s="1"/>
  <c r="P70" i="30"/>
  <c r="P53" i="30"/>
  <c r="P87" i="30" s="1"/>
  <c r="Q70" i="30"/>
  <c r="Q53" i="30"/>
  <c r="Q87" i="30" s="1"/>
  <c r="R70" i="30"/>
  <c r="R53" i="30"/>
  <c r="R87" i="30" s="1"/>
  <c r="S70" i="30"/>
  <c r="S53" i="30"/>
  <c r="S87" i="30" s="1"/>
  <c r="T70" i="30"/>
  <c r="T53" i="30"/>
  <c r="T87" i="30" s="1"/>
  <c r="U70" i="30"/>
  <c r="U53" i="30"/>
  <c r="U87" i="30" s="1"/>
  <c r="V70" i="30"/>
  <c r="V53" i="30"/>
  <c r="V87" i="30" s="1"/>
  <c r="W70" i="30"/>
  <c r="W53" i="30"/>
  <c r="W87" i="30" s="1"/>
  <c r="X70" i="30"/>
  <c r="X53" i="30"/>
  <c r="X87" i="30" s="1"/>
  <c r="Y70" i="30"/>
  <c r="Y53" i="30"/>
  <c r="Y87" i="30" s="1"/>
  <c r="Z70" i="30"/>
  <c r="Z53" i="30"/>
  <c r="Z87" i="30" s="1"/>
  <c r="AA70" i="30"/>
  <c r="AA53" i="30"/>
  <c r="AA87" i="30" s="1"/>
  <c r="AB70" i="30"/>
  <c r="AB53" i="30"/>
  <c r="AB87" i="30" s="1"/>
  <c r="AC70" i="30"/>
  <c r="AC53" i="30"/>
  <c r="AC87" i="30" s="1"/>
  <c r="AD70" i="30"/>
  <c r="AD53" i="30"/>
  <c r="AD87" i="30" s="1"/>
  <c r="AE70" i="30"/>
  <c r="AE53" i="30"/>
  <c r="AE87" i="30" s="1"/>
  <c r="AF70" i="30"/>
  <c r="AF53" i="30"/>
  <c r="AF87" i="30" s="1"/>
  <c r="AG70" i="30"/>
  <c r="AG53" i="30"/>
  <c r="AG87" i="30" s="1"/>
  <c r="AH70" i="30"/>
  <c r="AH53" i="30"/>
  <c r="AH87" i="30" s="1"/>
  <c r="AI70" i="30"/>
  <c r="AI53" i="30"/>
  <c r="AI87" i="30" s="1"/>
  <c r="AJ70" i="30"/>
  <c r="AJ53" i="30"/>
  <c r="AJ87" i="30" s="1"/>
  <c r="AK70" i="30"/>
  <c r="AK53" i="30"/>
  <c r="AK87" i="30" s="1"/>
  <c r="AL70" i="30"/>
  <c r="AL53" i="30"/>
  <c r="AL87" i="30" s="1"/>
  <c r="AM70" i="30"/>
  <c r="AM53" i="30"/>
  <c r="AM87" i="30" s="1"/>
  <c r="AN70" i="30"/>
  <c r="AN53" i="30"/>
  <c r="AN87" i="30" s="1"/>
  <c r="AO70" i="30"/>
  <c r="AO53" i="30"/>
  <c r="AO87" i="30" s="1"/>
  <c r="AP53" i="30"/>
  <c r="AP87" i="30" s="1"/>
  <c r="AP70" i="30"/>
  <c r="AQ53" i="30"/>
  <c r="AQ87" i="30" s="1"/>
  <c r="AQ70" i="30"/>
  <c r="AR53" i="30"/>
  <c r="AR87" i="30" s="1"/>
  <c r="AR70" i="30"/>
  <c r="AS53" i="30"/>
  <c r="AS87" i="30" s="1"/>
  <c r="AS70" i="30"/>
  <c r="AT53" i="30"/>
  <c r="AT87" i="30" s="1"/>
  <c r="AT70" i="30"/>
  <c r="AU53" i="30"/>
  <c r="AU87" i="30" s="1"/>
  <c r="AU70" i="30"/>
  <c r="AV53" i="30"/>
  <c r="AV87" i="30" s="1"/>
  <c r="AV70" i="30"/>
  <c r="AW53" i="30"/>
  <c r="AW87" i="30" s="1"/>
  <c r="AW70" i="30"/>
  <c r="B54" i="30"/>
  <c r="B37" i="30"/>
  <c r="B71" i="30" s="1"/>
  <c r="B55" i="30"/>
  <c r="B38" i="30"/>
  <c r="B72" i="30" s="1"/>
  <c r="B56" i="30"/>
  <c r="B39" i="30"/>
  <c r="B73" i="30" s="1"/>
  <c r="B57" i="30"/>
  <c r="B40" i="30"/>
  <c r="B74" i="30" s="1"/>
  <c r="C41" i="30"/>
  <c r="B59" i="30"/>
  <c r="B42" i="30"/>
  <c r="B76" i="30" s="1"/>
  <c r="B58" i="30"/>
  <c r="B41" i="30"/>
  <c r="B75" i="30" s="1"/>
  <c r="C58" i="30"/>
  <c r="B60" i="30"/>
  <c r="B43" i="30"/>
  <c r="B77" i="30" s="1"/>
  <c r="B61" i="30"/>
  <c r="B44" i="30"/>
  <c r="B78" i="30" s="1"/>
  <c r="B62" i="30"/>
  <c r="B45" i="30"/>
  <c r="B79" i="30" s="1"/>
  <c r="C46" i="30"/>
  <c r="B69" i="30"/>
  <c r="B52" i="30"/>
  <c r="B86" i="30" s="1"/>
  <c r="B63" i="30"/>
  <c r="B46" i="30"/>
  <c r="B80" i="30" s="1"/>
  <c r="C63" i="30"/>
  <c r="C44" i="30"/>
  <c r="C61" i="30"/>
  <c r="C40" i="30"/>
  <c r="B65" i="30"/>
  <c r="B48" i="30"/>
  <c r="B82" i="30" s="1"/>
  <c r="C57" i="30"/>
  <c r="C47" i="30"/>
  <c r="B64" i="30"/>
  <c r="B47" i="30"/>
  <c r="B81" i="30" s="1"/>
  <c r="C64" i="30"/>
  <c r="D52" i="30"/>
  <c r="C52" i="30"/>
  <c r="C69" i="30"/>
  <c r="D69" i="30"/>
  <c r="C39" i="30"/>
  <c r="C56" i="30"/>
  <c r="C48" i="30"/>
  <c r="C65" i="30"/>
  <c r="D40" i="30"/>
  <c r="D57" i="30"/>
  <c r="C54" i="30"/>
  <c r="C37" i="30"/>
  <c r="C55" i="30"/>
  <c r="C38" i="30"/>
  <c r="D41" i="30"/>
  <c r="C59" i="30"/>
  <c r="C42" i="30"/>
  <c r="C76" i="30" s="1"/>
  <c r="D58" i="30"/>
  <c r="C60" i="30"/>
  <c r="C43" i="30"/>
  <c r="C77" i="30" s="1"/>
  <c r="C62" i="30"/>
  <c r="C45" i="30"/>
  <c r="B66" i="30"/>
  <c r="B49" i="30"/>
  <c r="B83" i="30" s="1"/>
  <c r="D46" i="30"/>
  <c r="D63" i="30"/>
  <c r="D44" i="30"/>
  <c r="D61" i="30"/>
  <c r="D47" i="30"/>
  <c r="D64" i="30"/>
  <c r="E52" i="30"/>
  <c r="E69" i="30"/>
  <c r="D39" i="30"/>
  <c r="D56" i="30"/>
  <c r="D48" i="30"/>
  <c r="D65" i="30"/>
  <c r="E40" i="30"/>
  <c r="E57" i="30"/>
  <c r="D37" i="30"/>
  <c r="D54" i="30"/>
  <c r="D38" i="30"/>
  <c r="D55" i="30"/>
  <c r="E41" i="30"/>
  <c r="D59" i="30"/>
  <c r="D42" i="30"/>
  <c r="D76" i="30" s="1"/>
  <c r="E58" i="30"/>
  <c r="D60" i="30"/>
  <c r="D43" i="30"/>
  <c r="D77" i="30" s="1"/>
  <c r="D62" i="30"/>
  <c r="D45" i="30"/>
  <c r="C66" i="30"/>
  <c r="C49" i="30"/>
  <c r="B68" i="30"/>
  <c r="B51" i="30"/>
  <c r="B85" i="30" s="1"/>
  <c r="E46" i="30"/>
  <c r="E63" i="30"/>
  <c r="E44" i="30"/>
  <c r="E61" i="30"/>
  <c r="E47" i="30"/>
  <c r="E64" i="30"/>
  <c r="F52" i="30"/>
  <c r="F69" i="30"/>
  <c r="E48" i="30"/>
  <c r="E65" i="30"/>
  <c r="E39" i="30"/>
  <c r="E56" i="30"/>
  <c r="F40" i="30"/>
  <c r="F57" i="30"/>
  <c r="E37" i="30"/>
  <c r="E54" i="30"/>
  <c r="E38" i="30"/>
  <c r="E55" i="30"/>
  <c r="F41" i="30"/>
  <c r="E59" i="30"/>
  <c r="E42" i="30"/>
  <c r="E76" i="30" s="1"/>
  <c r="F58" i="30"/>
  <c r="E60" i="30"/>
  <c r="E43" i="30"/>
  <c r="E77" i="30" s="1"/>
  <c r="E62" i="30"/>
  <c r="E45" i="30"/>
  <c r="D66" i="30"/>
  <c r="D49" i="30"/>
  <c r="C68" i="30"/>
  <c r="C51" i="30"/>
  <c r="C85" i="30" s="1"/>
  <c r="F46" i="30"/>
  <c r="F63" i="30"/>
  <c r="F44" i="30"/>
  <c r="F61" i="30"/>
  <c r="F47" i="30"/>
  <c r="F64" i="30"/>
  <c r="G52" i="30"/>
  <c r="G69" i="30"/>
  <c r="F39" i="30"/>
  <c r="F56" i="30"/>
  <c r="F48" i="30"/>
  <c r="F65" i="30"/>
  <c r="G40" i="30"/>
  <c r="G57" i="30"/>
  <c r="F37" i="30"/>
  <c r="F54" i="30"/>
  <c r="F38" i="30"/>
  <c r="F55" i="30"/>
  <c r="G41" i="30"/>
  <c r="F59" i="30"/>
  <c r="F42" i="30"/>
  <c r="F76" i="30" s="1"/>
  <c r="G58" i="30"/>
  <c r="G44" i="30"/>
  <c r="F62" i="30"/>
  <c r="F45" i="30"/>
  <c r="E66" i="30"/>
  <c r="E49" i="30"/>
  <c r="D68" i="30"/>
  <c r="D51" i="30"/>
  <c r="D85" i="30" s="1"/>
  <c r="G61" i="30"/>
  <c r="F60" i="30"/>
  <c r="F43" i="30"/>
  <c r="F77" i="30" s="1"/>
  <c r="G46" i="30"/>
  <c r="G63" i="30"/>
  <c r="G47" i="30"/>
  <c r="G64" i="30"/>
  <c r="H52" i="30"/>
  <c r="H69" i="30"/>
  <c r="G39" i="30"/>
  <c r="G56" i="30"/>
  <c r="G48" i="30"/>
  <c r="G65" i="30"/>
  <c r="H40" i="30"/>
  <c r="H57" i="30"/>
  <c r="G37" i="30"/>
  <c r="G54" i="30"/>
  <c r="G38" i="30"/>
  <c r="G55" i="30"/>
  <c r="H41" i="30"/>
  <c r="G59" i="30"/>
  <c r="G42" i="30"/>
  <c r="G76" i="30" s="1"/>
  <c r="H58" i="30"/>
  <c r="H44" i="30"/>
  <c r="G62" i="30"/>
  <c r="G45" i="30"/>
  <c r="F66" i="30"/>
  <c r="F49" i="30"/>
  <c r="E68" i="30"/>
  <c r="E51" i="30"/>
  <c r="E85" i="30" s="1"/>
  <c r="H61" i="30"/>
  <c r="G60" i="30"/>
  <c r="G43" i="30"/>
  <c r="G77" i="30" s="1"/>
  <c r="H46" i="30"/>
  <c r="H63" i="30"/>
  <c r="H47" i="30"/>
  <c r="H64" i="30"/>
  <c r="I52" i="30"/>
  <c r="I69" i="30"/>
  <c r="H39" i="30"/>
  <c r="H56" i="30"/>
  <c r="H48" i="30"/>
  <c r="H65" i="30"/>
  <c r="I40" i="30"/>
  <c r="I57" i="30"/>
  <c r="H37" i="30"/>
  <c r="H54" i="30"/>
  <c r="H38" i="30"/>
  <c r="H55" i="30"/>
  <c r="I41" i="30"/>
  <c r="H59" i="30"/>
  <c r="H42" i="30"/>
  <c r="H76" i="30" s="1"/>
  <c r="I58" i="30"/>
  <c r="I44" i="30"/>
  <c r="H62" i="30"/>
  <c r="H45" i="30"/>
  <c r="G66" i="30"/>
  <c r="G49" i="30"/>
  <c r="F68" i="30"/>
  <c r="F51" i="30"/>
  <c r="F85" i="30" s="1"/>
  <c r="I61" i="30"/>
  <c r="H60" i="30"/>
  <c r="H43" i="30"/>
  <c r="H77" i="30" s="1"/>
  <c r="I46" i="30"/>
  <c r="I63" i="30"/>
  <c r="I47" i="30"/>
  <c r="I64" i="30"/>
  <c r="J52" i="30"/>
  <c r="J69" i="30"/>
  <c r="I39" i="30"/>
  <c r="I56" i="30"/>
  <c r="I48" i="30"/>
  <c r="I65" i="30"/>
  <c r="J40" i="30"/>
  <c r="J57" i="30"/>
  <c r="I37" i="30"/>
  <c r="I54" i="30"/>
  <c r="I38" i="30"/>
  <c r="I55" i="30"/>
  <c r="I59" i="30"/>
  <c r="I42" i="30"/>
  <c r="I76" i="30" s="1"/>
  <c r="J41" i="30"/>
  <c r="J58" i="30"/>
  <c r="I62" i="30"/>
  <c r="I45" i="30"/>
  <c r="H66" i="30"/>
  <c r="H49" i="30"/>
  <c r="G68" i="30"/>
  <c r="G51" i="30"/>
  <c r="G85" i="30" s="1"/>
  <c r="J44" i="30"/>
  <c r="J61" i="30"/>
  <c r="I60" i="30"/>
  <c r="I43" i="30"/>
  <c r="I77" i="30" s="1"/>
  <c r="J46" i="30"/>
  <c r="J63" i="30"/>
  <c r="J47" i="30"/>
  <c r="J64" i="30"/>
  <c r="K52" i="30"/>
  <c r="K69" i="30"/>
  <c r="J39" i="30"/>
  <c r="J56" i="30"/>
  <c r="J48" i="30"/>
  <c r="J65" i="30"/>
  <c r="K40" i="30"/>
  <c r="K57" i="30"/>
  <c r="J37" i="30"/>
  <c r="J54" i="30"/>
  <c r="J38" i="30"/>
  <c r="J55" i="30"/>
  <c r="J59" i="30"/>
  <c r="J42" i="30"/>
  <c r="J76" i="30" s="1"/>
  <c r="K41" i="30"/>
  <c r="K58" i="30"/>
  <c r="I66" i="30"/>
  <c r="I49" i="30"/>
  <c r="H68" i="30"/>
  <c r="H51" i="30"/>
  <c r="H85" i="30" s="1"/>
  <c r="J45" i="30"/>
  <c r="J62" i="30"/>
  <c r="K44" i="30"/>
  <c r="K61" i="30"/>
  <c r="J60" i="30"/>
  <c r="J43" i="30"/>
  <c r="J77" i="30" s="1"/>
  <c r="K46" i="30"/>
  <c r="K63" i="30"/>
  <c r="K47" i="30"/>
  <c r="K64" i="30"/>
  <c r="L52" i="30"/>
  <c r="L69" i="30"/>
  <c r="K39" i="30"/>
  <c r="K56" i="30"/>
  <c r="K48" i="30"/>
  <c r="K65" i="30"/>
  <c r="L40" i="30"/>
  <c r="L57" i="30"/>
  <c r="K37" i="30"/>
  <c r="K54" i="30"/>
  <c r="K38" i="30"/>
  <c r="K55" i="30"/>
  <c r="K59" i="30"/>
  <c r="K42" i="30"/>
  <c r="K76" i="30" s="1"/>
  <c r="L41" i="30"/>
  <c r="L58" i="30"/>
  <c r="I68" i="30"/>
  <c r="I51" i="30"/>
  <c r="I85" i="30" s="1"/>
  <c r="J49" i="30"/>
  <c r="J66" i="30"/>
  <c r="K45" i="30"/>
  <c r="K62" i="30"/>
  <c r="L44" i="30"/>
  <c r="L61" i="30"/>
  <c r="K60" i="30"/>
  <c r="K43" i="30"/>
  <c r="K77" i="30" s="1"/>
  <c r="L46" i="30"/>
  <c r="L63" i="30"/>
  <c r="L47" i="30"/>
  <c r="L64" i="30"/>
  <c r="M52" i="30"/>
  <c r="M69" i="30"/>
  <c r="L39" i="30"/>
  <c r="L56" i="30"/>
  <c r="L48" i="30"/>
  <c r="L65" i="30"/>
  <c r="M40" i="30"/>
  <c r="M57" i="30"/>
  <c r="L37" i="30"/>
  <c r="L54" i="30"/>
  <c r="L38" i="30"/>
  <c r="L55" i="30"/>
  <c r="L59" i="30"/>
  <c r="L42" i="30"/>
  <c r="L76" i="30" s="1"/>
  <c r="M41" i="30"/>
  <c r="M58" i="30"/>
  <c r="J68" i="30"/>
  <c r="J51" i="30"/>
  <c r="J85" i="30" s="1"/>
  <c r="K49" i="30"/>
  <c r="K66" i="30"/>
  <c r="L45" i="30"/>
  <c r="L62" i="30"/>
  <c r="M44" i="30"/>
  <c r="M61" i="30"/>
  <c r="L60" i="30"/>
  <c r="L43" i="30"/>
  <c r="L77" i="30" s="1"/>
  <c r="M46" i="30"/>
  <c r="M63" i="30"/>
  <c r="M47" i="30"/>
  <c r="M64" i="30"/>
  <c r="N52" i="30"/>
  <c r="N69" i="30"/>
  <c r="M39" i="30"/>
  <c r="M56" i="30"/>
  <c r="M48" i="30"/>
  <c r="M65" i="30"/>
  <c r="N40" i="30"/>
  <c r="N57" i="30"/>
  <c r="M37" i="30"/>
  <c r="M54" i="30"/>
  <c r="M38" i="30"/>
  <c r="M55" i="30"/>
  <c r="M59" i="30"/>
  <c r="M42" i="30"/>
  <c r="M76" i="30" s="1"/>
  <c r="N41" i="30"/>
  <c r="N58" i="30"/>
  <c r="K68" i="30"/>
  <c r="K51" i="30"/>
  <c r="K85" i="30" s="1"/>
  <c r="L49" i="30"/>
  <c r="L66" i="30"/>
  <c r="M45" i="30"/>
  <c r="M62" i="30"/>
  <c r="N44" i="30"/>
  <c r="N61" i="30"/>
  <c r="M60" i="30"/>
  <c r="M43" i="30"/>
  <c r="M77" i="30" s="1"/>
  <c r="N46" i="30"/>
  <c r="N63" i="30"/>
  <c r="N47" i="30"/>
  <c r="N64" i="30"/>
  <c r="O52" i="30"/>
  <c r="O69" i="30"/>
  <c r="N39" i="30"/>
  <c r="N56" i="30"/>
  <c r="N48" i="30"/>
  <c r="N65" i="30"/>
  <c r="O40" i="30"/>
  <c r="O57" i="30"/>
  <c r="N37" i="30"/>
  <c r="N54" i="30"/>
  <c r="N38" i="30"/>
  <c r="N55" i="30"/>
  <c r="N59" i="30"/>
  <c r="N42" i="30"/>
  <c r="N76" i="30" s="1"/>
  <c r="O41" i="30"/>
  <c r="O58" i="30"/>
  <c r="L68" i="30"/>
  <c r="L51" i="30"/>
  <c r="L85" i="30" s="1"/>
  <c r="M49" i="30"/>
  <c r="M66" i="30"/>
  <c r="N45" i="30"/>
  <c r="N62" i="30"/>
  <c r="O44" i="30"/>
  <c r="O61" i="30"/>
  <c r="N60" i="30"/>
  <c r="N43" i="30"/>
  <c r="N77" i="30" s="1"/>
  <c r="O46" i="30"/>
  <c r="O63" i="30"/>
  <c r="O47" i="30"/>
  <c r="O64" i="30"/>
  <c r="P52" i="30"/>
  <c r="P69" i="30"/>
  <c r="O39" i="30"/>
  <c r="O56" i="30"/>
  <c r="O48" i="30"/>
  <c r="O65" i="30"/>
  <c r="P40" i="30"/>
  <c r="P57" i="30"/>
  <c r="O37" i="30"/>
  <c r="O54" i="30"/>
  <c r="O38" i="30"/>
  <c r="O55" i="30"/>
  <c r="O59" i="30"/>
  <c r="O42" i="30"/>
  <c r="O76" i="30" s="1"/>
  <c r="P41" i="30"/>
  <c r="P58" i="30"/>
  <c r="M68" i="30"/>
  <c r="M51" i="30"/>
  <c r="M85" i="30" s="1"/>
  <c r="N49" i="30"/>
  <c r="N66" i="30"/>
  <c r="O45" i="30"/>
  <c r="O62" i="30"/>
  <c r="P44" i="30"/>
  <c r="P61" i="30"/>
  <c r="O60" i="30"/>
  <c r="O43" i="30"/>
  <c r="O77" i="30" s="1"/>
  <c r="P46" i="30"/>
  <c r="P63" i="30"/>
  <c r="P47" i="30"/>
  <c r="P64" i="30"/>
  <c r="Q52" i="30"/>
  <c r="Q69" i="30"/>
  <c r="P39" i="30"/>
  <c r="P56" i="30"/>
  <c r="P48" i="30"/>
  <c r="P65" i="30"/>
  <c r="Q40" i="30"/>
  <c r="Q57" i="30"/>
  <c r="P37" i="30"/>
  <c r="P54" i="30"/>
  <c r="P38" i="30"/>
  <c r="P55" i="30"/>
  <c r="P59" i="30"/>
  <c r="P42" i="30"/>
  <c r="P76" i="30" s="1"/>
  <c r="Q41" i="30"/>
  <c r="Q58" i="30"/>
  <c r="N68" i="30"/>
  <c r="N51" i="30"/>
  <c r="N85" i="30" s="1"/>
  <c r="O49" i="30"/>
  <c r="O66" i="30"/>
  <c r="P45" i="30"/>
  <c r="P62" i="30"/>
  <c r="Q44" i="30"/>
  <c r="Q61" i="30"/>
  <c r="P60" i="30"/>
  <c r="P43" i="30"/>
  <c r="P77" i="30" s="1"/>
  <c r="Q46" i="30"/>
  <c r="Q63" i="30"/>
  <c r="Q47" i="30"/>
  <c r="Q64" i="30"/>
  <c r="R52" i="30"/>
  <c r="R69" i="30"/>
  <c r="Q39" i="30"/>
  <c r="Q56" i="30"/>
  <c r="Q48" i="30"/>
  <c r="Q65" i="30"/>
  <c r="R40" i="30"/>
  <c r="R57" i="30"/>
  <c r="Q37" i="30"/>
  <c r="Q54" i="30"/>
  <c r="Q38" i="30"/>
  <c r="Q55" i="30"/>
  <c r="Q59" i="30"/>
  <c r="Q42" i="30"/>
  <c r="Q76" i="30" s="1"/>
  <c r="R41" i="30"/>
  <c r="R58" i="30"/>
  <c r="O68" i="30"/>
  <c r="O51" i="30"/>
  <c r="O85" i="30" s="1"/>
  <c r="P49" i="30"/>
  <c r="P66" i="30"/>
  <c r="Q45" i="30"/>
  <c r="Q62" i="30"/>
  <c r="R44" i="30"/>
  <c r="R61" i="30"/>
  <c r="Q60" i="30"/>
  <c r="Q43" i="30"/>
  <c r="Q77" i="30" s="1"/>
  <c r="R46" i="30"/>
  <c r="R63" i="30"/>
  <c r="R47" i="30"/>
  <c r="R64" i="30"/>
  <c r="S52" i="30"/>
  <c r="S69" i="30"/>
  <c r="R39" i="30"/>
  <c r="R56" i="30"/>
  <c r="R48" i="30"/>
  <c r="R65" i="30"/>
  <c r="S40" i="30"/>
  <c r="S57" i="30"/>
  <c r="R37" i="30"/>
  <c r="R54" i="30"/>
  <c r="R38" i="30"/>
  <c r="R55" i="30"/>
  <c r="R59" i="30"/>
  <c r="R42" i="30"/>
  <c r="R76" i="30" s="1"/>
  <c r="S41" i="30"/>
  <c r="S58" i="30"/>
  <c r="P68" i="30"/>
  <c r="P51" i="30"/>
  <c r="P85" i="30" s="1"/>
  <c r="Q49" i="30"/>
  <c r="Q66" i="30"/>
  <c r="R45" i="30"/>
  <c r="R62" i="30"/>
  <c r="S44" i="30"/>
  <c r="S61" i="30"/>
  <c r="R60" i="30"/>
  <c r="R43" i="30"/>
  <c r="R77" i="30" s="1"/>
  <c r="S46" i="30"/>
  <c r="S63" i="30"/>
  <c r="S47" i="30"/>
  <c r="S64" i="30"/>
  <c r="T52" i="30"/>
  <c r="T69" i="30"/>
  <c r="S39" i="30"/>
  <c r="S56" i="30"/>
  <c r="S48" i="30"/>
  <c r="S65" i="30"/>
  <c r="T40" i="30"/>
  <c r="T57" i="30"/>
  <c r="S37" i="30"/>
  <c r="S54" i="30"/>
  <c r="S38" i="30"/>
  <c r="S55" i="30"/>
  <c r="S59" i="30"/>
  <c r="S42" i="30"/>
  <c r="S76" i="30" s="1"/>
  <c r="T41" i="30"/>
  <c r="T58" i="30"/>
  <c r="Q68" i="30"/>
  <c r="Q51" i="30"/>
  <c r="Q85" i="30" s="1"/>
  <c r="R49" i="30"/>
  <c r="R66" i="30"/>
  <c r="S45" i="30"/>
  <c r="S62" i="30"/>
  <c r="T44" i="30"/>
  <c r="T61" i="30"/>
  <c r="S60" i="30"/>
  <c r="S43" i="30"/>
  <c r="S77" i="30" s="1"/>
  <c r="T46" i="30"/>
  <c r="T63" i="30"/>
  <c r="T47" i="30"/>
  <c r="T64" i="30"/>
  <c r="U52" i="30"/>
  <c r="U69" i="30"/>
  <c r="T39" i="30"/>
  <c r="T56" i="30"/>
  <c r="T48" i="30"/>
  <c r="T65" i="30"/>
  <c r="U40" i="30"/>
  <c r="U57" i="30"/>
  <c r="T37" i="30"/>
  <c r="T54" i="30"/>
  <c r="T38" i="30"/>
  <c r="T55" i="30"/>
  <c r="T59" i="30"/>
  <c r="T42" i="30"/>
  <c r="T76" i="30" s="1"/>
  <c r="U41" i="30"/>
  <c r="U58" i="30"/>
  <c r="R68" i="30"/>
  <c r="R51" i="30"/>
  <c r="R85" i="30" s="1"/>
  <c r="S49" i="30"/>
  <c r="S66" i="30"/>
  <c r="T45" i="30"/>
  <c r="T62" i="30"/>
  <c r="U44" i="30"/>
  <c r="U61" i="30"/>
  <c r="T60" i="30"/>
  <c r="T43" i="30"/>
  <c r="T77" i="30" s="1"/>
  <c r="U46" i="30"/>
  <c r="U63" i="30"/>
  <c r="U47" i="30"/>
  <c r="U64" i="30"/>
  <c r="V52" i="30"/>
  <c r="V69" i="30"/>
  <c r="U39" i="30"/>
  <c r="U56" i="30"/>
  <c r="U48" i="30"/>
  <c r="U65" i="30"/>
  <c r="V40" i="30"/>
  <c r="V57" i="30"/>
  <c r="U37" i="30"/>
  <c r="U54" i="30"/>
  <c r="U38" i="30"/>
  <c r="U55" i="30"/>
  <c r="U59" i="30"/>
  <c r="U42" i="30"/>
  <c r="U76" i="30" s="1"/>
  <c r="V41" i="30"/>
  <c r="V58" i="30"/>
  <c r="S68" i="30"/>
  <c r="S51" i="30"/>
  <c r="S85" i="30" s="1"/>
  <c r="T49" i="30"/>
  <c r="T66" i="30"/>
  <c r="U45" i="30"/>
  <c r="U62" i="30"/>
  <c r="V44" i="30"/>
  <c r="V61" i="30"/>
  <c r="U60" i="30"/>
  <c r="U43" i="30"/>
  <c r="U77" i="30" s="1"/>
  <c r="V46" i="30"/>
  <c r="V63" i="30"/>
  <c r="V47" i="30"/>
  <c r="V64" i="30"/>
  <c r="W52" i="30"/>
  <c r="W69" i="30"/>
  <c r="V39" i="30"/>
  <c r="V56" i="30"/>
  <c r="V48" i="30"/>
  <c r="V65" i="30"/>
  <c r="W40" i="30"/>
  <c r="W57" i="30"/>
  <c r="V37" i="30"/>
  <c r="V54" i="30"/>
  <c r="V38" i="30"/>
  <c r="V55" i="30"/>
  <c r="V59" i="30"/>
  <c r="V42" i="30"/>
  <c r="V76" i="30" s="1"/>
  <c r="W41" i="30"/>
  <c r="W58" i="30"/>
  <c r="T68" i="30"/>
  <c r="T51" i="30"/>
  <c r="T85" i="30" s="1"/>
  <c r="U49" i="30"/>
  <c r="U66" i="30"/>
  <c r="V45" i="30"/>
  <c r="V62" i="30"/>
  <c r="W44" i="30"/>
  <c r="W61" i="30"/>
  <c r="V60" i="30"/>
  <c r="V43" i="30"/>
  <c r="V77" i="30" s="1"/>
  <c r="W46" i="30"/>
  <c r="W63" i="30"/>
  <c r="W47" i="30"/>
  <c r="W64" i="30"/>
  <c r="X52" i="30"/>
  <c r="X69" i="30"/>
  <c r="W39" i="30"/>
  <c r="W56" i="30"/>
  <c r="W48" i="30"/>
  <c r="W65" i="30"/>
  <c r="X40" i="30"/>
  <c r="X57" i="30"/>
  <c r="W37" i="30"/>
  <c r="W54" i="30"/>
  <c r="W38" i="30"/>
  <c r="W55" i="30"/>
  <c r="W59" i="30"/>
  <c r="W42" i="30"/>
  <c r="W76" i="30" s="1"/>
  <c r="X41" i="30"/>
  <c r="X58" i="30"/>
  <c r="U68" i="30"/>
  <c r="U51" i="30"/>
  <c r="U85" i="30" s="1"/>
  <c r="V49" i="30"/>
  <c r="V66" i="30"/>
  <c r="W45" i="30"/>
  <c r="W62" i="30"/>
  <c r="X44" i="30"/>
  <c r="X61" i="30"/>
  <c r="W60" i="30"/>
  <c r="W43" i="30"/>
  <c r="W77" i="30" s="1"/>
  <c r="X46" i="30"/>
  <c r="X63" i="30"/>
  <c r="X47" i="30"/>
  <c r="X64" i="30"/>
  <c r="Y52" i="30"/>
  <c r="Y69" i="30"/>
  <c r="X39" i="30"/>
  <c r="X56" i="30"/>
  <c r="X48" i="30"/>
  <c r="X65" i="30"/>
  <c r="Y40" i="30"/>
  <c r="Y57" i="30"/>
  <c r="X37" i="30"/>
  <c r="X54" i="30"/>
  <c r="X38" i="30"/>
  <c r="X55" i="30"/>
  <c r="X59" i="30"/>
  <c r="X42" i="30"/>
  <c r="X76" i="30" s="1"/>
  <c r="Y41" i="30"/>
  <c r="Y58" i="30"/>
  <c r="V68" i="30"/>
  <c r="V51" i="30"/>
  <c r="V85" i="30" s="1"/>
  <c r="W49" i="30"/>
  <c r="W66" i="30"/>
  <c r="X45" i="30"/>
  <c r="X62" i="30"/>
  <c r="Y44" i="30"/>
  <c r="Y61" i="30"/>
  <c r="X60" i="30"/>
  <c r="X43" i="30"/>
  <c r="X77" i="30" s="1"/>
  <c r="Y46" i="30"/>
  <c r="Y63" i="30"/>
  <c r="Y47" i="30"/>
  <c r="Y64" i="30"/>
  <c r="Z52" i="30"/>
  <c r="Z69" i="30"/>
  <c r="Y39" i="30"/>
  <c r="Y56" i="30"/>
  <c r="Y48" i="30"/>
  <c r="Y65" i="30"/>
  <c r="Z40" i="30"/>
  <c r="Z57" i="30"/>
  <c r="Y37" i="30"/>
  <c r="Y54" i="30"/>
  <c r="Y38" i="30"/>
  <c r="Y55" i="30"/>
  <c r="Y59" i="30"/>
  <c r="Y42" i="30"/>
  <c r="Y76" i="30" s="1"/>
  <c r="Z41" i="30"/>
  <c r="Z58" i="30"/>
  <c r="W68" i="30"/>
  <c r="W51" i="30"/>
  <c r="W85" i="30" s="1"/>
  <c r="X49" i="30"/>
  <c r="X66" i="30"/>
  <c r="Y45" i="30"/>
  <c r="Y62" i="30"/>
  <c r="Z44" i="30"/>
  <c r="Z61" i="30"/>
  <c r="Y60" i="30"/>
  <c r="Y43" i="30"/>
  <c r="Y77" i="30" s="1"/>
  <c r="Z46" i="30"/>
  <c r="Z63" i="30"/>
  <c r="Z47" i="30"/>
  <c r="Z64" i="30"/>
  <c r="AA52" i="30"/>
  <c r="AA69" i="30"/>
  <c r="Z39" i="30"/>
  <c r="Z56" i="30"/>
  <c r="Z48" i="30"/>
  <c r="Z65" i="30"/>
  <c r="AA40" i="30"/>
  <c r="AA57" i="30"/>
  <c r="Z37" i="30"/>
  <c r="Z54" i="30"/>
  <c r="Z38" i="30"/>
  <c r="Z55" i="30"/>
  <c r="Z59" i="30"/>
  <c r="Z42" i="30"/>
  <c r="Z76" i="30" s="1"/>
  <c r="AA41" i="30"/>
  <c r="AA58" i="30"/>
  <c r="X68" i="30"/>
  <c r="X51" i="30"/>
  <c r="X85" i="30" s="1"/>
  <c r="Y49" i="30"/>
  <c r="Y66" i="30"/>
  <c r="Z45" i="30"/>
  <c r="Z62" i="30"/>
  <c r="AA44" i="30"/>
  <c r="AA61" i="30"/>
  <c r="Z60" i="30"/>
  <c r="Z43" i="30"/>
  <c r="Z77" i="30" s="1"/>
  <c r="AA46" i="30"/>
  <c r="AA63" i="30"/>
  <c r="AA47" i="30"/>
  <c r="AA64" i="30"/>
  <c r="AB52" i="30"/>
  <c r="AB69" i="30"/>
  <c r="AA39" i="30"/>
  <c r="AA56" i="30"/>
  <c r="AA48" i="30"/>
  <c r="AA65" i="30"/>
  <c r="AB40" i="30"/>
  <c r="AB57" i="30"/>
  <c r="AA37" i="30"/>
  <c r="AA54" i="30"/>
  <c r="AA38" i="30"/>
  <c r="AA55" i="30"/>
  <c r="AA59" i="30"/>
  <c r="AA42" i="30"/>
  <c r="AA76" i="30" s="1"/>
  <c r="AB41" i="30"/>
  <c r="AB58" i="30"/>
  <c r="Y68" i="30"/>
  <c r="Y51" i="30"/>
  <c r="Y85" i="30" s="1"/>
  <c r="Z49" i="30"/>
  <c r="Z66" i="30"/>
  <c r="AA45" i="30"/>
  <c r="AA62" i="30"/>
  <c r="AB44" i="30"/>
  <c r="AB61" i="30"/>
  <c r="AA60" i="30"/>
  <c r="AA43" i="30"/>
  <c r="AA77" i="30" s="1"/>
  <c r="AB46" i="30"/>
  <c r="AB63" i="30"/>
  <c r="AB47" i="30"/>
  <c r="AB64" i="30"/>
  <c r="AC52" i="30"/>
  <c r="AC69" i="30"/>
  <c r="AB39" i="30"/>
  <c r="AB56" i="30"/>
  <c r="AB48" i="30"/>
  <c r="AB65" i="30"/>
  <c r="AC40" i="30"/>
  <c r="AC57" i="30"/>
  <c r="AB37" i="30"/>
  <c r="AB54" i="30"/>
  <c r="AB38" i="30"/>
  <c r="AB55" i="30"/>
  <c r="AB59" i="30"/>
  <c r="AB42" i="30"/>
  <c r="AB76" i="30" s="1"/>
  <c r="AC41" i="30"/>
  <c r="AC58" i="30"/>
  <c r="Z68" i="30"/>
  <c r="Z51" i="30"/>
  <c r="Z85" i="30" s="1"/>
  <c r="AA49" i="30"/>
  <c r="AA66" i="30"/>
  <c r="AB45" i="30"/>
  <c r="AB62" i="30"/>
  <c r="AC44" i="30"/>
  <c r="AC61" i="30"/>
  <c r="AB60" i="30"/>
  <c r="AB43" i="30"/>
  <c r="AB77" i="30" s="1"/>
  <c r="AC46" i="30"/>
  <c r="AC63" i="30"/>
  <c r="AC47" i="30"/>
  <c r="AC64" i="30"/>
  <c r="AD52" i="30"/>
  <c r="AD69" i="30"/>
  <c r="AC39" i="30"/>
  <c r="AC56" i="30"/>
  <c r="AC48" i="30"/>
  <c r="AC65" i="30"/>
  <c r="AD40" i="30"/>
  <c r="AD57" i="30"/>
  <c r="AC37" i="30"/>
  <c r="AC54" i="30"/>
  <c r="AC38" i="30"/>
  <c r="AC55" i="30"/>
  <c r="AC59" i="30"/>
  <c r="AC42" i="30"/>
  <c r="AC76" i="30" s="1"/>
  <c r="AD41" i="30"/>
  <c r="AD58" i="30"/>
  <c r="AA68" i="30"/>
  <c r="AA51" i="30"/>
  <c r="AA85" i="30" s="1"/>
  <c r="AB49" i="30"/>
  <c r="AB66" i="30"/>
  <c r="AC45" i="30"/>
  <c r="AC62" i="30"/>
  <c r="AD44" i="30"/>
  <c r="AD61" i="30"/>
  <c r="AC60" i="30"/>
  <c r="AC43" i="30"/>
  <c r="AC77" i="30" s="1"/>
  <c r="AD46" i="30"/>
  <c r="AD63" i="30"/>
  <c r="AD47" i="30"/>
  <c r="AD64" i="30"/>
  <c r="AE52" i="30"/>
  <c r="AE69" i="30"/>
  <c r="AD39" i="30"/>
  <c r="AD56" i="30"/>
  <c r="AD48" i="30"/>
  <c r="AD65" i="30"/>
  <c r="AE40" i="30"/>
  <c r="AE57" i="30"/>
  <c r="AD37" i="30"/>
  <c r="AD54" i="30"/>
  <c r="AD38" i="30"/>
  <c r="AD55" i="30"/>
  <c r="AD59" i="30"/>
  <c r="AD42" i="30"/>
  <c r="AD76" i="30" s="1"/>
  <c r="AE41" i="30"/>
  <c r="AE58" i="30"/>
  <c r="AB68" i="30"/>
  <c r="AB51" i="30"/>
  <c r="AB85" i="30" s="1"/>
  <c r="AC49" i="30"/>
  <c r="AC66" i="30"/>
  <c r="AD45" i="30"/>
  <c r="AD62" i="30"/>
  <c r="AE44" i="30"/>
  <c r="AE61" i="30"/>
  <c r="AD60" i="30"/>
  <c r="AD43" i="30"/>
  <c r="AD77" i="30" s="1"/>
  <c r="AE46" i="30"/>
  <c r="AE63" i="30"/>
  <c r="AE47" i="30"/>
  <c r="AE64" i="30"/>
  <c r="AF52" i="30"/>
  <c r="AF69" i="30"/>
  <c r="AE39" i="30"/>
  <c r="AE56" i="30"/>
  <c r="AE48" i="30"/>
  <c r="AE65" i="30"/>
  <c r="AF40" i="30"/>
  <c r="AF57" i="30"/>
  <c r="AE37" i="30"/>
  <c r="AE54" i="30"/>
  <c r="AE38" i="30"/>
  <c r="AE55" i="30"/>
  <c r="AE59" i="30"/>
  <c r="AE42" i="30"/>
  <c r="AE76" i="30" s="1"/>
  <c r="AF41" i="30"/>
  <c r="AF58" i="30"/>
  <c r="AC68" i="30"/>
  <c r="AC51" i="30"/>
  <c r="AC85" i="30" s="1"/>
  <c r="AD49" i="30"/>
  <c r="AD66" i="30"/>
  <c r="AE45" i="30"/>
  <c r="AE62" i="30"/>
  <c r="AF44" i="30"/>
  <c r="AF61" i="30"/>
  <c r="AE60" i="30"/>
  <c r="AE43" i="30"/>
  <c r="AE77" i="30" s="1"/>
  <c r="AF46" i="30"/>
  <c r="AF63" i="30"/>
  <c r="AF47" i="30"/>
  <c r="AF64" i="30"/>
  <c r="AG52" i="30"/>
  <c r="AG69" i="30"/>
  <c r="AF39" i="30"/>
  <c r="AF56" i="30"/>
  <c r="AF48" i="30"/>
  <c r="AF65" i="30"/>
  <c r="AG40" i="30"/>
  <c r="AG57" i="30"/>
  <c r="AF37" i="30"/>
  <c r="AF54" i="30"/>
  <c r="AF38" i="30"/>
  <c r="AF55" i="30"/>
  <c r="AF59" i="30"/>
  <c r="AF42" i="30"/>
  <c r="AF76" i="30" s="1"/>
  <c r="AG41" i="30"/>
  <c r="AG58" i="30"/>
  <c r="AD68" i="30"/>
  <c r="AD51" i="30"/>
  <c r="AD85" i="30" s="1"/>
  <c r="AE49" i="30"/>
  <c r="AE66" i="30"/>
  <c r="AF45" i="30"/>
  <c r="AF62" i="30"/>
  <c r="AG44" i="30"/>
  <c r="AG61" i="30"/>
  <c r="AF60" i="30"/>
  <c r="AF43" i="30"/>
  <c r="AF77" i="30" s="1"/>
  <c r="AG46" i="30"/>
  <c r="AG63" i="30"/>
  <c r="AG47" i="30"/>
  <c r="AG64" i="30"/>
  <c r="AH52" i="30"/>
  <c r="AH69" i="30"/>
  <c r="AG39" i="30"/>
  <c r="AG56" i="30"/>
  <c r="AG48" i="30"/>
  <c r="AG65" i="30"/>
  <c r="AH40" i="30"/>
  <c r="AH57" i="30"/>
  <c r="AG37" i="30"/>
  <c r="AG54" i="30"/>
  <c r="AG38" i="30"/>
  <c r="AG55" i="30"/>
  <c r="AG59" i="30"/>
  <c r="AG42" i="30"/>
  <c r="AG76" i="30" s="1"/>
  <c r="AH41" i="30"/>
  <c r="AH58" i="30"/>
  <c r="AE68" i="30"/>
  <c r="AE51" i="30"/>
  <c r="AE85" i="30" s="1"/>
  <c r="AF49" i="30"/>
  <c r="AF66" i="30"/>
  <c r="AG45" i="30"/>
  <c r="AG62" i="30"/>
  <c r="AH44" i="30"/>
  <c r="AH61" i="30"/>
  <c r="AG60" i="30"/>
  <c r="AG43" i="30"/>
  <c r="AG77" i="30" s="1"/>
  <c r="AH46" i="30"/>
  <c r="AH63" i="30"/>
  <c r="AH47" i="30"/>
  <c r="AH64" i="30"/>
  <c r="AI52" i="30"/>
  <c r="AI69" i="30"/>
  <c r="AH39" i="30"/>
  <c r="AH56" i="30"/>
  <c r="AH48" i="30"/>
  <c r="AH65" i="30"/>
  <c r="AI40" i="30"/>
  <c r="AI57" i="30"/>
  <c r="AH37" i="30"/>
  <c r="AH54" i="30"/>
  <c r="AH38" i="30"/>
  <c r="AH55" i="30"/>
  <c r="AH59" i="30"/>
  <c r="AH42" i="30"/>
  <c r="AH76" i="30" s="1"/>
  <c r="AI41" i="30"/>
  <c r="AI58" i="30"/>
  <c r="AF68" i="30"/>
  <c r="AF51" i="30"/>
  <c r="AF85" i="30" s="1"/>
  <c r="AG49" i="30"/>
  <c r="AG66" i="30"/>
  <c r="AH45" i="30"/>
  <c r="AH62" i="30"/>
  <c r="AI44" i="30"/>
  <c r="AI61" i="30"/>
  <c r="AH60" i="30"/>
  <c r="AH43" i="30"/>
  <c r="AH77" i="30" s="1"/>
  <c r="AI46" i="30"/>
  <c r="AI63" i="30"/>
  <c r="AI47" i="30"/>
  <c r="AI64" i="30"/>
  <c r="AJ52" i="30"/>
  <c r="AJ69" i="30"/>
  <c r="AI39" i="30"/>
  <c r="AI56" i="30"/>
  <c r="AI48" i="30"/>
  <c r="AI65" i="30"/>
  <c r="AJ40" i="30"/>
  <c r="AJ57" i="30"/>
  <c r="AI37" i="30"/>
  <c r="AI54" i="30"/>
  <c r="AI38" i="30"/>
  <c r="AI55" i="30"/>
  <c r="AI59" i="30"/>
  <c r="AI42" i="30"/>
  <c r="AI76" i="30" s="1"/>
  <c r="AJ41" i="30"/>
  <c r="AJ58" i="30"/>
  <c r="AG68" i="30"/>
  <c r="AG51" i="30"/>
  <c r="AG85" i="30" s="1"/>
  <c r="AH49" i="30"/>
  <c r="AH66" i="30"/>
  <c r="AI45" i="30"/>
  <c r="AI62" i="30"/>
  <c r="AJ44" i="30"/>
  <c r="AJ61" i="30"/>
  <c r="AI60" i="30"/>
  <c r="AI43" i="30"/>
  <c r="AI77" i="30" s="1"/>
  <c r="AJ46" i="30"/>
  <c r="AJ63" i="30"/>
  <c r="AJ47" i="30"/>
  <c r="AJ64" i="30"/>
  <c r="AK52" i="30"/>
  <c r="AK69" i="30"/>
  <c r="AJ39" i="30"/>
  <c r="AJ56" i="30"/>
  <c r="AJ48" i="30"/>
  <c r="AJ65" i="30"/>
  <c r="AK40" i="30"/>
  <c r="AK57" i="30"/>
  <c r="AJ37" i="30"/>
  <c r="AJ54" i="30"/>
  <c r="AJ38" i="30"/>
  <c r="AJ55" i="30"/>
  <c r="AJ59" i="30"/>
  <c r="AJ42" i="30"/>
  <c r="AJ76" i="30" s="1"/>
  <c r="AK41" i="30"/>
  <c r="AK58" i="30"/>
  <c r="AH68" i="30"/>
  <c r="AH51" i="30"/>
  <c r="AH85" i="30" s="1"/>
  <c r="AI49" i="30"/>
  <c r="AI66" i="30"/>
  <c r="AJ45" i="30"/>
  <c r="AJ62" i="30"/>
  <c r="AK44" i="30"/>
  <c r="AK61" i="30"/>
  <c r="AJ60" i="30"/>
  <c r="AJ43" i="30"/>
  <c r="AJ77" i="30" s="1"/>
  <c r="AK46" i="30"/>
  <c r="AK63" i="30"/>
  <c r="AK47" i="30"/>
  <c r="AK64" i="30"/>
  <c r="AL52" i="30"/>
  <c r="AL69" i="30"/>
  <c r="AK39" i="30"/>
  <c r="AK56" i="30"/>
  <c r="AK48" i="30"/>
  <c r="AK65" i="30"/>
  <c r="AL40" i="30"/>
  <c r="AL57" i="30"/>
  <c r="AK37" i="30"/>
  <c r="AK54" i="30"/>
  <c r="AK38" i="30"/>
  <c r="AK55" i="30"/>
  <c r="AK59" i="30"/>
  <c r="AK42" i="30"/>
  <c r="AK76" i="30" s="1"/>
  <c r="AL41" i="30"/>
  <c r="AL58" i="30"/>
  <c r="AI68" i="30"/>
  <c r="AI51" i="30"/>
  <c r="AI85" i="30" s="1"/>
  <c r="AJ49" i="30"/>
  <c r="AJ66" i="30"/>
  <c r="AK45" i="30"/>
  <c r="AK62" i="30"/>
  <c r="AL44" i="30"/>
  <c r="AL61" i="30"/>
  <c r="AK60" i="30"/>
  <c r="AK43" i="30"/>
  <c r="AK77" i="30" s="1"/>
  <c r="AL46" i="30"/>
  <c r="AL63" i="30"/>
  <c r="AL47" i="30"/>
  <c r="AL64" i="30"/>
  <c r="AM52" i="30"/>
  <c r="AM69" i="30"/>
  <c r="AL39" i="30"/>
  <c r="AL56" i="30"/>
  <c r="AL48" i="30"/>
  <c r="AL65" i="30"/>
  <c r="AM40" i="30"/>
  <c r="AM57" i="30"/>
  <c r="AL37" i="30"/>
  <c r="AL54" i="30"/>
  <c r="AL38" i="30"/>
  <c r="AL55" i="30"/>
  <c r="AL59" i="30"/>
  <c r="AL42" i="30"/>
  <c r="AL76" i="30" s="1"/>
  <c r="AM41" i="30"/>
  <c r="AM58" i="30"/>
  <c r="AJ68" i="30"/>
  <c r="AJ51" i="30"/>
  <c r="AJ85" i="30" s="1"/>
  <c r="AK49" i="30"/>
  <c r="AK66" i="30"/>
  <c r="AL45" i="30"/>
  <c r="AL62" i="30"/>
  <c r="AM44" i="30"/>
  <c r="AM61" i="30"/>
  <c r="AL60" i="30"/>
  <c r="AL43" i="30"/>
  <c r="AL77" i="30" s="1"/>
  <c r="AM46" i="30"/>
  <c r="AM63" i="30"/>
  <c r="AM47" i="30"/>
  <c r="AM64" i="30"/>
  <c r="AN52" i="30"/>
  <c r="AN69" i="30"/>
  <c r="AM39" i="30"/>
  <c r="AM56" i="30"/>
  <c r="AM48" i="30"/>
  <c r="AM65" i="30"/>
  <c r="AN40" i="30"/>
  <c r="AN57" i="30"/>
  <c r="AM37" i="30"/>
  <c r="AM54" i="30"/>
  <c r="AM38" i="30"/>
  <c r="AM55" i="30"/>
  <c r="AM59" i="30"/>
  <c r="AM42" i="30"/>
  <c r="AM76" i="30" s="1"/>
  <c r="AN41" i="30"/>
  <c r="AN58" i="30"/>
  <c r="AK68" i="30"/>
  <c r="AK51" i="30"/>
  <c r="AK85" i="30" s="1"/>
  <c r="AL49" i="30"/>
  <c r="AL66" i="30"/>
  <c r="AM45" i="30"/>
  <c r="AM62" i="30"/>
  <c r="AN44" i="30"/>
  <c r="AN61" i="30"/>
  <c r="AM60" i="30"/>
  <c r="AM43" i="30"/>
  <c r="AM77" i="30" s="1"/>
  <c r="AN46" i="30"/>
  <c r="AN63" i="30"/>
  <c r="AN47" i="30"/>
  <c r="AN64" i="30"/>
  <c r="AO52" i="30"/>
  <c r="AO69" i="30"/>
  <c r="AN39" i="30"/>
  <c r="AN56" i="30"/>
  <c r="AN48" i="30"/>
  <c r="AN65" i="30"/>
  <c r="AO40" i="30"/>
  <c r="AO57" i="30"/>
  <c r="AN37" i="30"/>
  <c r="AN54" i="30"/>
  <c r="AN38" i="30"/>
  <c r="AN55" i="30"/>
  <c r="AN59" i="30"/>
  <c r="AN42" i="30"/>
  <c r="AN76" i="30" s="1"/>
  <c r="AO41" i="30"/>
  <c r="AO58" i="30"/>
  <c r="AL68" i="30"/>
  <c r="AL51" i="30"/>
  <c r="AL85" i="30" s="1"/>
  <c r="AM49" i="30"/>
  <c r="AM66" i="30"/>
  <c r="AN45" i="30"/>
  <c r="AN62" i="30"/>
  <c r="AO44" i="30"/>
  <c r="AO61" i="30"/>
  <c r="AN60" i="30"/>
  <c r="AN43" i="30"/>
  <c r="AN77" i="30" s="1"/>
  <c r="AO46" i="30"/>
  <c r="AO63" i="30"/>
  <c r="AO47" i="30"/>
  <c r="AO64" i="30"/>
  <c r="AP52" i="30"/>
  <c r="AP69" i="30"/>
  <c r="AO39" i="30"/>
  <c r="AO56" i="30"/>
  <c r="AO48" i="30"/>
  <c r="AO65" i="30"/>
  <c r="AP40" i="30"/>
  <c r="AP57" i="30"/>
  <c r="AO37" i="30"/>
  <c r="AO54" i="30"/>
  <c r="AO38" i="30"/>
  <c r="AO55" i="30"/>
  <c r="AO59" i="30"/>
  <c r="AO42" i="30"/>
  <c r="AO76" i="30" s="1"/>
  <c r="AP41" i="30"/>
  <c r="AP58" i="30"/>
  <c r="AM68" i="30"/>
  <c r="AM51" i="30"/>
  <c r="AM85" i="30" s="1"/>
  <c r="AN49" i="30"/>
  <c r="AN66" i="30"/>
  <c r="AO45" i="30"/>
  <c r="AO62" i="30"/>
  <c r="AP44" i="30"/>
  <c r="AP61" i="30"/>
  <c r="AO60" i="30"/>
  <c r="AO43" i="30"/>
  <c r="AO77" i="30" s="1"/>
  <c r="AP46" i="30"/>
  <c r="AP63" i="30"/>
  <c r="AP47" i="30"/>
  <c r="AP64" i="30"/>
  <c r="AQ52" i="30"/>
  <c r="AQ69" i="30"/>
  <c r="AP39" i="30"/>
  <c r="AP56" i="30"/>
  <c r="AP48" i="30"/>
  <c r="AP65" i="30"/>
  <c r="AQ40" i="30"/>
  <c r="AQ57" i="30"/>
  <c r="AP37" i="30"/>
  <c r="AP54" i="30"/>
  <c r="AP38" i="30"/>
  <c r="AP55" i="30"/>
  <c r="AP42" i="30"/>
  <c r="AP76" i="30" s="1"/>
  <c r="AP59" i="30"/>
  <c r="AQ41" i="30"/>
  <c r="AQ58" i="30"/>
  <c r="AN68" i="30"/>
  <c r="AN51" i="30"/>
  <c r="AN85" i="30" s="1"/>
  <c r="AO49" i="30"/>
  <c r="AO66" i="30"/>
  <c r="AP45" i="30"/>
  <c r="AP62" i="30"/>
  <c r="AQ44" i="30"/>
  <c r="AQ61" i="30"/>
  <c r="AP43" i="30"/>
  <c r="AP77" i="30" s="1"/>
  <c r="AP60" i="30"/>
  <c r="AQ46" i="30"/>
  <c r="AQ63" i="30"/>
  <c r="AQ47" i="30"/>
  <c r="AQ64" i="30"/>
  <c r="AR52" i="30"/>
  <c r="AR69" i="30"/>
  <c r="AQ39" i="30"/>
  <c r="AQ56" i="30"/>
  <c r="AQ48" i="30"/>
  <c r="AQ65" i="30"/>
  <c r="AR40" i="30"/>
  <c r="AR57" i="30"/>
  <c r="AQ37" i="30"/>
  <c r="AQ54" i="30"/>
  <c r="AQ38" i="30"/>
  <c r="AQ55" i="30"/>
  <c r="AQ42" i="30"/>
  <c r="AQ76" i="30" s="1"/>
  <c r="AQ59" i="30"/>
  <c r="AR41" i="30"/>
  <c r="AR58" i="30"/>
  <c r="AO68" i="30"/>
  <c r="AO51" i="30"/>
  <c r="AO85" i="30" s="1"/>
  <c r="AP49" i="30"/>
  <c r="AP66" i="30"/>
  <c r="AQ45" i="30"/>
  <c r="AQ62" i="30"/>
  <c r="AR44" i="30"/>
  <c r="AR61" i="30"/>
  <c r="AQ43" i="30"/>
  <c r="AQ77" i="30" s="1"/>
  <c r="AQ60" i="30"/>
  <c r="AR46" i="30"/>
  <c r="AR63" i="30"/>
  <c r="AR47" i="30"/>
  <c r="AR64" i="30"/>
  <c r="AS52" i="30"/>
  <c r="AS69" i="30"/>
  <c r="AR39" i="30"/>
  <c r="AR56" i="30"/>
  <c r="AR48" i="30"/>
  <c r="AR65" i="30"/>
  <c r="AS40" i="30"/>
  <c r="AS57" i="30"/>
  <c r="AR37" i="30"/>
  <c r="AR54" i="30"/>
  <c r="AR38" i="30"/>
  <c r="AR55" i="30"/>
  <c r="AR42" i="30"/>
  <c r="AR76" i="30" s="1"/>
  <c r="AR59" i="30"/>
  <c r="AS41" i="30"/>
  <c r="AS58" i="30"/>
  <c r="AP51" i="30"/>
  <c r="AP85" i="30" s="1"/>
  <c r="AP68" i="30"/>
  <c r="AQ49" i="30"/>
  <c r="AQ66" i="30"/>
  <c r="AR45" i="30"/>
  <c r="AR62" i="30"/>
  <c r="AS44" i="30"/>
  <c r="AS61" i="30"/>
  <c r="AR43" i="30"/>
  <c r="AR77" i="30" s="1"/>
  <c r="AR60" i="30"/>
  <c r="AS46" i="30"/>
  <c r="AS63" i="30"/>
  <c r="AS47" i="30"/>
  <c r="AS64" i="30"/>
  <c r="AT52" i="30"/>
  <c r="AT69" i="30"/>
  <c r="AS39" i="30"/>
  <c r="AS56" i="30"/>
  <c r="AS48" i="30"/>
  <c r="AS65" i="30"/>
  <c r="AT40" i="30"/>
  <c r="AT57" i="30"/>
  <c r="AS37" i="30"/>
  <c r="AS54" i="30"/>
  <c r="AS38" i="30"/>
  <c r="AS55" i="30"/>
  <c r="AS42" i="30"/>
  <c r="AS76" i="30" s="1"/>
  <c r="AS59" i="30"/>
  <c r="AT41" i="30"/>
  <c r="AT58" i="30"/>
  <c r="AQ51" i="30"/>
  <c r="AQ85" i="30" s="1"/>
  <c r="AQ68" i="30"/>
  <c r="AR49" i="30"/>
  <c r="AR66" i="30"/>
  <c r="AS45" i="30"/>
  <c r="AS62" i="30"/>
  <c r="AT44" i="30"/>
  <c r="AT61" i="30"/>
  <c r="AS43" i="30"/>
  <c r="AS77" i="30" s="1"/>
  <c r="AS60" i="30"/>
  <c r="AT46" i="30"/>
  <c r="AT63" i="30"/>
  <c r="AT47" i="30"/>
  <c r="AT64" i="30"/>
  <c r="AU52" i="30"/>
  <c r="AU69" i="30"/>
  <c r="AT39" i="30"/>
  <c r="AT56" i="30"/>
  <c r="AT48" i="30"/>
  <c r="AT65" i="30"/>
  <c r="AU40" i="30"/>
  <c r="AU57" i="30"/>
  <c r="AT37" i="30"/>
  <c r="AT54" i="30"/>
  <c r="AT38" i="30"/>
  <c r="AT55" i="30"/>
  <c r="AT42" i="30"/>
  <c r="AT76" i="30" s="1"/>
  <c r="AT59" i="30"/>
  <c r="AU41" i="30"/>
  <c r="AU58" i="30"/>
  <c r="AR51" i="30"/>
  <c r="AR85" i="30" s="1"/>
  <c r="AR68" i="30"/>
  <c r="AS49" i="30"/>
  <c r="AS66" i="30"/>
  <c r="AT45" i="30"/>
  <c r="AT62" i="30"/>
  <c r="AU44" i="30"/>
  <c r="AU61" i="30"/>
  <c r="AT43" i="30"/>
  <c r="AT77" i="30" s="1"/>
  <c r="AT60" i="30"/>
  <c r="AU46" i="30"/>
  <c r="AU63" i="30"/>
  <c r="AU47" i="30"/>
  <c r="AU64" i="30"/>
  <c r="AV52" i="30"/>
  <c r="AV69" i="30"/>
  <c r="AU39" i="30"/>
  <c r="AU56" i="30"/>
  <c r="AU48" i="30"/>
  <c r="AU65" i="30"/>
  <c r="AV40" i="30"/>
  <c r="AV57" i="30"/>
  <c r="AU37" i="30"/>
  <c r="AU54" i="30"/>
  <c r="AU38" i="30"/>
  <c r="AU55" i="30"/>
  <c r="AU42" i="30"/>
  <c r="AU76" i="30" s="1"/>
  <c r="AU59" i="30"/>
  <c r="AV41" i="30"/>
  <c r="AV58" i="30"/>
  <c r="AS51" i="30"/>
  <c r="AS85" i="30" s="1"/>
  <c r="AS68" i="30"/>
  <c r="AT49" i="30"/>
  <c r="AT66" i="30"/>
  <c r="AU45" i="30"/>
  <c r="AU62" i="30"/>
  <c r="AV44" i="30"/>
  <c r="AV61" i="30"/>
  <c r="AU43" i="30"/>
  <c r="AU77" i="30" s="1"/>
  <c r="AU60" i="30"/>
  <c r="AV46" i="30"/>
  <c r="AV63" i="30"/>
  <c r="AV47" i="30"/>
  <c r="AV64" i="30"/>
  <c r="AW52" i="30"/>
  <c r="AW69" i="30"/>
  <c r="AT51" i="30"/>
  <c r="AT85" i="30" s="1"/>
  <c r="AT68" i="30"/>
  <c r="AU51" i="30"/>
  <c r="AU85" i="30" s="1"/>
  <c r="AU68" i="30"/>
  <c r="AV51" i="30"/>
  <c r="AV85" i="30" s="1"/>
  <c r="AV68" i="30"/>
  <c r="AW51" i="30"/>
  <c r="AW85" i="30" s="1"/>
  <c r="AW68" i="30"/>
  <c r="B67" i="30"/>
  <c r="B50" i="30"/>
  <c r="B84" i="30" s="1"/>
  <c r="C67" i="30"/>
  <c r="C50" i="30"/>
  <c r="C84" i="30" s="1"/>
  <c r="D67" i="30"/>
  <c r="D50" i="30"/>
  <c r="D84" i="30" s="1"/>
  <c r="E67" i="30"/>
  <c r="E50" i="30"/>
  <c r="E84" i="30" s="1"/>
  <c r="F67" i="30"/>
  <c r="F50" i="30"/>
  <c r="F84" i="30" s="1"/>
  <c r="G67" i="30"/>
  <c r="G50" i="30"/>
  <c r="G84" i="30" s="1"/>
  <c r="H67" i="30"/>
  <c r="H50" i="30"/>
  <c r="H84" i="30" s="1"/>
  <c r="I67" i="30"/>
  <c r="I50" i="30"/>
  <c r="I84" i="30" s="1"/>
  <c r="J67" i="30"/>
  <c r="J50" i="30"/>
  <c r="J84" i="30" s="1"/>
  <c r="K67" i="30"/>
  <c r="K50" i="30"/>
  <c r="K84" i="30" s="1"/>
  <c r="L67" i="30"/>
  <c r="L50" i="30"/>
  <c r="L84" i="30" s="1"/>
  <c r="M67" i="30"/>
  <c r="M50" i="30"/>
  <c r="M84" i="30" s="1"/>
  <c r="N67" i="30"/>
  <c r="N50" i="30"/>
  <c r="N84" i="30" s="1"/>
  <c r="O67" i="30"/>
  <c r="O50" i="30"/>
  <c r="O84" i="30" s="1"/>
  <c r="P67" i="30"/>
  <c r="P50" i="30"/>
  <c r="P84" i="30" s="1"/>
  <c r="Q67" i="30"/>
  <c r="Q50" i="30"/>
  <c r="Q84" i="30" s="1"/>
  <c r="R67" i="30"/>
  <c r="R50" i="30"/>
  <c r="R84" i="30" s="1"/>
  <c r="S67" i="30"/>
  <c r="S50" i="30"/>
  <c r="S84" i="30" s="1"/>
  <c r="T67" i="30"/>
  <c r="T50" i="30"/>
  <c r="T84" i="30" s="1"/>
  <c r="U67" i="30"/>
  <c r="U50" i="30"/>
  <c r="U84" i="30" s="1"/>
  <c r="V67" i="30"/>
  <c r="V50" i="30"/>
  <c r="V84" i="30" s="1"/>
  <c r="W67" i="30"/>
  <c r="W50" i="30"/>
  <c r="W84" i="30" s="1"/>
  <c r="X67" i="30"/>
  <c r="X50" i="30"/>
  <c r="X84" i="30" s="1"/>
  <c r="Y67" i="30"/>
  <c r="Y50" i="30"/>
  <c r="Y84" i="30" s="1"/>
  <c r="Z67" i="30"/>
  <c r="Z50" i="30"/>
  <c r="Z84" i="30" s="1"/>
  <c r="AA67" i="30"/>
  <c r="AA50" i="30"/>
  <c r="AA84" i="30" s="1"/>
  <c r="AB67" i="30"/>
  <c r="AB50" i="30"/>
  <c r="AB84" i="30" s="1"/>
  <c r="AC67" i="30"/>
  <c r="AC50" i="30"/>
  <c r="AC84" i="30" s="1"/>
  <c r="AD67" i="30"/>
  <c r="AD50" i="30"/>
  <c r="AD84" i="30" s="1"/>
  <c r="AE67" i="30"/>
  <c r="AE50" i="30"/>
  <c r="AE84" i="30" s="1"/>
  <c r="AF67" i="30"/>
  <c r="AF50" i="30"/>
  <c r="AF84" i="30" s="1"/>
  <c r="AG67" i="30"/>
  <c r="AG50" i="30"/>
  <c r="AG84" i="30" s="1"/>
  <c r="AH67" i="30"/>
  <c r="AH50" i="30"/>
  <c r="AH84" i="30" s="1"/>
  <c r="AI67" i="30"/>
  <c r="AI50" i="30"/>
  <c r="AI84" i="30" s="1"/>
  <c r="AJ67" i="30"/>
  <c r="AJ50" i="30"/>
  <c r="AJ84" i="30" s="1"/>
  <c r="AK67" i="30"/>
  <c r="AK50" i="30"/>
  <c r="AK84" i="30" s="1"/>
  <c r="AL67" i="30"/>
  <c r="AL50" i="30"/>
  <c r="AL84" i="30" s="1"/>
  <c r="AM67" i="30"/>
  <c r="AM50" i="30"/>
  <c r="AM84" i="30" s="1"/>
  <c r="AN67" i="30"/>
  <c r="AN50" i="30"/>
  <c r="AN84" i="30" s="1"/>
  <c r="AO67" i="30"/>
  <c r="AO50" i="30"/>
  <c r="AO84" i="30" s="1"/>
  <c r="AP50" i="30"/>
  <c r="AP84" i="30" s="1"/>
  <c r="AP67" i="30"/>
  <c r="AQ50" i="30"/>
  <c r="AQ84" i="30" s="1"/>
  <c r="AQ67" i="30"/>
  <c r="AR50" i="30"/>
  <c r="AR84" i="30" s="1"/>
  <c r="AR67" i="30"/>
  <c r="AS50" i="30"/>
  <c r="AS84" i="30" s="1"/>
  <c r="AS67" i="30"/>
  <c r="AT50" i="30"/>
  <c r="AT84" i="30" s="1"/>
  <c r="AT67" i="30"/>
  <c r="AU50" i="30"/>
  <c r="AU84" i="30" s="1"/>
  <c r="AU67" i="30"/>
  <c r="AV50" i="30"/>
  <c r="AV84" i="30" s="1"/>
  <c r="AV67" i="30"/>
  <c r="AW50" i="30"/>
  <c r="AW84" i="30" s="1"/>
  <c r="AW67" i="30"/>
  <c r="B17" i="30"/>
  <c r="B245" i="30" s="1"/>
  <c r="B246" i="30" s="1"/>
  <c r="AU49" i="30"/>
  <c r="AU66" i="30"/>
  <c r="AV49" i="30"/>
  <c r="AV66" i="30"/>
  <c r="AW49" i="30"/>
  <c r="AW66" i="30"/>
  <c r="B15" i="30"/>
  <c r="B235" i="30" s="1"/>
  <c r="B236" i="30" s="1"/>
  <c r="B18" i="30"/>
  <c r="B250" i="30" s="1"/>
  <c r="B251" i="30" s="1"/>
  <c r="AV48" i="30"/>
  <c r="AV65" i="30"/>
  <c r="AV38" i="30"/>
  <c r="AV55" i="30"/>
  <c r="AV45" i="30"/>
  <c r="AV62" i="30"/>
  <c r="AV42" i="30"/>
  <c r="AV76" i="30" s="1"/>
  <c r="AV59" i="30"/>
  <c r="AV43" i="30"/>
  <c r="AV77" i="30" s="1"/>
  <c r="AV60" i="30"/>
  <c r="AW48" i="30"/>
  <c r="AW65" i="30"/>
  <c r="B14" i="30"/>
  <c r="B230" i="30" s="1"/>
  <c r="B231" i="30" s="1"/>
  <c r="AV39" i="30"/>
  <c r="AV56" i="30"/>
  <c r="AW47" i="30"/>
  <c r="AW64" i="30"/>
  <c r="B13" i="30"/>
  <c r="B225" i="30" s="1"/>
  <c r="B226" i="30" s="1"/>
  <c r="AV37" i="30"/>
  <c r="AV54" i="30"/>
  <c r="AW46" i="30"/>
  <c r="AW63" i="30"/>
  <c r="AW45" i="30"/>
  <c r="AW62" i="30"/>
  <c r="B11" i="30"/>
  <c r="B215" i="30" s="1"/>
  <c r="B216" i="30" s="1"/>
  <c r="B12" i="30"/>
  <c r="B220" i="30" s="1"/>
  <c r="B221" i="30" s="1"/>
  <c r="AW44" i="30"/>
  <c r="AW61" i="30"/>
  <c r="AW43" i="30"/>
  <c r="AW77" i="30" s="1"/>
  <c r="AW60" i="30"/>
  <c r="AW42" i="30"/>
  <c r="AW76" i="30" s="1"/>
  <c r="AW59" i="30"/>
  <c r="B8" i="30"/>
  <c r="B200" i="30" s="1"/>
  <c r="B201" i="30" s="1"/>
  <c r="B9" i="30"/>
  <c r="B205" i="30" s="1"/>
  <c r="B206" i="30" s="1"/>
  <c r="B10" i="30"/>
  <c r="B210" i="30" s="1"/>
  <c r="B211" i="30" s="1"/>
  <c r="AW41" i="30"/>
  <c r="AW58" i="30"/>
  <c r="B7" i="30"/>
  <c r="B195" i="30" s="1"/>
  <c r="B196" i="30" s="1"/>
  <c r="AW40" i="30"/>
  <c r="AW57" i="30"/>
  <c r="B6" i="30"/>
  <c r="B190" i="30" s="1"/>
  <c r="B191" i="30" s="1"/>
  <c r="AW39" i="30"/>
  <c r="AW56" i="30"/>
  <c r="B5" i="30"/>
  <c r="AW38" i="30"/>
  <c r="AW55" i="30"/>
  <c r="B4" i="30"/>
  <c r="B180" i="30" s="1"/>
  <c r="B181" i="30" s="1"/>
  <c r="AW37" i="30"/>
  <c r="AW54" i="30"/>
  <c r="B19" i="30"/>
  <c r="B255" i="30" s="1"/>
  <c r="B256" i="30" s="1"/>
  <c r="AX70" i="30"/>
  <c r="AY70" i="30"/>
  <c r="AZ70" i="30"/>
  <c r="BA70" i="30"/>
  <c r="BB70" i="30"/>
  <c r="BC70" i="30"/>
  <c r="BD70" i="30"/>
  <c r="BE70" i="30"/>
  <c r="BF70" i="30"/>
  <c r="BG70" i="30"/>
  <c r="BH70" i="30"/>
  <c r="BI70" i="30"/>
  <c r="BJ70" i="30"/>
  <c r="BK70" i="30"/>
  <c r="BL70" i="30"/>
  <c r="BM70" i="30"/>
  <c r="BN70" i="30"/>
  <c r="BO70" i="30"/>
  <c r="BP70" i="30"/>
  <c r="BQ70" i="30"/>
  <c r="BR70" i="30"/>
  <c r="BS70" i="30"/>
  <c r="BT70" i="30"/>
  <c r="BU70" i="30"/>
  <c r="BV70" i="30"/>
  <c r="BW70" i="30"/>
  <c r="BX70" i="30"/>
  <c r="BY70" i="30"/>
  <c r="BZ70" i="30"/>
  <c r="CA70" i="30"/>
  <c r="CB70" i="30"/>
  <c r="CC70" i="30"/>
  <c r="CD70" i="30"/>
  <c r="CE70" i="30"/>
  <c r="CF70" i="30"/>
  <c r="CG70" i="30"/>
  <c r="CH70" i="30"/>
  <c r="CI70" i="30"/>
  <c r="CJ70" i="30"/>
  <c r="CK70" i="30"/>
  <c r="CL70" i="30"/>
  <c r="CM70" i="30"/>
  <c r="CN70" i="30"/>
  <c r="CO70" i="30"/>
  <c r="CP70" i="30"/>
  <c r="CQ70" i="30"/>
  <c r="CR70" i="30"/>
  <c r="CS70" i="30"/>
  <c r="CT70" i="30"/>
  <c r="CU70" i="30"/>
  <c r="CV70" i="30"/>
  <c r="CW70" i="30"/>
  <c r="CX70" i="30"/>
  <c r="CY70" i="30"/>
  <c r="CZ70" i="30"/>
  <c r="DA70" i="30"/>
  <c r="DB70" i="30"/>
  <c r="DC70" i="30"/>
  <c r="DD70" i="30"/>
  <c r="DE70" i="30"/>
  <c r="DF70" i="30"/>
  <c r="DG70" i="30"/>
  <c r="DH70" i="30"/>
  <c r="DI70" i="30"/>
  <c r="DJ70" i="30"/>
  <c r="DK70" i="30"/>
  <c r="DL70" i="30"/>
  <c r="DM70" i="30"/>
  <c r="DN70" i="30"/>
  <c r="DO70" i="30"/>
  <c r="DP70" i="30"/>
  <c r="DQ70" i="30"/>
  <c r="DR70" i="30"/>
  <c r="DS70" i="30"/>
  <c r="DT70" i="30"/>
  <c r="DU70" i="30"/>
  <c r="DV70" i="30"/>
  <c r="DW70" i="30"/>
  <c r="DX70" i="30"/>
  <c r="DY70" i="30"/>
  <c r="DZ70" i="30"/>
  <c r="EA70" i="30"/>
  <c r="EB70" i="30"/>
  <c r="EC70" i="30"/>
  <c r="ED70" i="30"/>
  <c r="EE70" i="30"/>
  <c r="EF70" i="30"/>
  <c r="EG70" i="30"/>
  <c r="EH70" i="30"/>
  <c r="EI70" i="30"/>
  <c r="EJ70" i="30"/>
  <c r="EK70" i="30"/>
  <c r="EL70" i="30"/>
  <c r="EM70" i="30"/>
  <c r="EN70" i="30"/>
  <c r="EO70" i="30"/>
  <c r="EP70" i="30"/>
  <c r="EQ70" i="30"/>
  <c r="ER70" i="30"/>
  <c r="ES70" i="30"/>
  <c r="ET70" i="30"/>
  <c r="EU70" i="30"/>
  <c r="EV70" i="30"/>
  <c r="EW70" i="30"/>
  <c r="EX70" i="30"/>
  <c r="EY70" i="30"/>
  <c r="EZ70" i="30"/>
  <c r="FA70" i="30"/>
  <c r="FB70" i="30"/>
  <c r="FC70" i="30"/>
  <c r="FD70" i="30"/>
  <c r="FE70" i="30"/>
  <c r="FF70" i="30"/>
  <c r="FG70" i="30"/>
  <c r="FH70" i="30"/>
  <c r="FI70" i="30"/>
  <c r="FJ70" i="30"/>
  <c r="FK70" i="30"/>
  <c r="FL70" i="30"/>
  <c r="FM70" i="30"/>
  <c r="FN70" i="30"/>
  <c r="FO70" i="30"/>
  <c r="FP70" i="30"/>
  <c r="FQ70" i="30"/>
  <c r="FR70" i="30"/>
  <c r="FS70" i="30"/>
  <c r="FT70" i="30"/>
  <c r="FU70" i="30"/>
  <c r="FV70" i="30"/>
  <c r="FW70" i="30"/>
  <c r="FX70" i="30"/>
  <c r="FY70" i="30"/>
  <c r="FZ70" i="30"/>
  <c r="GA70" i="30"/>
  <c r="GB70" i="30"/>
  <c r="GC70" i="30"/>
  <c r="GD70" i="30"/>
  <c r="GE70" i="30"/>
  <c r="GF70" i="30"/>
  <c r="GG70" i="30"/>
  <c r="GH70" i="30"/>
  <c r="GI70" i="30"/>
  <c r="GJ70" i="30"/>
  <c r="GK70" i="30"/>
  <c r="GL70" i="30"/>
  <c r="GM70" i="30"/>
  <c r="GN70" i="30"/>
  <c r="GO70" i="30"/>
  <c r="GP70" i="30"/>
  <c r="GQ70" i="30"/>
  <c r="GR70" i="30"/>
  <c r="GS70" i="30"/>
  <c r="GT70" i="30"/>
  <c r="GU70" i="30"/>
  <c r="GV70" i="30"/>
  <c r="GW70" i="30"/>
  <c r="GX70" i="30"/>
  <c r="GY70" i="30"/>
  <c r="GZ70" i="30"/>
  <c r="HA70" i="30"/>
  <c r="HB70" i="30"/>
  <c r="HC70" i="30"/>
  <c r="HD70" i="30"/>
  <c r="HE70" i="30"/>
  <c r="HF70" i="30"/>
  <c r="HG70" i="30"/>
  <c r="HH70" i="30"/>
  <c r="HI70" i="30"/>
  <c r="HJ70" i="30"/>
  <c r="HK70" i="30"/>
  <c r="HL70" i="30"/>
  <c r="HM70" i="30"/>
  <c r="HN70" i="30"/>
  <c r="HO70" i="30"/>
  <c r="HP70" i="30"/>
  <c r="HQ70" i="30"/>
  <c r="HR70" i="30"/>
  <c r="HS70" i="30"/>
  <c r="HT70" i="30"/>
  <c r="HU70" i="30"/>
  <c r="HV70" i="30"/>
  <c r="HW70" i="30"/>
  <c r="HX70" i="30"/>
  <c r="HY70" i="30"/>
  <c r="HZ70" i="30"/>
  <c r="IA70" i="30"/>
  <c r="IB70" i="30"/>
  <c r="IC70" i="30"/>
  <c r="ID70" i="30"/>
  <c r="IE70" i="30"/>
  <c r="IF70" i="30"/>
  <c r="IG70" i="30"/>
  <c r="B3" i="30"/>
  <c r="AX69" i="30"/>
  <c r="AX57" i="30"/>
  <c r="AX58" i="30"/>
  <c r="AX61" i="30"/>
  <c r="AX63" i="30"/>
  <c r="AX64" i="30"/>
  <c r="AY69" i="30"/>
  <c r="AX56" i="30"/>
  <c r="AX65" i="30"/>
  <c r="AY57" i="30"/>
  <c r="AX54" i="30"/>
  <c r="AX55" i="30"/>
  <c r="AX59" i="30"/>
  <c r="AY58" i="30"/>
  <c r="AX62" i="30"/>
  <c r="AY61" i="30"/>
  <c r="AX60" i="30"/>
  <c r="AY63" i="30"/>
  <c r="AY64" i="30"/>
  <c r="AZ69" i="30"/>
  <c r="AY56" i="30"/>
  <c r="AY65" i="30"/>
  <c r="AZ57" i="30"/>
  <c r="AY54" i="30"/>
  <c r="AY55" i="30"/>
  <c r="AY59" i="30"/>
  <c r="AZ58" i="30"/>
  <c r="AX66" i="30"/>
  <c r="AY62" i="30"/>
  <c r="AZ61" i="30"/>
  <c r="AY60" i="30"/>
  <c r="AZ63" i="30"/>
  <c r="AZ64" i="30"/>
  <c r="BA69" i="30"/>
  <c r="AZ56" i="30"/>
  <c r="AZ65" i="30"/>
  <c r="BA57" i="30"/>
  <c r="AZ54" i="30"/>
  <c r="AZ55" i="30"/>
  <c r="AZ59" i="30"/>
  <c r="BA58" i="30"/>
  <c r="AX68" i="30"/>
  <c r="AY66" i="30"/>
  <c r="AZ62" i="30"/>
  <c r="BA61" i="30"/>
  <c r="AZ60" i="30"/>
  <c r="BA63" i="30"/>
  <c r="BA64" i="30"/>
  <c r="BB69" i="30"/>
  <c r="BA56" i="30"/>
  <c r="BA65" i="30"/>
  <c r="BB57" i="30"/>
  <c r="BA54" i="30"/>
  <c r="BA55" i="30"/>
  <c r="BA59" i="30"/>
  <c r="BB58" i="30"/>
  <c r="AY68" i="30"/>
  <c r="AZ66" i="30"/>
  <c r="BA62" i="30"/>
  <c r="BB61" i="30"/>
  <c r="BA60" i="30"/>
  <c r="BB63" i="30"/>
  <c r="BB64" i="30"/>
  <c r="BC69" i="30"/>
  <c r="BB56" i="30"/>
  <c r="BB65" i="30"/>
  <c r="BC57" i="30"/>
  <c r="BB54" i="30"/>
  <c r="BB55" i="30"/>
  <c r="BB59" i="30"/>
  <c r="BC58" i="30"/>
  <c r="AZ68" i="30"/>
  <c r="BA66" i="30"/>
  <c r="BB62" i="30"/>
  <c r="BC61" i="30"/>
  <c r="BB60" i="30"/>
  <c r="BC63" i="30"/>
  <c r="BC64" i="30"/>
  <c r="BD69" i="30"/>
  <c r="BC56" i="30"/>
  <c r="BC65" i="30"/>
  <c r="BD57" i="30"/>
  <c r="BC54" i="30"/>
  <c r="BC55" i="30"/>
  <c r="BC59" i="30"/>
  <c r="BD58" i="30"/>
  <c r="BA68" i="30"/>
  <c r="BB66" i="30"/>
  <c r="BC62" i="30"/>
  <c r="BD61" i="30"/>
  <c r="BC60" i="30"/>
  <c r="BD63" i="30"/>
  <c r="BD64" i="30"/>
  <c r="BE69" i="30"/>
  <c r="BD56" i="30"/>
  <c r="BD65" i="30"/>
  <c r="BE57" i="30"/>
  <c r="BD54" i="30"/>
  <c r="BD55" i="30"/>
  <c r="BD59" i="30"/>
  <c r="BE58" i="30"/>
  <c r="BB68" i="30"/>
  <c r="BC66" i="30"/>
  <c r="BD62" i="30"/>
  <c r="BE61" i="30"/>
  <c r="BD60" i="30"/>
  <c r="BE63" i="30"/>
  <c r="BE64" i="30"/>
  <c r="BF69" i="30"/>
  <c r="BE56" i="30"/>
  <c r="BE65" i="30"/>
  <c r="BF57" i="30"/>
  <c r="BE54" i="30"/>
  <c r="BE55" i="30"/>
  <c r="BE59" i="30"/>
  <c r="BF58" i="30"/>
  <c r="BC68" i="30"/>
  <c r="BD66" i="30"/>
  <c r="BE62" i="30"/>
  <c r="BF61" i="30"/>
  <c r="BE60" i="30"/>
  <c r="BF63" i="30"/>
  <c r="BF64" i="30"/>
  <c r="BG69" i="30"/>
  <c r="BF56" i="30"/>
  <c r="BF65" i="30"/>
  <c r="BG57" i="30"/>
  <c r="BF54" i="30"/>
  <c r="BF55" i="30"/>
  <c r="BF59" i="30"/>
  <c r="BG58" i="30"/>
  <c r="BD68" i="30"/>
  <c r="BE66" i="30"/>
  <c r="BF62" i="30"/>
  <c r="BG61" i="30"/>
  <c r="BF60" i="30"/>
  <c r="BG63" i="30"/>
  <c r="BG64" i="30"/>
  <c r="BH69" i="30"/>
  <c r="BG56" i="30"/>
  <c r="BG65" i="30"/>
  <c r="BH57" i="30"/>
  <c r="BG54" i="30"/>
  <c r="BG55" i="30"/>
  <c r="BG59" i="30"/>
  <c r="BH58" i="30"/>
  <c r="BE68" i="30"/>
  <c r="BF66" i="30"/>
  <c r="BG62" i="30"/>
  <c r="BH61" i="30"/>
  <c r="BG60" i="30"/>
  <c r="BH63" i="30"/>
  <c r="BH64" i="30"/>
  <c r="BI69" i="30"/>
  <c r="BH56" i="30"/>
  <c r="BH65" i="30"/>
  <c r="BI57" i="30"/>
  <c r="BH54" i="30"/>
  <c r="BH55" i="30"/>
  <c r="BH59" i="30"/>
  <c r="BI58" i="30"/>
  <c r="BF68" i="30"/>
  <c r="BG66" i="30"/>
  <c r="BH62" i="30"/>
  <c r="BI61" i="30"/>
  <c r="BH60" i="30"/>
  <c r="BI63" i="30"/>
  <c r="BI64" i="30"/>
  <c r="BJ69" i="30"/>
  <c r="BI56" i="30"/>
  <c r="BI65" i="30"/>
  <c r="BJ57" i="30"/>
  <c r="BI54" i="30"/>
  <c r="BI55" i="30"/>
  <c r="BI59" i="30"/>
  <c r="BJ58" i="30"/>
  <c r="BG68" i="30"/>
  <c r="BH66" i="30"/>
  <c r="BI62" i="30"/>
  <c r="BJ61" i="30"/>
  <c r="BI60" i="30"/>
  <c r="BJ63" i="30"/>
  <c r="BJ64" i="30"/>
  <c r="BK69" i="30"/>
  <c r="BJ56" i="30"/>
  <c r="BJ65" i="30"/>
  <c r="BK57" i="30"/>
  <c r="BJ54" i="30"/>
  <c r="BJ55" i="30"/>
  <c r="BJ59" i="30"/>
  <c r="BK58" i="30"/>
  <c r="BH68" i="30"/>
  <c r="BI66" i="30"/>
  <c r="BJ62" i="30"/>
  <c r="BK61" i="30"/>
  <c r="BJ60" i="30"/>
  <c r="BK63" i="30"/>
  <c r="BK64" i="30"/>
  <c r="BL69" i="30"/>
  <c r="BK56" i="30"/>
  <c r="BK65" i="30"/>
  <c r="BL57" i="30"/>
  <c r="BK54" i="30"/>
  <c r="BK55" i="30"/>
  <c r="BK59" i="30"/>
  <c r="BL58" i="30"/>
  <c r="BI68" i="30"/>
  <c r="BJ66" i="30"/>
  <c r="BK62" i="30"/>
  <c r="BL61" i="30"/>
  <c r="BK60" i="30"/>
  <c r="BL63" i="30"/>
  <c r="BL64" i="30"/>
  <c r="BM69" i="30"/>
  <c r="BL56" i="30"/>
  <c r="BL65" i="30"/>
  <c r="BM57" i="30"/>
  <c r="BL54" i="30"/>
  <c r="BL55" i="30"/>
  <c r="BL59" i="30"/>
  <c r="BM58" i="30"/>
  <c r="BJ68" i="30"/>
  <c r="BK66" i="30"/>
  <c r="BL62" i="30"/>
  <c r="BM61" i="30"/>
  <c r="BL60" i="30"/>
  <c r="BM63" i="30"/>
  <c r="BM64" i="30"/>
  <c r="BN69" i="30"/>
  <c r="BM56" i="30"/>
  <c r="BM65" i="30"/>
  <c r="BN57" i="30"/>
  <c r="BM54" i="30"/>
  <c r="BM55" i="30"/>
  <c r="BM59" i="30"/>
  <c r="BN58" i="30"/>
  <c r="BK68" i="30"/>
  <c r="BL66" i="30"/>
  <c r="BM62" i="30"/>
  <c r="BN61" i="30"/>
  <c r="BM60" i="30"/>
  <c r="BN63" i="30"/>
  <c r="BN64" i="30"/>
  <c r="BO69" i="30"/>
  <c r="BN56" i="30"/>
  <c r="BN65" i="30"/>
  <c r="BO57" i="30"/>
  <c r="BN54" i="30"/>
  <c r="BN55" i="30"/>
  <c r="BN59" i="30"/>
  <c r="BO58" i="30"/>
  <c r="BL68" i="30"/>
  <c r="BM66" i="30"/>
  <c r="BN62" i="30"/>
  <c r="BO61" i="30"/>
  <c r="BN60" i="30"/>
  <c r="BO63" i="30"/>
  <c r="BO64" i="30"/>
  <c r="BP69" i="30"/>
  <c r="BO56" i="30"/>
  <c r="BO65" i="30"/>
  <c r="BP57" i="30"/>
  <c r="BO54" i="30"/>
  <c r="BO55" i="30"/>
  <c r="BO59" i="30"/>
  <c r="BP58" i="30"/>
  <c r="BM68" i="30"/>
  <c r="BN66" i="30"/>
  <c r="BO62" i="30"/>
  <c r="BP61" i="30"/>
  <c r="BO60" i="30"/>
  <c r="BP63" i="30"/>
  <c r="BP64" i="30"/>
  <c r="BQ69" i="30"/>
  <c r="BP56" i="30"/>
  <c r="BP65" i="30"/>
  <c r="BQ57" i="30"/>
  <c r="BP54" i="30"/>
  <c r="BP55" i="30"/>
  <c r="BP59" i="30"/>
  <c r="BQ58" i="30"/>
  <c r="BN68" i="30"/>
  <c r="BO66" i="30"/>
  <c r="BP62" i="30"/>
  <c r="BQ61" i="30"/>
  <c r="BP60" i="30"/>
  <c r="BQ63" i="30"/>
  <c r="BQ64" i="30"/>
  <c r="BR69" i="30"/>
  <c r="BQ56" i="30"/>
  <c r="BQ65" i="30"/>
  <c r="BR57" i="30"/>
  <c r="BQ54" i="30"/>
  <c r="BQ55" i="30"/>
  <c r="BQ59" i="30"/>
  <c r="BR58" i="30"/>
  <c r="BO68" i="30"/>
  <c r="BP66" i="30"/>
  <c r="BQ62" i="30"/>
  <c r="BR61" i="30"/>
  <c r="BQ60" i="30"/>
  <c r="BR63" i="30"/>
  <c r="BR64" i="30"/>
  <c r="BS69" i="30"/>
  <c r="BR56" i="30"/>
  <c r="BR65" i="30"/>
  <c r="BS57" i="30"/>
  <c r="BR54" i="30"/>
  <c r="BR55" i="30"/>
  <c r="BR59" i="30"/>
  <c r="BS58" i="30"/>
  <c r="BP68" i="30"/>
  <c r="BQ66" i="30"/>
  <c r="BR62" i="30"/>
  <c r="BS61" i="30"/>
  <c r="BR60" i="30"/>
  <c r="BS63" i="30"/>
  <c r="BS64" i="30"/>
  <c r="BT69" i="30"/>
  <c r="BS56" i="30"/>
  <c r="BS65" i="30"/>
  <c r="BT57" i="30"/>
  <c r="BS54" i="30"/>
  <c r="BS55" i="30"/>
  <c r="BS59" i="30"/>
  <c r="BT58" i="30"/>
  <c r="BQ68" i="30"/>
  <c r="BR66" i="30"/>
  <c r="BS62" i="30"/>
  <c r="BT61" i="30"/>
  <c r="BS60" i="30"/>
  <c r="BT63" i="30"/>
  <c r="BT64" i="30"/>
  <c r="BU69" i="30"/>
  <c r="BT56" i="30"/>
  <c r="BT65" i="30"/>
  <c r="BU57" i="30"/>
  <c r="BT54" i="30"/>
  <c r="BT55" i="30"/>
  <c r="BT59" i="30"/>
  <c r="BU58" i="30"/>
  <c r="BR68" i="30"/>
  <c r="BS66" i="30"/>
  <c r="BT62" i="30"/>
  <c r="BU61" i="30"/>
  <c r="BT60" i="30"/>
  <c r="BU63" i="30"/>
  <c r="BU64" i="30"/>
  <c r="BV69" i="30"/>
  <c r="BU56" i="30"/>
  <c r="BU65" i="30"/>
  <c r="BV57" i="30"/>
  <c r="BU54" i="30"/>
  <c r="BU55" i="30"/>
  <c r="BU59" i="30"/>
  <c r="BV58" i="30"/>
  <c r="BS68" i="30"/>
  <c r="BT66" i="30"/>
  <c r="BU62" i="30"/>
  <c r="BV61" i="30"/>
  <c r="BU60" i="30"/>
  <c r="BV63" i="30"/>
  <c r="BV64" i="30"/>
  <c r="BW69" i="30"/>
  <c r="BV56" i="30"/>
  <c r="BV65" i="30"/>
  <c r="BW57" i="30"/>
  <c r="BV54" i="30"/>
  <c r="BV55" i="30"/>
  <c r="BV59" i="30"/>
  <c r="BW58" i="30"/>
  <c r="BT68" i="30"/>
  <c r="BU66" i="30"/>
  <c r="BV62" i="30"/>
  <c r="BW61" i="30"/>
  <c r="BV60" i="30"/>
  <c r="BW63" i="30"/>
  <c r="BW64" i="30"/>
  <c r="BX69" i="30"/>
  <c r="BW56" i="30"/>
  <c r="BW65" i="30"/>
  <c r="BX57" i="30"/>
  <c r="BW54" i="30"/>
  <c r="BW55" i="30"/>
  <c r="BW59" i="30"/>
  <c r="BX58" i="30"/>
  <c r="BU68" i="30"/>
  <c r="BV66" i="30"/>
  <c r="BW62" i="30"/>
  <c r="BX61" i="30"/>
  <c r="BW60" i="30"/>
  <c r="BX63" i="30"/>
  <c r="BX64" i="30"/>
  <c r="BY69" i="30"/>
  <c r="BX56" i="30"/>
  <c r="BX65" i="30"/>
  <c r="BY57" i="30"/>
  <c r="BX54" i="30"/>
  <c r="BX55" i="30"/>
  <c r="BX59" i="30"/>
  <c r="BY58" i="30"/>
  <c r="BV68" i="30"/>
  <c r="BW66" i="30"/>
  <c r="BX62" i="30"/>
  <c r="BY61" i="30"/>
  <c r="BX60" i="30"/>
  <c r="BY63" i="30"/>
  <c r="BY64" i="30"/>
  <c r="BZ69" i="30"/>
  <c r="BY56" i="30"/>
  <c r="BY65" i="30"/>
  <c r="BZ57" i="30"/>
  <c r="BY54" i="30"/>
  <c r="BY55" i="30"/>
  <c r="BY59" i="30"/>
  <c r="BZ58" i="30"/>
  <c r="BW68" i="30"/>
  <c r="BX66" i="30"/>
  <c r="BY62" i="30"/>
  <c r="BZ61" i="30"/>
  <c r="BY60" i="30"/>
  <c r="BZ63" i="30"/>
  <c r="BZ64" i="30"/>
  <c r="CA69" i="30"/>
  <c r="BZ56" i="30"/>
  <c r="BZ65" i="30"/>
  <c r="CA57" i="30"/>
  <c r="BZ54" i="30"/>
  <c r="BZ55" i="30"/>
  <c r="BZ59" i="30"/>
  <c r="CA58" i="30"/>
  <c r="BX68" i="30"/>
  <c r="BY66" i="30"/>
  <c r="BZ62" i="30"/>
  <c r="CA61" i="30"/>
  <c r="BZ60" i="30"/>
  <c r="CA63" i="30"/>
  <c r="CA64" i="30"/>
  <c r="CB69" i="30"/>
  <c r="CA56" i="30"/>
  <c r="CA65" i="30"/>
  <c r="CB57" i="30"/>
  <c r="CA54" i="30"/>
  <c r="CA55" i="30"/>
  <c r="CA59" i="30"/>
  <c r="CB58" i="30"/>
  <c r="BY68" i="30"/>
  <c r="BZ66" i="30"/>
  <c r="CA62" i="30"/>
  <c r="CB61" i="30"/>
  <c r="CA60" i="30"/>
  <c r="CB63" i="30"/>
  <c r="CB64" i="30"/>
  <c r="CC69" i="30"/>
  <c r="CB56" i="30"/>
  <c r="CB65" i="30"/>
  <c r="CC57" i="30"/>
  <c r="CB54" i="30"/>
  <c r="CB55" i="30"/>
  <c r="CB59" i="30"/>
  <c r="CC58" i="30"/>
  <c r="BZ68" i="30"/>
  <c r="CA66" i="30"/>
  <c r="CB62" i="30"/>
  <c r="CC61" i="30"/>
  <c r="CB60" i="30"/>
  <c r="CC63" i="30"/>
  <c r="CC64" i="30"/>
  <c r="CD69" i="30"/>
  <c r="CC56" i="30"/>
  <c r="CC65" i="30"/>
  <c r="CD57" i="30"/>
  <c r="CC54" i="30"/>
  <c r="CC55" i="30"/>
  <c r="CC59" i="30"/>
  <c r="CD58" i="30"/>
  <c r="CA68" i="30"/>
  <c r="CB66" i="30"/>
  <c r="CC62" i="30"/>
  <c r="CD61" i="30"/>
  <c r="CC60" i="30"/>
  <c r="CD63" i="30"/>
  <c r="CD64" i="30"/>
  <c r="CE69" i="30"/>
  <c r="CD56" i="30"/>
  <c r="CD65" i="30"/>
  <c r="CE57" i="30"/>
  <c r="CD54" i="30"/>
  <c r="CD55" i="30"/>
  <c r="CD59" i="30"/>
  <c r="CE58" i="30"/>
  <c r="CB68" i="30"/>
  <c r="CC66" i="30"/>
  <c r="CD62" i="30"/>
  <c r="CE61" i="30"/>
  <c r="CD60" i="30"/>
  <c r="CE63" i="30"/>
  <c r="CE64" i="30"/>
  <c r="CF69" i="30"/>
  <c r="CE56" i="30"/>
  <c r="CE65" i="30"/>
  <c r="CF57" i="30"/>
  <c r="CE54" i="30"/>
  <c r="CE55" i="30"/>
  <c r="CE59" i="30"/>
  <c r="CF58" i="30"/>
  <c r="CC68" i="30"/>
  <c r="CD66" i="30"/>
  <c r="CE62" i="30"/>
  <c r="CF61" i="30"/>
  <c r="CE60" i="30"/>
  <c r="CF63" i="30"/>
  <c r="CF64" i="30"/>
  <c r="CG69" i="30"/>
  <c r="CF56" i="30"/>
  <c r="CF65" i="30"/>
  <c r="CG57" i="30"/>
  <c r="CF54" i="30"/>
  <c r="CF55" i="30"/>
  <c r="CF59" i="30"/>
  <c r="CG58" i="30"/>
  <c r="CD68" i="30"/>
  <c r="CE66" i="30"/>
  <c r="CF62" i="30"/>
  <c r="CG61" i="30"/>
  <c r="CF60" i="30"/>
  <c r="CG63" i="30"/>
  <c r="CG64" i="30"/>
  <c r="CH69" i="30"/>
  <c r="CG56" i="30"/>
  <c r="CG65" i="30"/>
  <c r="CH57" i="30"/>
  <c r="CG54" i="30"/>
  <c r="CG55" i="30"/>
  <c r="CG59" i="30"/>
  <c r="CH58" i="30"/>
  <c r="CE68" i="30"/>
  <c r="CF66" i="30"/>
  <c r="CG62" i="30"/>
  <c r="CH61" i="30"/>
  <c r="CG60" i="30"/>
  <c r="CH63" i="30"/>
  <c r="CH64" i="30"/>
  <c r="CI69" i="30"/>
  <c r="CH56" i="30"/>
  <c r="CH65" i="30"/>
  <c r="CI57" i="30"/>
  <c r="CH54" i="30"/>
  <c r="CH55" i="30"/>
  <c r="CH59" i="30"/>
  <c r="CI58" i="30"/>
  <c r="CF68" i="30"/>
  <c r="CG66" i="30"/>
  <c r="CH62" i="30"/>
  <c r="CI61" i="30"/>
  <c r="CH60" i="30"/>
  <c r="CI63" i="30"/>
  <c r="CI64" i="30"/>
  <c r="CJ69" i="30"/>
  <c r="CI56" i="30"/>
  <c r="CI65" i="30"/>
  <c r="CJ57" i="30"/>
  <c r="CI54" i="30"/>
  <c r="CI55" i="30"/>
  <c r="CI59" i="30"/>
  <c r="CJ58" i="30"/>
  <c r="CG68" i="30"/>
  <c r="CH66" i="30"/>
  <c r="CI62" i="30"/>
  <c r="CJ61" i="30"/>
  <c r="CI60" i="30"/>
  <c r="CJ63" i="30"/>
  <c r="CJ64" i="30"/>
  <c r="CK69" i="30"/>
  <c r="CJ56" i="30"/>
  <c r="CJ65" i="30"/>
  <c r="CK57" i="30"/>
  <c r="CJ54" i="30"/>
  <c r="CJ55" i="30"/>
  <c r="CJ59" i="30"/>
  <c r="CK58" i="30"/>
  <c r="CH68" i="30"/>
  <c r="CI66" i="30"/>
  <c r="CJ62" i="30"/>
  <c r="CK61" i="30"/>
  <c r="CJ60" i="30"/>
  <c r="CK63" i="30"/>
  <c r="CK64" i="30"/>
  <c r="CL69" i="30"/>
  <c r="CK56" i="30"/>
  <c r="CK65" i="30"/>
  <c r="CL57" i="30"/>
  <c r="CK54" i="30"/>
  <c r="CK55" i="30"/>
  <c r="CK59" i="30"/>
  <c r="CL58" i="30"/>
  <c r="CI68" i="30"/>
  <c r="CJ66" i="30"/>
  <c r="CK62" i="30"/>
  <c r="CL61" i="30"/>
  <c r="CK60" i="30"/>
  <c r="CL63" i="30"/>
  <c r="CL64" i="30"/>
  <c r="CM69" i="30"/>
  <c r="CL56" i="30"/>
  <c r="CL65" i="30"/>
  <c r="CM57" i="30"/>
  <c r="CL54" i="30"/>
  <c r="CL55" i="30"/>
  <c r="CL59" i="30"/>
  <c r="CM58" i="30"/>
  <c r="CJ68" i="30"/>
  <c r="CK66" i="30"/>
  <c r="CL62" i="30"/>
  <c r="CM61" i="30"/>
  <c r="CL60" i="30"/>
  <c r="CM63" i="30"/>
  <c r="CM64" i="30"/>
  <c r="CN69" i="30"/>
  <c r="CM56" i="30"/>
  <c r="CM65" i="30"/>
  <c r="CN57" i="30"/>
  <c r="CM54" i="30"/>
  <c r="CM55" i="30"/>
  <c r="CM59" i="30"/>
  <c r="CN58" i="30"/>
  <c r="CK68" i="30"/>
  <c r="CL66" i="30"/>
  <c r="CM62" i="30"/>
  <c r="CN61" i="30"/>
  <c r="CM60" i="30"/>
  <c r="CN63" i="30"/>
  <c r="CN64" i="30"/>
  <c r="CO69" i="30"/>
  <c r="CN56" i="30"/>
  <c r="CN65" i="30"/>
  <c r="CO57" i="30"/>
  <c r="CN54" i="30"/>
  <c r="CN55" i="30"/>
  <c r="CN59" i="30"/>
  <c r="CO58" i="30"/>
  <c r="CL68" i="30"/>
  <c r="CM66" i="30"/>
  <c r="CN62" i="30"/>
  <c r="CO61" i="30"/>
  <c r="CN60" i="30"/>
  <c r="CO63" i="30"/>
  <c r="CO64" i="30"/>
  <c r="CP69" i="30"/>
  <c r="CO56" i="30"/>
  <c r="CO65" i="30"/>
  <c r="CP57" i="30"/>
  <c r="CO54" i="30"/>
  <c r="CO55" i="30"/>
  <c r="CO59" i="30"/>
  <c r="CP58" i="30"/>
  <c r="CM68" i="30"/>
  <c r="CN66" i="30"/>
  <c r="CO62" i="30"/>
  <c r="CP61" i="30"/>
  <c r="CO60" i="30"/>
  <c r="CP63" i="30"/>
  <c r="CP64" i="30"/>
  <c r="CQ69" i="30"/>
  <c r="CP56" i="30"/>
  <c r="CP65" i="30"/>
  <c r="CQ57" i="30"/>
  <c r="CP54" i="30"/>
  <c r="CP55" i="30"/>
  <c r="CP59" i="30"/>
  <c r="CQ58" i="30"/>
  <c r="CN68" i="30"/>
  <c r="CO66" i="30"/>
  <c r="CP62" i="30"/>
  <c r="CQ61" i="30"/>
  <c r="CP60" i="30"/>
  <c r="CQ63" i="30"/>
  <c r="CQ64" i="30"/>
  <c r="CR69" i="30"/>
  <c r="CQ56" i="30"/>
  <c r="CQ65" i="30"/>
  <c r="CR57" i="30"/>
  <c r="CQ54" i="30"/>
  <c r="CQ55" i="30"/>
  <c r="CQ59" i="30"/>
  <c r="CR58" i="30"/>
  <c r="CO68" i="30"/>
  <c r="CP66" i="30"/>
  <c r="CQ62" i="30"/>
  <c r="CR61" i="30"/>
  <c r="CQ60" i="30"/>
  <c r="CR63" i="30"/>
  <c r="CR64" i="30"/>
  <c r="CS69" i="30"/>
  <c r="CR56" i="30"/>
  <c r="CR65" i="30"/>
  <c r="CS57" i="30"/>
  <c r="CR54" i="30"/>
  <c r="CR55" i="30"/>
  <c r="CR59" i="30"/>
  <c r="CS58" i="30"/>
  <c r="CP68" i="30"/>
  <c r="CQ66" i="30"/>
  <c r="CR62" i="30"/>
  <c r="CS61" i="30"/>
  <c r="CR60" i="30"/>
  <c r="CS63" i="30"/>
  <c r="CS64" i="30"/>
  <c r="CT69" i="30"/>
  <c r="CS56" i="30"/>
  <c r="CS65" i="30"/>
  <c r="CT57" i="30"/>
  <c r="CS54" i="30"/>
  <c r="CS55" i="30"/>
  <c r="CS59" i="30"/>
  <c r="CT58" i="30"/>
  <c r="CQ68" i="30"/>
  <c r="CR66" i="30"/>
  <c r="CS62" i="30"/>
  <c r="CT61" i="30"/>
  <c r="CS60" i="30"/>
  <c r="CT63" i="30"/>
  <c r="CT64" i="30"/>
  <c r="CU69" i="30"/>
  <c r="CT56" i="30"/>
  <c r="CT65" i="30"/>
  <c r="CU57" i="30"/>
  <c r="CT54" i="30"/>
  <c r="CT55" i="30"/>
  <c r="CT59" i="30"/>
  <c r="CU58" i="30"/>
  <c r="CR68" i="30"/>
  <c r="CS66" i="30"/>
  <c r="CT62" i="30"/>
  <c r="CU61" i="30"/>
  <c r="CT60" i="30"/>
  <c r="CU63" i="30"/>
  <c r="CU64" i="30"/>
  <c r="CV69" i="30"/>
  <c r="CU56" i="30"/>
  <c r="CU65" i="30"/>
  <c r="CV57" i="30"/>
  <c r="CU54" i="30"/>
  <c r="CU55" i="30"/>
  <c r="CU59" i="30"/>
  <c r="CV58" i="30"/>
  <c r="CS68" i="30"/>
  <c r="CT66" i="30"/>
  <c r="CU62" i="30"/>
  <c r="CV61" i="30"/>
  <c r="CU60" i="30"/>
  <c r="CV63" i="30"/>
  <c r="CV64" i="30"/>
  <c r="CW69" i="30"/>
  <c r="CV56" i="30"/>
  <c r="CV65" i="30"/>
  <c r="CW57" i="30"/>
  <c r="CV54" i="30"/>
  <c r="CV55" i="30"/>
  <c r="CV59" i="30"/>
  <c r="CW58" i="30"/>
  <c r="CT68" i="30"/>
  <c r="CU66" i="30"/>
  <c r="CV62" i="30"/>
  <c r="CW61" i="30"/>
  <c r="CV60" i="30"/>
  <c r="CW63" i="30"/>
  <c r="CW64" i="30"/>
  <c r="CX69" i="30"/>
  <c r="CW56" i="30"/>
  <c r="CW65" i="30"/>
  <c r="CX57" i="30"/>
  <c r="CW54" i="30"/>
  <c r="CW55" i="30"/>
  <c r="CW59" i="30"/>
  <c r="CX58" i="30"/>
  <c r="CU68" i="30"/>
  <c r="CV66" i="30"/>
  <c r="CW62" i="30"/>
  <c r="CX61" i="30"/>
  <c r="CW60" i="30"/>
  <c r="CX63" i="30"/>
  <c r="CX64" i="30"/>
  <c r="CY69" i="30"/>
  <c r="CX56" i="30"/>
  <c r="CX65" i="30"/>
  <c r="CY57" i="30"/>
  <c r="CX54" i="30"/>
  <c r="CX55" i="30"/>
  <c r="CX59" i="30"/>
  <c r="CY58" i="30"/>
  <c r="CV68" i="30"/>
  <c r="CW66" i="30"/>
  <c r="CX62" i="30"/>
  <c r="CY61" i="30"/>
  <c r="CX60" i="30"/>
  <c r="CY63" i="30"/>
  <c r="CY64" i="30"/>
  <c r="CZ69" i="30"/>
  <c r="CY56" i="30"/>
  <c r="CY65" i="30"/>
  <c r="CZ57" i="30"/>
  <c r="CY54" i="30"/>
  <c r="CY55" i="30"/>
  <c r="CY59" i="30"/>
  <c r="CZ58" i="30"/>
  <c r="CW68" i="30"/>
  <c r="CX66" i="30"/>
  <c r="CY62" i="30"/>
  <c r="CZ61" i="30"/>
  <c r="CY60" i="30"/>
  <c r="CZ63" i="30"/>
  <c r="CZ64" i="30"/>
  <c r="DA69" i="30"/>
  <c r="CZ56" i="30"/>
  <c r="CZ65" i="30"/>
  <c r="DA57" i="30"/>
  <c r="CZ54" i="30"/>
  <c r="CZ55" i="30"/>
  <c r="CZ59" i="30"/>
  <c r="DA58" i="30"/>
  <c r="CX68" i="30"/>
  <c r="CY66" i="30"/>
  <c r="CZ62" i="30"/>
  <c r="DA61" i="30"/>
  <c r="CZ60" i="30"/>
  <c r="DA63" i="30"/>
  <c r="DA64" i="30"/>
  <c r="DB69" i="30"/>
  <c r="DA56" i="30"/>
  <c r="DA65" i="30"/>
  <c r="DB57" i="30"/>
  <c r="DA54" i="30"/>
  <c r="DA55" i="30"/>
  <c r="DA59" i="30"/>
  <c r="DB58" i="30"/>
  <c r="CY68" i="30"/>
  <c r="CZ66" i="30"/>
  <c r="DA62" i="30"/>
  <c r="DB61" i="30"/>
  <c r="DA60" i="30"/>
  <c r="DB63" i="30"/>
  <c r="DB64" i="30"/>
  <c r="DC69" i="30"/>
  <c r="DB56" i="30"/>
  <c r="DB65" i="30"/>
  <c r="DC57" i="30"/>
  <c r="DB54" i="30"/>
  <c r="DB55" i="30"/>
  <c r="DB59" i="30"/>
  <c r="DC58" i="30"/>
  <c r="CZ68" i="30"/>
  <c r="DA66" i="30"/>
  <c r="DB62" i="30"/>
  <c r="DC61" i="30"/>
  <c r="DB60" i="30"/>
  <c r="DC63" i="30"/>
  <c r="DC64" i="30"/>
  <c r="DD69" i="30"/>
  <c r="DC56" i="30"/>
  <c r="DC65" i="30"/>
  <c r="DD57" i="30"/>
  <c r="DC54" i="30"/>
  <c r="DC55" i="30"/>
  <c r="DC59" i="30"/>
  <c r="DD58" i="30"/>
  <c r="DA68" i="30"/>
  <c r="DB66" i="30"/>
  <c r="DC62" i="30"/>
  <c r="DD61" i="30"/>
  <c r="DC60" i="30"/>
  <c r="DD63" i="30"/>
  <c r="DD64" i="30"/>
  <c r="DE69" i="30"/>
  <c r="DD56" i="30"/>
  <c r="DD65" i="30"/>
  <c r="DE57" i="30"/>
  <c r="DD54" i="30"/>
  <c r="DD55" i="30"/>
  <c r="DD59" i="30"/>
  <c r="DE58" i="30"/>
  <c r="DB68" i="30"/>
  <c r="DC66" i="30"/>
  <c r="DD62" i="30"/>
  <c r="DE61" i="30"/>
  <c r="DD60" i="30"/>
  <c r="DE63" i="30"/>
  <c r="DE64" i="30"/>
  <c r="DF69" i="30"/>
  <c r="DE56" i="30"/>
  <c r="DE65" i="30"/>
  <c r="DF57" i="30"/>
  <c r="DE54" i="30"/>
  <c r="DE55" i="30"/>
  <c r="DE59" i="30"/>
  <c r="DF58" i="30"/>
  <c r="DC68" i="30"/>
  <c r="DD66" i="30"/>
  <c r="DE62" i="30"/>
  <c r="DF61" i="30"/>
  <c r="DE60" i="30"/>
  <c r="DF63" i="30"/>
  <c r="DF64" i="30"/>
  <c r="DG69" i="30"/>
  <c r="DF56" i="30"/>
  <c r="DF65" i="30"/>
  <c r="DG57" i="30"/>
  <c r="DF54" i="30"/>
  <c r="DF55" i="30"/>
  <c r="DF59" i="30"/>
  <c r="DG58" i="30"/>
  <c r="DD68" i="30"/>
  <c r="DE66" i="30"/>
  <c r="DF62" i="30"/>
  <c r="DG61" i="30"/>
  <c r="DF60" i="30"/>
  <c r="DG63" i="30"/>
  <c r="DG64" i="30"/>
  <c r="DH69" i="30"/>
  <c r="DG56" i="30"/>
  <c r="DG65" i="30"/>
  <c r="DH57" i="30"/>
  <c r="DG54" i="30"/>
  <c r="DG55" i="30"/>
  <c r="DG59" i="30"/>
  <c r="DH58" i="30"/>
  <c r="DE68" i="30"/>
  <c r="DF66" i="30"/>
  <c r="DG62" i="30"/>
  <c r="DH61" i="30"/>
  <c r="DG60" i="30"/>
  <c r="DH63" i="30"/>
  <c r="DH64" i="30"/>
  <c r="DI69" i="30"/>
  <c r="DH56" i="30"/>
  <c r="DH65" i="30"/>
  <c r="DI57" i="30"/>
  <c r="DH54" i="30"/>
  <c r="DH55" i="30"/>
  <c r="DH59" i="30"/>
  <c r="DI58" i="30"/>
  <c r="DF68" i="30"/>
  <c r="DG66" i="30"/>
  <c r="DH62" i="30"/>
  <c r="DI61" i="30"/>
  <c r="DH60" i="30"/>
  <c r="DI63" i="30"/>
  <c r="DI64" i="30"/>
  <c r="DJ69" i="30"/>
  <c r="DI56" i="30"/>
  <c r="DI65" i="30"/>
  <c r="DJ57" i="30"/>
  <c r="DI54" i="30"/>
  <c r="DI55" i="30"/>
  <c r="DI59" i="30"/>
  <c r="DJ58" i="30"/>
  <c r="DG68" i="30"/>
  <c r="DH66" i="30"/>
  <c r="DI62" i="30"/>
  <c r="DJ61" i="30"/>
  <c r="DI60" i="30"/>
  <c r="DJ63" i="30"/>
  <c r="DJ64" i="30"/>
  <c r="DK69" i="30"/>
  <c r="DJ56" i="30"/>
  <c r="DJ65" i="30"/>
  <c r="DK57" i="30"/>
  <c r="DJ54" i="30"/>
  <c r="DJ55" i="30"/>
  <c r="DJ59" i="30"/>
  <c r="DK58" i="30"/>
  <c r="DH68" i="30"/>
  <c r="DI66" i="30"/>
  <c r="DJ62" i="30"/>
  <c r="DK61" i="30"/>
  <c r="DJ60" i="30"/>
  <c r="DK63" i="30"/>
  <c r="DK64" i="30"/>
  <c r="DL69" i="30"/>
  <c r="DK56" i="30"/>
  <c r="DK65" i="30"/>
  <c r="DL57" i="30"/>
  <c r="DK54" i="30"/>
  <c r="DK55" i="30"/>
  <c r="DK59" i="30"/>
  <c r="DL58" i="30"/>
  <c r="DI68" i="30"/>
  <c r="DJ66" i="30"/>
  <c r="DK62" i="30"/>
  <c r="DL61" i="30"/>
  <c r="DK60" i="30"/>
  <c r="DL63" i="30"/>
  <c r="DL64" i="30"/>
  <c r="DM69" i="30"/>
  <c r="DL56" i="30"/>
  <c r="DL65" i="30"/>
  <c r="DM57" i="30"/>
  <c r="DL54" i="30"/>
  <c r="DL55" i="30"/>
  <c r="DL59" i="30"/>
  <c r="DM58" i="30"/>
  <c r="DJ68" i="30"/>
  <c r="DK66" i="30"/>
  <c r="DL62" i="30"/>
  <c r="DM61" i="30"/>
  <c r="DL60" i="30"/>
  <c r="DM63" i="30"/>
  <c r="DM64" i="30"/>
  <c r="DN69" i="30"/>
  <c r="DM56" i="30"/>
  <c r="DM65" i="30"/>
  <c r="DN57" i="30"/>
  <c r="DM54" i="30"/>
  <c r="DM55" i="30"/>
  <c r="DM59" i="30"/>
  <c r="DN58" i="30"/>
  <c r="DK68" i="30"/>
  <c r="DL66" i="30"/>
  <c r="DM62" i="30"/>
  <c r="DN61" i="30"/>
  <c r="DM60" i="30"/>
  <c r="DN63" i="30"/>
  <c r="DN64" i="30"/>
  <c r="DO69" i="30"/>
  <c r="DN56" i="30"/>
  <c r="DN65" i="30"/>
  <c r="DO57" i="30"/>
  <c r="DN54" i="30"/>
  <c r="DN55" i="30"/>
  <c r="DN59" i="30"/>
  <c r="DO58" i="30"/>
  <c r="DL68" i="30"/>
  <c r="DM66" i="30"/>
  <c r="DN62" i="30"/>
  <c r="DO61" i="30"/>
  <c r="DN60" i="30"/>
  <c r="DO63" i="30"/>
  <c r="DO64" i="30"/>
  <c r="DP69" i="30"/>
  <c r="DO56" i="30"/>
  <c r="DO65" i="30"/>
  <c r="DP57" i="30"/>
  <c r="DO54" i="30"/>
  <c r="DO55" i="30"/>
  <c r="DO59" i="30"/>
  <c r="DP58" i="30"/>
  <c r="DM68" i="30"/>
  <c r="DN66" i="30"/>
  <c r="DO62" i="30"/>
  <c r="DP61" i="30"/>
  <c r="DO60" i="30"/>
  <c r="DP63" i="30"/>
  <c r="DP64" i="30"/>
  <c r="DQ69" i="30"/>
  <c r="DP56" i="30"/>
  <c r="DP65" i="30"/>
  <c r="DQ57" i="30"/>
  <c r="DP54" i="30"/>
  <c r="DP55" i="30"/>
  <c r="DP59" i="30"/>
  <c r="DQ58" i="30"/>
  <c r="DN68" i="30"/>
  <c r="DO66" i="30"/>
  <c r="DP62" i="30"/>
  <c r="DQ61" i="30"/>
  <c r="DP60" i="30"/>
  <c r="DQ63" i="30"/>
  <c r="DQ64" i="30"/>
  <c r="DR69" i="30"/>
  <c r="DQ56" i="30"/>
  <c r="DQ65" i="30"/>
  <c r="DR57" i="30"/>
  <c r="DQ54" i="30"/>
  <c r="DQ55" i="30"/>
  <c r="DQ59" i="30"/>
  <c r="DR58" i="30"/>
  <c r="DO68" i="30"/>
  <c r="DP66" i="30"/>
  <c r="DQ62" i="30"/>
  <c r="DR61" i="30"/>
  <c r="DQ60" i="30"/>
  <c r="DR63" i="30"/>
  <c r="DR64" i="30"/>
  <c r="DS69" i="30"/>
  <c r="DR56" i="30"/>
  <c r="DR65" i="30"/>
  <c r="DS57" i="30"/>
  <c r="DR54" i="30"/>
  <c r="DR55" i="30"/>
  <c r="DR59" i="30"/>
  <c r="DS58" i="30"/>
  <c r="DP68" i="30"/>
  <c r="DQ66" i="30"/>
  <c r="DR62" i="30"/>
  <c r="DS61" i="30"/>
  <c r="DR60" i="30"/>
  <c r="DS63" i="30"/>
  <c r="DS64" i="30"/>
  <c r="DT69" i="30"/>
  <c r="DS56" i="30"/>
  <c r="DS65" i="30"/>
  <c r="DT57" i="30"/>
  <c r="DS54" i="30"/>
  <c r="DS55" i="30"/>
  <c r="DS59" i="30"/>
  <c r="DT58" i="30"/>
  <c r="DQ68" i="30"/>
  <c r="DR66" i="30"/>
  <c r="DS62" i="30"/>
  <c r="DT61" i="30"/>
  <c r="DS60" i="30"/>
  <c r="DT63" i="30"/>
  <c r="DT64" i="30"/>
  <c r="DU69" i="30"/>
  <c r="DT56" i="30"/>
  <c r="DT65" i="30"/>
  <c r="DU57" i="30"/>
  <c r="DT54" i="30"/>
  <c r="DT55" i="30"/>
  <c r="DT59" i="30"/>
  <c r="DU58" i="30"/>
  <c r="DR68" i="30"/>
  <c r="DS66" i="30"/>
  <c r="DT62" i="30"/>
  <c r="DU61" i="30"/>
  <c r="DT60" i="30"/>
  <c r="DU63" i="30"/>
  <c r="DU64" i="30"/>
  <c r="DV69" i="30"/>
  <c r="DU56" i="30"/>
  <c r="DU65" i="30"/>
  <c r="DV57" i="30"/>
  <c r="DU54" i="30"/>
  <c r="DU55" i="30"/>
  <c r="DU59" i="30"/>
  <c r="DV58" i="30"/>
  <c r="DS68" i="30"/>
  <c r="DT66" i="30"/>
  <c r="DU62" i="30"/>
  <c r="DV61" i="30"/>
  <c r="DU60" i="30"/>
  <c r="DV63" i="30"/>
  <c r="DV64" i="30"/>
  <c r="DW69" i="30"/>
  <c r="DV56" i="30"/>
  <c r="DV65" i="30"/>
  <c r="DW57" i="30"/>
  <c r="DV54" i="30"/>
  <c r="DV55" i="30"/>
  <c r="DV59" i="30"/>
  <c r="DW58" i="30"/>
  <c r="DT68" i="30"/>
  <c r="DU66" i="30"/>
  <c r="DV62" i="30"/>
  <c r="DW61" i="30"/>
  <c r="DV60" i="30"/>
  <c r="DW63" i="30"/>
  <c r="DW64" i="30"/>
  <c r="DX69" i="30"/>
  <c r="DW56" i="30"/>
  <c r="DW65" i="30"/>
  <c r="DX57" i="30"/>
  <c r="DW54" i="30"/>
  <c r="DW55" i="30"/>
  <c r="DW59" i="30"/>
  <c r="DX58" i="30"/>
  <c r="DU68" i="30"/>
  <c r="DV66" i="30"/>
  <c r="DW62" i="30"/>
  <c r="DX61" i="30"/>
  <c r="DW60" i="30"/>
  <c r="DX63" i="30"/>
  <c r="DX64" i="30"/>
  <c r="DY69" i="30"/>
  <c r="DX56" i="30"/>
  <c r="DX65" i="30"/>
  <c r="DY57" i="30"/>
  <c r="DX54" i="30"/>
  <c r="DX55" i="30"/>
  <c r="DX59" i="30"/>
  <c r="DY58" i="30"/>
  <c r="DV68" i="30"/>
  <c r="DW66" i="30"/>
  <c r="DX62" i="30"/>
  <c r="DY61" i="30"/>
  <c r="DX60" i="30"/>
  <c r="DY63" i="30"/>
  <c r="DY64" i="30"/>
  <c r="DZ69" i="30"/>
  <c r="DY56" i="30"/>
  <c r="DY65" i="30"/>
  <c r="DZ57" i="30"/>
  <c r="DY54" i="30"/>
  <c r="DY55" i="30"/>
  <c r="DY59" i="30"/>
  <c r="DZ58" i="30"/>
  <c r="DW68" i="30"/>
  <c r="DX66" i="30"/>
  <c r="DY62" i="30"/>
  <c r="DZ61" i="30"/>
  <c r="DY60" i="30"/>
  <c r="DZ63" i="30"/>
  <c r="DZ64" i="30"/>
  <c r="EA69" i="30"/>
  <c r="DZ56" i="30"/>
  <c r="DZ65" i="30"/>
  <c r="EA57" i="30"/>
  <c r="DZ54" i="30"/>
  <c r="DZ55" i="30"/>
  <c r="DZ59" i="30"/>
  <c r="EA58" i="30"/>
  <c r="DX68" i="30"/>
  <c r="DY66" i="30"/>
  <c r="DZ62" i="30"/>
  <c r="EA61" i="30"/>
  <c r="DZ60" i="30"/>
  <c r="EA63" i="30"/>
  <c r="EA64" i="30"/>
  <c r="EB69" i="30"/>
  <c r="EA56" i="30"/>
  <c r="EA65" i="30"/>
  <c r="EB57" i="30"/>
  <c r="EA54" i="30"/>
  <c r="EA55" i="30"/>
  <c r="EA59" i="30"/>
  <c r="EB58" i="30"/>
  <c r="DY68" i="30"/>
  <c r="DZ66" i="30"/>
  <c r="EA62" i="30"/>
  <c r="EB61" i="30"/>
  <c r="EA60" i="30"/>
  <c r="EB63" i="30"/>
  <c r="EB64" i="30"/>
  <c r="EC69" i="30"/>
  <c r="EB56" i="30"/>
  <c r="EB65" i="30"/>
  <c r="EC57" i="30"/>
  <c r="EB54" i="30"/>
  <c r="EB55" i="30"/>
  <c r="EB59" i="30"/>
  <c r="EC58" i="30"/>
  <c r="DZ68" i="30"/>
  <c r="EA66" i="30"/>
  <c r="EB62" i="30"/>
  <c r="EC61" i="30"/>
  <c r="EB60" i="30"/>
  <c r="EC63" i="30"/>
  <c r="EC64" i="30"/>
  <c r="ED69" i="30"/>
  <c r="EC56" i="30"/>
  <c r="EC65" i="30"/>
  <c r="ED57" i="30"/>
  <c r="EC54" i="30"/>
  <c r="EC55" i="30"/>
  <c r="EC59" i="30"/>
  <c r="ED58" i="30"/>
  <c r="EA68" i="30"/>
  <c r="EB66" i="30"/>
  <c r="EC62" i="30"/>
  <c r="ED61" i="30"/>
  <c r="EC60" i="30"/>
  <c r="ED63" i="30"/>
  <c r="ED64" i="30"/>
  <c r="EE69" i="30"/>
  <c r="ED56" i="30"/>
  <c r="ED65" i="30"/>
  <c r="EE57" i="30"/>
  <c r="ED54" i="30"/>
  <c r="ED55" i="30"/>
  <c r="ED59" i="30"/>
  <c r="EE58" i="30"/>
  <c r="EB68" i="30"/>
  <c r="EC66" i="30"/>
  <c r="ED62" i="30"/>
  <c r="EE61" i="30"/>
  <c r="ED60" i="30"/>
  <c r="EE63" i="30"/>
  <c r="EE64" i="30"/>
  <c r="EF69" i="30"/>
  <c r="EE56" i="30"/>
  <c r="EE65" i="30"/>
  <c r="EF57" i="30"/>
  <c r="EE54" i="30"/>
  <c r="EE55" i="30"/>
  <c r="EE59" i="30"/>
  <c r="EF58" i="30"/>
  <c r="EC68" i="30"/>
  <c r="ED66" i="30"/>
  <c r="EE62" i="30"/>
  <c r="EF61" i="30"/>
  <c r="EE60" i="30"/>
  <c r="EF63" i="30"/>
  <c r="EF64" i="30"/>
  <c r="EG69" i="30"/>
  <c r="EF56" i="30"/>
  <c r="EF65" i="30"/>
  <c r="EG57" i="30"/>
  <c r="EF54" i="30"/>
  <c r="EF55" i="30"/>
  <c r="EF59" i="30"/>
  <c r="EG58" i="30"/>
  <c r="ED68" i="30"/>
  <c r="EE66" i="30"/>
  <c r="EF62" i="30"/>
  <c r="EG61" i="30"/>
  <c r="EF60" i="30"/>
  <c r="EG63" i="30"/>
  <c r="EG64" i="30"/>
  <c r="EH69" i="30"/>
  <c r="EG56" i="30"/>
  <c r="EG65" i="30"/>
  <c r="EH57" i="30"/>
  <c r="EG54" i="30"/>
  <c r="EG55" i="30"/>
  <c r="EG59" i="30"/>
  <c r="EH58" i="30"/>
  <c r="EE68" i="30"/>
  <c r="EF66" i="30"/>
  <c r="EG62" i="30"/>
  <c r="EH61" i="30"/>
  <c r="EG60" i="30"/>
  <c r="EH63" i="30"/>
  <c r="EH64" i="30"/>
  <c r="EI69" i="30"/>
  <c r="EH56" i="30"/>
  <c r="EH65" i="30"/>
  <c r="EI57" i="30"/>
  <c r="EH54" i="30"/>
  <c r="EH55" i="30"/>
  <c r="EH59" i="30"/>
  <c r="EI58" i="30"/>
  <c r="EF68" i="30"/>
  <c r="EG66" i="30"/>
  <c r="EH62" i="30"/>
  <c r="EI61" i="30"/>
  <c r="EH60" i="30"/>
  <c r="EI63" i="30"/>
  <c r="EI64" i="30"/>
  <c r="EJ69" i="30"/>
  <c r="EI56" i="30"/>
  <c r="EI65" i="30"/>
  <c r="EJ57" i="30"/>
  <c r="EI54" i="30"/>
  <c r="EI55" i="30"/>
  <c r="EI59" i="30"/>
  <c r="EJ58" i="30"/>
  <c r="EG68" i="30"/>
  <c r="EH66" i="30"/>
  <c r="EI62" i="30"/>
  <c r="EJ61" i="30"/>
  <c r="EI60" i="30"/>
  <c r="EJ63" i="30"/>
  <c r="EJ64" i="30"/>
  <c r="EK69" i="30"/>
  <c r="EJ56" i="30"/>
  <c r="EJ65" i="30"/>
  <c r="EK57" i="30"/>
  <c r="EJ54" i="30"/>
  <c r="EJ55" i="30"/>
  <c r="EJ59" i="30"/>
  <c r="EK58" i="30"/>
  <c r="EH68" i="30"/>
  <c r="EI66" i="30"/>
  <c r="EJ62" i="30"/>
  <c r="EK61" i="30"/>
  <c r="EJ60" i="30"/>
  <c r="EK63" i="30"/>
  <c r="EK64" i="30"/>
  <c r="EL69" i="30"/>
  <c r="EK56" i="30"/>
  <c r="EK65" i="30"/>
  <c r="EL57" i="30"/>
  <c r="EK54" i="30"/>
  <c r="EK55" i="30"/>
  <c r="EK59" i="30"/>
  <c r="EL58" i="30"/>
  <c r="EI68" i="30"/>
  <c r="EJ66" i="30"/>
  <c r="EK62" i="30"/>
  <c r="EL61" i="30"/>
  <c r="EK60" i="30"/>
  <c r="EL63" i="30"/>
  <c r="EL64" i="30"/>
  <c r="EM69" i="30"/>
  <c r="EL56" i="30"/>
  <c r="EL65" i="30"/>
  <c r="EM57" i="30"/>
  <c r="EL54" i="30"/>
  <c r="EL55" i="30"/>
  <c r="EL59" i="30"/>
  <c r="EM58" i="30"/>
  <c r="EJ68" i="30"/>
  <c r="EK66" i="30"/>
  <c r="EL62" i="30"/>
  <c r="EM61" i="30"/>
  <c r="EL60" i="30"/>
  <c r="EM63" i="30"/>
  <c r="EM64" i="30"/>
  <c r="EN69" i="30"/>
  <c r="EM56" i="30"/>
  <c r="EM65" i="30"/>
  <c r="EN57" i="30"/>
  <c r="EM54" i="30"/>
  <c r="EM55" i="30"/>
  <c r="EM59" i="30"/>
  <c r="EN58" i="30"/>
  <c r="EK68" i="30"/>
  <c r="EL66" i="30"/>
  <c r="EM62" i="30"/>
  <c r="EN61" i="30"/>
  <c r="EM60" i="30"/>
  <c r="EN63" i="30"/>
  <c r="EN64" i="30"/>
  <c r="EO69" i="30"/>
  <c r="EN56" i="30"/>
  <c r="EN65" i="30"/>
  <c r="EO57" i="30"/>
  <c r="EN54" i="30"/>
  <c r="EN55" i="30"/>
  <c r="EN59" i="30"/>
  <c r="EO58" i="30"/>
  <c r="EL68" i="30"/>
  <c r="EM66" i="30"/>
  <c r="EN62" i="30"/>
  <c r="EO61" i="30"/>
  <c r="EN60" i="30"/>
  <c r="EO63" i="30"/>
  <c r="EO64" i="30"/>
  <c r="EP69" i="30"/>
  <c r="EO56" i="30"/>
  <c r="EO65" i="30"/>
  <c r="EP57" i="30"/>
  <c r="EO54" i="30"/>
  <c r="EO55" i="30"/>
  <c r="EO59" i="30"/>
  <c r="EP58" i="30"/>
  <c r="EM68" i="30"/>
  <c r="EN66" i="30"/>
  <c r="EO62" i="30"/>
  <c r="EP61" i="30"/>
  <c r="EO60" i="30"/>
  <c r="EP63" i="30"/>
  <c r="EP64" i="30"/>
  <c r="EQ69" i="30"/>
  <c r="EP56" i="30"/>
  <c r="EP65" i="30"/>
  <c r="EQ57" i="30"/>
  <c r="EP54" i="30"/>
  <c r="EP55" i="30"/>
  <c r="EP59" i="30"/>
  <c r="EQ58" i="30"/>
  <c r="EN68" i="30"/>
  <c r="EO66" i="30"/>
  <c r="EP62" i="30"/>
  <c r="EQ61" i="30"/>
  <c r="EP60" i="30"/>
  <c r="EQ63" i="30"/>
  <c r="EQ64" i="30"/>
  <c r="ER69" i="30"/>
  <c r="EQ56" i="30"/>
  <c r="EQ65" i="30"/>
  <c r="ER57" i="30"/>
  <c r="EQ54" i="30"/>
  <c r="EQ55" i="30"/>
  <c r="EQ59" i="30"/>
  <c r="ER58" i="30"/>
  <c r="EO68" i="30"/>
  <c r="EP66" i="30"/>
  <c r="EQ62" i="30"/>
  <c r="ER61" i="30"/>
  <c r="EQ60" i="30"/>
  <c r="ER63" i="30"/>
  <c r="ER64" i="30"/>
  <c r="ES69" i="30"/>
  <c r="ER56" i="30"/>
  <c r="ER65" i="30"/>
  <c r="ES57" i="30"/>
  <c r="ER54" i="30"/>
  <c r="ER55" i="30"/>
  <c r="ER59" i="30"/>
  <c r="ES58" i="30"/>
  <c r="EP68" i="30"/>
  <c r="EQ66" i="30"/>
  <c r="ER62" i="30"/>
  <c r="ES61" i="30"/>
  <c r="ER60" i="30"/>
  <c r="ES63" i="30"/>
  <c r="ES64" i="30"/>
  <c r="ET69" i="30"/>
  <c r="ES56" i="30"/>
  <c r="ES65" i="30"/>
  <c r="ET57" i="30"/>
  <c r="ES54" i="30"/>
  <c r="ES55" i="30"/>
  <c r="ES59" i="30"/>
  <c r="ET58" i="30"/>
  <c r="EQ68" i="30"/>
  <c r="ER66" i="30"/>
  <c r="ES62" i="30"/>
  <c r="ET61" i="30"/>
  <c r="ES60" i="30"/>
  <c r="ET63" i="30"/>
  <c r="ET64" i="30"/>
  <c r="EU69" i="30"/>
  <c r="ET56" i="30"/>
  <c r="ET65" i="30"/>
  <c r="EU57" i="30"/>
  <c r="ET54" i="30"/>
  <c r="ET55" i="30"/>
  <c r="ET59" i="30"/>
  <c r="EU58" i="30"/>
  <c r="ER68" i="30"/>
  <c r="ES66" i="30"/>
  <c r="ET62" i="30"/>
  <c r="EU61" i="30"/>
  <c r="ET60" i="30"/>
  <c r="EU63" i="30"/>
  <c r="EU64" i="30"/>
  <c r="EV69" i="30"/>
  <c r="EU56" i="30"/>
  <c r="EU65" i="30"/>
  <c r="EV57" i="30"/>
  <c r="EU54" i="30"/>
  <c r="EU55" i="30"/>
  <c r="EU59" i="30"/>
  <c r="EV58" i="30"/>
  <c r="ES68" i="30"/>
  <c r="ET66" i="30"/>
  <c r="EU62" i="30"/>
  <c r="EV61" i="30"/>
  <c r="EU60" i="30"/>
  <c r="EV63" i="30"/>
  <c r="EV64" i="30"/>
  <c r="EW69" i="30"/>
  <c r="EV56" i="30"/>
  <c r="EV65" i="30"/>
  <c r="EW57" i="30"/>
  <c r="EV54" i="30"/>
  <c r="EV55" i="30"/>
  <c r="EV59" i="30"/>
  <c r="EW58" i="30"/>
  <c r="ET68" i="30"/>
  <c r="EU66" i="30"/>
  <c r="EV62" i="30"/>
  <c r="EW61" i="30"/>
  <c r="EV60" i="30"/>
  <c r="EW63" i="30"/>
  <c r="EW64" i="30"/>
  <c r="EX69" i="30"/>
  <c r="EW56" i="30"/>
  <c r="EW65" i="30"/>
  <c r="EX57" i="30"/>
  <c r="EW54" i="30"/>
  <c r="EW55" i="30"/>
  <c r="EW59" i="30"/>
  <c r="EX58" i="30"/>
  <c r="EU68" i="30"/>
  <c r="EV66" i="30"/>
  <c r="EW62" i="30"/>
  <c r="EX61" i="30"/>
  <c r="EW60" i="30"/>
  <c r="EX63" i="30"/>
  <c r="EX64" i="30"/>
  <c r="EY69" i="30"/>
  <c r="EX56" i="30"/>
  <c r="EX65" i="30"/>
  <c r="EY57" i="30"/>
  <c r="EX54" i="30"/>
  <c r="EX55" i="30"/>
  <c r="EX59" i="30"/>
  <c r="EY58" i="30"/>
  <c r="EV68" i="30"/>
  <c r="EW66" i="30"/>
  <c r="EX62" i="30"/>
  <c r="EY61" i="30"/>
  <c r="EX60" i="30"/>
  <c r="EY63" i="30"/>
  <c r="EY64" i="30"/>
  <c r="EZ69" i="30"/>
  <c r="EY56" i="30"/>
  <c r="EY65" i="30"/>
  <c r="EZ57" i="30"/>
  <c r="EY54" i="30"/>
  <c r="EY55" i="30"/>
  <c r="EY59" i="30"/>
  <c r="EZ58" i="30"/>
  <c r="EW68" i="30"/>
  <c r="EX66" i="30"/>
  <c r="EY62" i="30"/>
  <c r="EZ61" i="30"/>
  <c r="EY60" i="30"/>
  <c r="EZ63" i="30"/>
  <c r="EZ64" i="30"/>
  <c r="FA69" i="30"/>
  <c r="EZ56" i="30"/>
  <c r="EZ65" i="30"/>
  <c r="FA57" i="30"/>
  <c r="EZ54" i="30"/>
  <c r="EZ55" i="30"/>
  <c r="EZ59" i="30"/>
  <c r="FA58" i="30"/>
  <c r="EX68" i="30"/>
  <c r="EY66" i="30"/>
  <c r="EZ62" i="30"/>
  <c r="FA61" i="30"/>
  <c r="EZ60" i="30"/>
  <c r="FA63" i="30"/>
  <c r="FA64" i="30"/>
  <c r="FB69" i="30"/>
  <c r="FA56" i="30"/>
  <c r="FA65" i="30"/>
  <c r="FB57" i="30"/>
  <c r="FA54" i="30"/>
  <c r="FA55" i="30"/>
  <c r="FA59" i="30"/>
  <c r="FB58" i="30"/>
  <c r="EY68" i="30"/>
  <c r="EZ66" i="30"/>
  <c r="FA62" i="30"/>
  <c r="FB61" i="30"/>
  <c r="FA60" i="30"/>
  <c r="FB63" i="30"/>
  <c r="FB64" i="30"/>
  <c r="FC69" i="30"/>
  <c r="FB56" i="30"/>
  <c r="FB65" i="30"/>
  <c r="FC57" i="30"/>
  <c r="FB54" i="30"/>
  <c r="FB55" i="30"/>
  <c r="FB59" i="30"/>
  <c r="FC58" i="30"/>
  <c r="EZ68" i="30"/>
  <c r="FA66" i="30"/>
  <c r="FB62" i="30"/>
  <c r="FC61" i="30"/>
  <c r="FB60" i="30"/>
  <c r="FC63" i="30"/>
  <c r="FC64" i="30"/>
  <c r="FD69" i="30"/>
  <c r="FC56" i="30"/>
  <c r="FC65" i="30"/>
  <c r="FD57" i="30"/>
  <c r="FC54" i="30"/>
  <c r="FC55" i="30"/>
  <c r="FC59" i="30"/>
  <c r="FD58" i="30"/>
  <c r="FA68" i="30"/>
  <c r="FB66" i="30"/>
  <c r="FC62" i="30"/>
  <c r="FD61" i="30"/>
  <c r="FC60" i="30"/>
  <c r="FD63" i="30"/>
  <c r="FD64" i="30"/>
  <c r="FE69" i="30"/>
  <c r="FD56" i="30"/>
  <c r="FD65" i="30"/>
  <c r="FE57" i="30"/>
  <c r="FD54" i="30"/>
  <c r="FD55" i="30"/>
  <c r="FD59" i="30"/>
  <c r="FE58" i="30"/>
  <c r="FB68" i="30"/>
  <c r="FC66" i="30"/>
  <c r="FD62" i="30"/>
  <c r="FE61" i="30"/>
  <c r="FD60" i="30"/>
  <c r="FE63" i="30"/>
  <c r="FE64" i="30"/>
  <c r="FF69" i="30"/>
  <c r="FE56" i="30"/>
  <c r="FE65" i="30"/>
  <c r="FF57" i="30"/>
  <c r="FE54" i="30"/>
  <c r="FE55" i="30"/>
  <c r="FE59" i="30"/>
  <c r="FF58" i="30"/>
  <c r="FC68" i="30"/>
  <c r="FD66" i="30"/>
  <c r="FE62" i="30"/>
  <c r="FF61" i="30"/>
  <c r="FE60" i="30"/>
  <c r="FF63" i="30"/>
  <c r="FF64" i="30"/>
  <c r="FG69" i="30"/>
  <c r="FF56" i="30"/>
  <c r="FF65" i="30"/>
  <c r="FG57" i="30"/>
  <c r="FF54" i="30"/>
  <c r="FF55" i="30"/>
  <c r="FF59" i="30"/>
  <c r="FG58" i="30"/>
  <c r="FD68" i="30"/>
  <c r="FE66" i="30"/>
  <c r="FF62" i="30"/>
  <c r="FG61" i="30"/>
  <c r="FF60" i="30"/>
  <c r="FG63" i="30"/>
  <c r="FG64" i="30"/>
  <c r="FH69" i="30"/>
  <c r="FG56" i="30"/>
  <c r="FG65" i="30"/>
  <c r="FH57" i="30"/>
  <c r="FG54" i="30"/>
  <c r="FG55" i="30"/>
  <c r="FG59" i="30"/>
  <c r="FH58" i="30"/>
  <c r="FE68" i="30"/>
  <c r="FF66" i="30"/>
  <c r="FG62" i="30"/>
  <c r="FH61" i="30"/>
  <c r="FG60" i="30"/>
  <c r="FH63" i="30"/>
  <c r="FH64" i="30"/>
  <c r="FI69" i="30"/>
  <c r="FH56" i="30"/>
  <c r="FH65" i="30"/>
  <c r="FI57" i="30"/>
  <c r="FH54" i="30"/>
  <c r="FH55" i="30"/>
  <c r="FH59" i="30"/>
  <c r="FI58" i="30"/>
  <c r="FF68" i="30"/>
  <c r="FG66" i="30"/>
  <c r="FH62" i="30"/>
  <c r="FI61" i="30"/>
  <c r="FH60" i="30"/>
  <c r="FI63" i="30"/>
  <c r="FI64" i="30"/>
  <c r="FJ69" i="30"/>
  <c r="FI56" i="30"/>
  <c r="FI65" i="30"/>
  <c r="FJ57" i="30"/>
  <c r="FI54" i="30"/>
  <c r="FI55" i="30"/>
  <c r="FI59" i="30"/>
  <c r="FJ58" i="30"/>
  <c r="FG68" i="30"/>
  <c r="FH66" i="30"/>
  <c r="FI62" i="30"/>
  <c r="FJ61" i="30"/>
  <c r="FI60" i="30"/>
  <c r="FJ63" i="30"/>
  <c r="FJ64" i="30"/>
  <c r="FK69" i="30"/>
  <c r="FJ56" i="30"/>
  <c r="FJ65" i="30"/>
  <c r="FK57" i="30"/>
  <c r="FJ54" i="30"/>
  <c r="FJ55" i="30"/>
  <c r="FJ59" i="30"/>
  <c r="FK58" i="30"/>
  <c r="FH68" i="30"/>
  <c r="FI66" i="30"/>
  <c r="FJ62" i="30"/>
  <c r="FK61" i="30"/>
  <c r="FJ60" i="30"/>
  <c r="FK63" i="30"/>
  <c r="FK64" i="30"/>
  <c r="FL69" i="30"/>
  <c r="FK56" i="30"/>
  <c r="FK65" i="30"/>
  <c r="FL57" i="30"/>
  <c r="FK54" i="30"/>
  <c r="FK55" i="30"/>
  <c r="FK59" i="30"/>
  <c r="FL58" i="30"/>
  <c r="FI68" i="30"/>
  <c r="FJ66" i="30"/>
  <c r="FK62" i="30"/>
  <c r="FL61" i="30"/>
  <c r="FK60" i="30"/>
  <c r="FL63" i="30"/>
  <c r="FL64" i="30"/>
  <c r="FM69" i="30"/>
  <c r="FL56" i="30"/>
  <c r="FL65" i="30"/>
  <c r="FM57" i="30"/>
  <c r="FL54" i="30"/>
  <c r="FL55" i="30"/>
  <c r="FL59" i="30"/>
  <c r="FM58" i="30"/>
  <c r="FJ68" i="30"/>
  <c r="FK66" i="30"/>
  <c r="FL62" i="30"/>
  <c r="FM61" i="30"/>
  <c r="FL60" i="30"/>
  <c r="FM63" i="30"/>
  <c r="FM64" i="30"/>
  <c r="FN69" i="30"/>
  <c r="FM56" i="30"/>
  <c r="FM65" i="30"/>
  <c r="FN57" i="30"/>
  <c r="FM54" i="30"/>
  <c r="FM55" i="30"/>
  <c r="FM59" i="30"/>
  <c r="FN58" i="30"/>
  <c r="FK68" i="30"/>
  <c r="FL66" i="30"/>
  <c r="FM62" i="30"/>
  <c r="FN61" i="30"/>
  <c r="FM60" i="30"/>
  <c r="FN63" i="30"/>
  <c r="FN64" i="30"/>
  <c r="FO69" i="30"/>
  <c r="FN56" i="30"/>
  <c r="FN65" i="30"/>
  <c r="FO57" i="30"/>
  <c r="FN54" i="30"/>
  <c r="FN55" i="30"/>
  <c r="FN59" i="30"/>
  <c r="FO58" i="30"/>
  <c r="FL68" i="30"/>
  <c r="FM66" i="30"/>
  <c r="FN62" i="30"/>
  <c r="FO61" i="30"/>
  <c r="FN60" i="30"/>
  <c r="FO63" i="30"/>
  <c r="FO64" i="30"/>
  <c r="FP69" i="30"/>
  <c r="FO56" i="30"/>
  <c r="FO65" i="30"/>
  <c r="FP57" i="30"/>
  <c r="FO54" i="30"/>
  <c r="FO55" i="30"/>
  <c r="FO59" i="30"/>
  <c r="FP58" i="30"/>
  <c r="FM68" i="30"/>
  <c r="FN66" i="30"/>
  <c r="FO62" i="30"/>
  <c r="FP61" i="30"/>
  <c r="FO60" i="30"/>
  <c r="FP63" i="30"/>
  <c r="FP64" i="30"/>
  <c r="FQ69" i="30"/>
  <c r="FP56" i="30"/>
  <c r="FP65" i="30"/>
  <c r="FQ57" i="30"/>
  <c r="FP54" i="30"/>
  <c r="FP55" i="30"/>
  <c r="FP59" i="30"/>
  <c r="FQ58" i="30"/>
  <c r="FN68" i="30"/>
  <c r="FO66" i="30"/>
  <c r="FP62" i="30"/>
  <c r="FQ61" i="30"/>
  <c r="FP60" i="30"/>
  <c r="FQ63" i="30"/>
  <c r="FQ64" i="30"/>
  <c r="FR69" i="30"/>
  <c r="FQ56" i="30"/>
  <c r="FQ65" i="30"/>
  <c r="FR57" i="30"/>
  <c r="FQ54" i="30"/>
  <c r="FQ55" i="30"/>
  <c r="FQ59" i="30"/>
  <c r="FR58" i="30"/>
  <c r="FO68" i="30"/>
  <c r="FP66" i="30"/>
  <c r="FQ62" i="30"/>
  <c r="FR61" i="30"/>
  <c r="FQ60" i="30"/>
  <c r="FR63" i="30"/>
  <c r="FR64" i="30"/>
  <c r="FS69" i="30"/>
  <c r="FR56" i="30"/>
  <c r="FR65" i="30"/>
  <c r="FS57" i="30"/>
  <c r="FR54" i="30"/>
  <c r="FR55" i="30"/>
  <c r="FR59" i="30"/>
  <c r="FS58" i="30"/>
  <c r="FP68" i="30"/>
  <c r="FQ66" i="30"/>
  <c r="FR62" i="30"/>
  <c r="FS61" i="30"/>
  <c r="FR60" i="30"/>
  <c r="FS63" i="30"/>
  <c r="FS64" i="30"/>
  <c r="FT69" i="30"/>
  <c r="FS56" i="30"/>
  <c r="FS65" i="30"/>
  <c r="FT57" i="30"/>
  <c r="FS54" i="30"/>
  <c r="FS55" i="30"/>
  <c r="FS59" i="30"/>
  <c r="FT58" i="30"/>
  <c r="FQ68" i="30"/>
  <c r="FR66" i="30"/>
  <c r="FS62" i="30"/>
  <c r="FT61" i="30"/>
  <c r="FS60" i="30"/>
  <c r="FT63" i="30"/>
  <c r="FT64" i="30"/>
  <c r="FU69" i="30"/>
  <c r="FT56" i="30"/>
  <c r="FT65" i="30"/>
  <c r="FU57" i="30"/>
  <c r="FT54" i="30"/>
  <c r="FT55" i="30"/>
  <c r="FT59" i="30"/>
  <c r="FU58" i="30"/>
  <c r="FR68" i="30"/>
  <c r="FS66" i="30"/>
  <c r="FT62" i="30"/>
  <c r="FU61" i="30"/>
  <c r="FT60" i="30"/>
  <c r="FU63" i="30"/>
  <c r="FU64" i="30"/>
  <c r="FV69" i="30"/>
  <c r="FU56" i="30"/>
  <c r="FU65" i="30"/>
  <c r="FV57" i="30"/>
  <c r="FU54" i="30"/>
  <c r="FU55" i="30"/>
  <c r="FU59" i="30"/>
  <c r="FV58" i="30"/>
  <c r="FS68" i="30"/>
  <c r="FT66" i="30"/>
  <c r="FU62" i="30"/>
  <c r="FV61" i="30"/>
  <c r="FU60" i="30"/>
  <c r="FV63" i="30"/>
  <c r="FV64" i="30"/>
  <c r="FW69" i="30"/>
  <c r="FV56" i="30"/>
  <c r="FV65" i="30"/>
  <c r="FW57" i="30"/>
  <c r="FV54" i="30"/>
  <c r="FV55" i="30"/>
  <c r="FV59" i="30"/>
  <c r="FW58" i="30"/>
  <c r="FT68" i="30"/>
  <c r="FU66" i="30"/>
  <c r="FV62" i="30"/>
  <c r="FW61" i="30"/>
  <c r="FV60" i="30"/>
  <c r="FW63" i="30"/>
  <c r="FW64" i="30"/>
  <c r="FX69" i="30"/>
  <c r="FW56" i="30"/>
  <c r="FW65" i="30"/>
  <c r="FX57" i="30"/>
  <c r="FW54" i="30"/>
  <c r="FW55" i="30"/>
  <c r="FW59" i="30"/>
  <c r="FX58" i="30"/>
  <c r="FU68" i="30"/>
  <c r="FV66" i="30"/>
  <c r="FW62" i="30"/>
  <c r="FX61" i="30"/>
  <c r="FW60" i="30"/>
  <c r="FX63" i="30"/>
  <c r="FX64" i="30"/>
  <c r="FY69" i="30"/>
  <c r="FX56" i="30"/>
  <c r="FX65" i="30"/>
  <c r="FY57" i="30"/>
  <c r="FX54" i="30"/>
  <c r="FX55" i="30"/>
  <c r="FX59" i="30"/>
  <c r="FY58" i="30"/>
  <c r="FV68" i="30"/>
  <c r="FW66" i="30"/>
  <c r="FX62" i="30"/>
  <c r="FY61" i="30"/>
  <c r="FX60" i="30"/>
  <c r="FY63" i="30"/>
  <c r="FY64" i="30"/>
  <c r="FZ69" i="30"/>
  <c r="FY56" i="30"/>
  <c r="FY65" i="30"/>
  <c r="FZ57" i="30"/>
  <c r="FY54" i="30"/>
  <c r="FY55" i="30"/>
  <c r="FY59" i="30"/>
  <c r="FZ58" i="30"/>
  <c r="FW68" i="30"/>
  <c r="FX66" i="30"/>
  <c r="FY62" i="30"/>
  <c r="FZ61" i="30"/>
  <c r="FY60" i="30"/>
  <c r="FZ63" i="30"/>
  <c r="FZ64" i="30"/>
  <c r="GA69" i="30"/>
  <c r="FZ56" i="30"/>
  <c r="FZ65" i="30"/>
  <c r="GA57" i="30"/>
  <c r="FZ54" i="30"/>
  <c r="FZ55" i="30"/>
  <c r="FZ59" i="30"/>
  <c r="GA58" i="30"/>
  <c r="FX68" i="30"/>
  <c r="FY66" i="30"/>
  <c r="FZ62" i="30"/>
  <c r="GA61" i="30"/>
  <c r="FZ60" i="30"/>
  <c r="GA63" i="30"/>
  <c r="GA64" i="30"/>
  <c r="GB69" i="30"/>
  <c r="GA56" i="30"/>
  <c r="GA65" i="30"/>
  <c r="GB57" i="30"/>
  <c r="GA54" i="30"/>
  <c r="GA55" i="30"/>
  <c r="GA59" i="30"/>
  <c r="GB58" i="30"/>
  <c r="FY68" i="30"/>
  <c r="FZ66" i="30"/>
  <c r="GA62" i="30"/>
  <c r="GB61" i="30"/>
  <c r="GA60" i="30"/>
  <c r="GB63" i="30"/>
  <c r="GB64" i="30"/>
  <c r="GC69" i="30"/>
  <c r="GB56" i="30"/>
  <c r="GB65" i="30"/>
  <c r="GC57" i="30"/>
  <c r="GB54" i="30"/>
  <c r="GB55" i="30"/>
  <c r="GB59" i="30"/>
  <c r="GC58" i="30"/>
  <c r="FZ68" i="30"/>
  <c r="GA66" i="30"/>
  <c r="GB62" i="30"/>
  <c r="GC61" i="30"/>
  <c r="GB60" i="30"/>
  <c r="GC63" i="30"/>
  <c r="GC64" i="30"/>
  <c r="GD69" i="30"/>
  <c r="GC56" i="30"/>
  <c r="GC65" i="30"/>
  <c r="GD57" i="30"/>
  <c r="GC54" i="30"/>
  <c r="GC55" i="30"/>
  <c r="GC59" i="30"/>
  <c r="GD58" i="30"/>
  <c r="GA68" i="30"/>
  <c r="GB66" i="30"/>
  <c r="GC62" i="30"/>
  <c r="GD61" i="30"/>
  <c r="GC60" i="30"/>
  <c r="GD63" i="30"/>
  <c r="GD64" i="30"/>
  <c r="GE69" i="30"/>
  <c r="GD56" i="30"/>
  <c r="GD65" i="30"/>
  <c r="GE57" i="30"/>
  <c r="GD54" i="30"/>
  <c r="GD55" i="30"/>
  <c r="GD59" i="30"/>
  <c r="GE58" i="30"/>
  <c r="GB68" i="30"/>
  <c r="GC66" i="30"/>
  <c r="GD62" i="30"/>
  <c r="GE61" i="30"/>
  <c r="GD60" i="30"/>
  <c r="GE63" i="30"/>
  <c r="GE64" i="30"/>
  <c r="GF69" i="30"/>
  <c r="GE56" i="30"/>
  <c r="GE65" i="30"/>
  <c r="GF57" i="30"/>
  <c r="GE54" i="30"/>
  <c r="GE55" i="30"/>
  <c r="GE59" i="30"/>
  <c r="GF58" i="30"/>
  <c r="GC68" i="30"/>
  <c r="GD66" i="30"/>
  <c r="GE62" i="30"/>
  <c r="GF61" i="30"/>
  <c r="GE60" i="30"/>
  <c r="GF63" i="30"/>
  <c r="GF64" i="30"/>
  <c r="GG69" i="30"/>
  <c r="GF56" i="30"/>
  <c r="GF65" i="30"/>
  <c r="GG57" i="30"/>
  <c r="GF54" i="30"/>
  <c r="GF55" i="30"/>
  <c r="GF59" i="30"/>
  <c r="GG58" i="30"/>
  <c r="GD68" i="30"/>
  <c r="GE66" i="30"/>
  <c r="GF62" i="30"/>
  <c r="GG61" i="30"/>
  <c r="GF60" i="30"/>
  <c r="GG63" i="30"/>
  <c r="GG64" i="30"/>
  <c r="GH69" i="30"/>
  <c r="GG56" i="30"/>
  <c r="GG65" i="30"/>
  <c r="GH57" i="30"/>
  <c r="GG54" i="30"/>
  <c r="GG55" i="30"/>
  <c r="GG59" i="30"/>
  <c r="GH58" i="30"/>
  <c r="GE68" i="30"/>
  <c r="GF66" i="30"/>
  <c r="GG62" i="30"/>
  <c r="GH61" i="30"/>
  <c r="GG60" i="30"/>
  <c r="GH63" i="30"/>
  <c r="GH64" i="30"/>
  <c r="GI69" i="30"/>
  <c r="GH56" i="30"/>
  <c r="GH65" i="30"/>
  <c r="GI57" i="30"/>
  <c r="GH54" i="30"/>
  <c r="GH55" i="30"/>
  <c r="GH59" i="30"/>
  <c r="GI58" i="30"/>
  <c r="GF68" i="30"/>
  <c r="GG66" i="30"/>
  <c r="GH62" i="30"/>
  <c r="GI61" i="30"/>
  <c r="GH60" i="30"/>
  <c r="GI63" i="30"/>
  <c r="GI64" i="30"/>
  <c r="GJ69" i="30"/>
  <c r="GI56" i="30"/>
  <c r="GI65" i="30"/>
  <c r="GJ57" i="30"/>
  <c r="GI54" i="30"/>
  <c r="GI55" i="30"/>
  <c r="GI59" i="30"/>
  <c r="GJ58" i="30"/>
  <c r="GG68" i="30"/>
  <c r="GH66" i="30"/>
  <c r="GI62" i="30"/>
  <c r="GJ61" i="30"/>
  <c r="GI60" i="30"/>
  <c r="GJ63" i="30"/>
  <c r="GJ64" i="30"/>
  <c r="GK69" i="30"/>
  <c r="GJ56" i="30"/>
  <c r="GJ65" i="30"/>
  <c r="GK57" i="30"/>
  <c r="GJ54" i="30"/>
  <c r="GJ55" i="30"/>
  <c r="GJ59" i="30"/>
  <c r="GK58" i="30"/>
  <c r="GH68" i="30"/>
  <c r="GI66" i="30"/>
  <c r="GJ62" i="30"/>
  <c r="GK61" i="30"/>
  <c r="GJ60" i="30"/>
  <c r="GK63" i="30"/>
  <c r="GK64" i="30"/>
  <c r="GL69" i="30"/>
  <c r="GK56" i="30"/>
  <c r="GK65" i="30"/>
  <c r="GL57" i="30"/>
  <c r="GK54" i="30"/>
  <c r="GK55" i="30"/>
  <c r="GK59" i="30"/>
  <c r="GL58" i="30"/>
  <c r="GI68" i="30"/>
  <c r="GJ66" i="30"/>
  <c r="GK62" i="30"/>
  <c r="GL61" i="30"/>
  <c r="GK60" i="30"/>
  <c r="GL63" i="30"/>
  <c r="GL64" i="30"/>
  <c r="GM69" i="30"/>
  <c r="GL56" i="30"/>
  <c r="GL65" i="30"/>
  <c r="GM57" i="30"/>
  <c r="GL54" i="30"/>
  <c r="GL55" i="30"/>
  <c r="GL59" i="30"/>
  <c r="GM58" i="30"/>
  <c r="GJ68" i="30"/>
  <c r="GK66" i="30"/>
  <c r="GL62" i="30"/>
  <c r="GM61" i="30"/>
  <c r="GL60" i="30"/>
  <c r="GM63" i="30"/>
  <c r="GM64" i="30"/>
  <c r="GN69" i="30"/>
  <c r="GM56" i="30"/>
  <c r="GM65" i="30"/>
  <c r="GN57" i="30"/>
  <c r="GM54" i="30"/>
  <c r="GM55" i="30"/>
  <c r="GM59" i="30"/>
  <c r="GN58" i="30"/>
  <c r="GK68" i="30"/>
  <c r="GL66" i="30"/>
  <c r="GM62" i="30"/>
  <c r="GN61" i="30"/>
  <c r="GM60" i="30"/>
  <c r="GN63" i="30"/>
  <c r="GN64" i="30"/>
  <c r="GO69" i="30"/>
  <c r="GN56" i="30"/>
  <c r="GN65" i="30"/>
  <c r="GO57" i="30"/>
  <c r="GN54" i="30"/>
  <c r="GN55" i="30"/>
  <c r="GN59" i="30"/>
  <c r="GO58" i="30"/>
  <c r="GL68" i="30"/>
  <c r="GM66" i="30"/>
  <c r="GN62" i="30"/>
  <c r="GO61" i="30"/>
  <c r="GN60" i="30"/>
  <c r="GO63" i="30"/>
  <c r="GO64" i="30"/>
  <c r="GP69" i="30"/>
  <c r="GO56" i="30"/>
  <c r="GO65" i="30"/>
  <c r="GP57" i="30"/>
  <c r="GO54" i="30"/>
  <c r="GO55" i="30"/>
  <c r="GO59" i="30"/>
  <c r="GP58" i="30"/>
  <c r="GM68" i="30"/>
  <c r="GN66" i="30"/>
  <c r="GO62" i="30"/>
  <c r="GP61" i="30"/>
  <c r="GO60" i="30"/>
  <c r="GP63" i="30"/>
  <c r="GP64" i="30"/>
  <c r="GQ69" i="30"/>
  <c r="GP56" i="30"/>
  <c r="GP65" i="30"/>
  <c r="GQ57" i="30"/>
  <c r="GP54" i="30"/>
  <c r="GP55" i="30"/>
  <c r="GP59" i="30"/>
  <c r="GQ58" i="30"/>
  <c r="GN68" i="30"/>
  <c r="GO66" i="30"/>
  <c r="GP62" i="30"/>
  <c r="GQ61" i="30"/>
  <c r="GP60" i="30"/>
  <c r="GQ63" i="30"/>
  <c r="GQ64" i="30"/>
  <c r="GR69" i="30"/>
  <c r="GQ56" i="30"/>
  <c r="GQ65" i="30"/>
  <c r="GR57" i="30"/>
  <c r="GQ54" i="30"/>
  <c r="GQ55" i="30"/>
  <c r="GQ59" i="30"/>
  <c r="GR58" i="30"/>
  <c r="GO68" i="30"/>
  <c r="GP66" i="30"/>
  <c r="GQ62" i="30"/>
  <c r="GR61" i="30"/>
  <c r="GQ60" i="30"/>
  <c r="GR63" i="30"/>
  <c r="GR64" i="30"/>
  <c r="GS69" i="30"/>
  <c r="GR56" i="30"/>
  <c r="GR65" i="30"/>
  <c r="GS57" i="30"/>
  <c r="GR54" i="30"/>
  <c r="GR55" i="30"/>
  <c r="GR59" i="30"/>
  <c r="GS58" i="30"/>
  <c r="GP68" i="30"/>
  <c r="GQ66" i="30"/>
  <c r="GR62" i="30"/>
  <c r="GS61" i="30"/>
  <c r="GR60" i="30"/>
  <c r="GS63" i="30"/>
  <c r="GS64" i="30"/>
  <c r="GT69" i="30"/>
  <c r="GS56" i="30"/>
  <c r="GS65" i="30"/>
  <c r="GT57" i="30"/>
  <c r="GS54" i="30"/>
  <c r="GS55" i="30"/>
  <c r="GS59" i="30"/>
  <c r="GT58" i="30"/>
  <c r="GQ68" i="30"/>
  <c r="GR66" i="30"/>
  <c r="GS62" i="30"/>
  <c r="GT61" i="30"/>
  <c r="GS60" i="30"/>
  <c r="GT63" i="30"/>
  <c r="GT64" i="30"/>
  <c r="GU69" i="30"/>
  <c r="GT56" i="30"/>
  <c r="GT65" i="30"/>
  <c r="GU57" i="30"/>
  <c r="GT54" i="30"/>
  <c r="GT55" i="30"/>
  <c r="GT59" i="30"/>
  <c r="GU58" i="30"/>
  <c r="GR68" i="30"/>
  <c r="GS66" i="30"/>
  <c r="GT62" i="30"/>
  <c r="GU61" i="30"/>
  <c r="GT60" i="30"/>
  <c r="GU63" i="30"/>
  <c r="GU64" i="30"/>
  <c r="GV69" i="30"/>
  <c r="GU56" i="30"/>
  <c r="GU65" i="30"/>
  <c r="GV57" i="30"/>
  <c r="GU54" i="30"/>
  <c r="GU55" i="30"/>
  <c r="GU59" i="30"/>
  <c r="GV58" i="30"/>
  <c r="GS68" i="30"/>
  <c r="GT66" i="30"/>
  <c r="GU62" i="30"/>
  <c r="GV61" i="30"/>
  <c r="GU60" i="30"/>
  <c r="GV63" i="30"/>
  <c r="GV64" i="30"/>
  <c r="GW69" i="30"/>
  <c r="GV56" i="30"/>
  <c r="GV65" i="30"/>
  <c r="GW57" i="30"/>
  <c r="GV54" i="30"/>
  <c r="GV55" i="30"/>
  <c r="GV59" i="30"/>
  <c r="GW58" i="30"/>
  <c r="GT68" i="30"/>
  <c r="GU66" i="30"/>
  <c r="GV62" i="30"/>
  <c r="GW61" i="30"/>
  <c r="GV60" i="30"/>
  <c r="GW63" i="30"/>
  <c r="GW64" i="30"/>
  <c r="GX69" i="30"/>
  <c r="GW56" i="30"/>
  <c r="GW65" i="30"/>
  <c r="GX57" i="30"/>
  <c r="GW54" i="30"/>
  <c r="GW55" i="30"/>
  <c r="GW59" i="30"/>
  <c r="GX58" i="30"/>
  <c r="GU68" i="30"/>
  <c r="GV66" i="30"/>
  <c r="GW62" i="30"/>
  <c r="GX61" i="30"/>
  <c r="GW60" i="30"/>
  <c r="GX63" i="30"/>
  <c r="GX64" i="30"/>
  <c r="GY69" i="30"/>
  <c r="GX56" i="30"/>
  <c r="GX65" i="30"/>
  <c r="GY57" i="30"/>
  <c r="GX54" i="30"/>
  <c r="GX55" i="30"/>
  <c r="GX59" i="30"/>
  <c r="GY58" i="30"/>
  <c r="GV68" i="30"/>
  <c r="GW66" i="30"/>
  <c r="GX62" i="30"/>
  <c r="GY61" i="30"/>
  <c r="GX60" i="30"/>
  <c r="GY63" i="30"/>
  <c r="GY64" i="30"/>
  <c r="GZ69" i="30"/>
  <c r="GY56" i="30"/>
  <c r="GY65" i="30"/>
  <c r="GZ57" i="30"/>
  <c r="GY54" i="30"/>
  <c r="GY55" i="30"/>
  <c r="GY59" i="30"/>
  <c r="GZ58" i="30"/>
  <c r="GW68" i="30"/>
  <c r="GX66" i="30"/>
  <c r="GY62" i="30"/>
  <c r="GZ61" i="30"/>
  <c r="GY60" i="30"/>
  <c r="GZ63" i="30"/>
  <c r="GZ64" i="30"/>
  <c r="HA69" i="30"/>
  <c r="GZ56" i="30"/>
  <c r="GZ65" i="30"/>
  <c r="HA57" i="30"/>
  <c r="GZ54" i="30"/>
  <c r="GZ55" i="30"/>
  <c r="GZ59" i="30"/>
  <c r="HA58" i="30"/>
  <c r="GX68" i="30"/>
  <c r="GY66" i="30"/>
  <c r="GZ62" i="30"/>
  <c r="HA61" i="30"/>
  <c r="GZ60" i="30"/>
  <c r="HA63" i="30"/>
  <c r="HA64" i="30"/>
  <c r="HB69" i="30"/>
  <c r="HA56" i="30"/>
  <c r="HA65" i="30"/>
  <c r="HB57" i="30"/>
  <c r="HA54" i="30"/>
  <c r="HA55" i="30"/>
  <c r="HA59" i="30"/>
  <c r="HB58" i="30"/>
  <c r="GY68" i="30"/>
  <c r="GZ66" i="30"/>
  <c r="HA62" i="30"/>
  <c r="HB61" i="30"/>
  <c r="HA60" i="30"/>
  <c r="HB63" i="30"/>
  <c r="HB64" i="30"/>
  <c r="HC69" i="30"/>
  <c r="HB56" i="30"/>
  <c r="HB65" i="30"/>
  <c r="HC57" i="30"/>
  <c r="HB54" i="30"/>
  <c r="HB55" i="30"/>
  <c r="HB59" i="30"/>
  <c r="HC58" i="30"/>
  <c r="GZ68" i="30"/>
  <c r="HA66" i="30"/>
  <c r="HB62" i="30"/>
  <c r="HC61" i="30"/>
  <c r="HB60" i="30"/>
  <c r="HC63" i="30"/>
  <c r="HC64" i="30"/>
  <c r="HD69" i="30"/>
  <c r="HC56" i="30"/>
  <c r="HC65" i="30"/>
  <c r="HD57" i="30"/>
  <c r="HC54" i="30"/>
  <c r="HC55" i="30"/>
  <c r="HC59" i="30"/>
  <c r="HD58" i="30"/>
  <c r="HA68" i="30"/>
  <c r="HB66" i="30"/>
  <c r="HC62" i="30"/>
  <c r="HD61" i="30"/>
  <c r="HC60" i="30"/>
  <c r="HD63" i="30"/>
  <c r="HD64" i="30"/>
  <c r="HE69" i="30"/>
  <c r="HD56" i="30"/>
  <c r="HD65" i="30"/>
  <c r="HE57" i="30"/>
  <c r="HD54" i="30"/>
  <c r="HD55" i="30"/>
  <c r="HD59" i="30"/>
  <c r="HE58" i="30"/>
  <c r="HB68" i="30"/>
  <c r="HC66" i="30"/>
  <c r="HD62" i="30"/>
  <c r="HE61" i="30"/>
  <c r="HD60" i="30"/>
  <c r="HE63" i="30"/>
  <c r="HE64" i="30"/>
  <c r="HF69" i="30"/>
  <c r="HE56" i="30"/>
  <c r="HE65" i="30"/>
  <c r="HF57" i="30"/>
  <c r="HE54" i="30"/>
  <c r="HE55" i="30"/>
  <c r="HE59" i="30"/>
  <c r="HF58" i="30"/>
  <c r="HC68" i="30"/>
  <c r="HD66" i="30"/>
  <c r="HE62" i="30"/>
  <c r="HF61" i="30"/>
  <c r="HE60" i="30"/>
  <c r="HF63" i="30"/>
  <c r="HF64" i="30"/>
  <c r="HG69" i="30"/>
  <c r="HF56" i="30"/>
  <c r="HF65" i="30"/>
  <c r="HG57" i="30"/>
  <c r="HF54" i="30"/>
  <c r="HF55" i="30"/>
  <c r="HF59" i="30"/>
  <c r="HG58" i="30"/>
  <c r="HD68" i="30"/>
  <c r="HE66" i="30"/>
  <c r="HF62" i="30"/>
  <c r="HG61" i="30"/>
  <c r="HF60" i="30"/>
  <c r="HG63" i="30"/>
  <c r="HG64" i="30"/>
  <c r="HH69" i="30"/>
  <c r="HG56" i="30"/>
  <c r="HG65" i="30"/>
  <c r="HH57" i="30"/>
  <c r="HG54" i="30"/>
  <c r="HG55" i="30"/>
  <c r="HG59" i="30"/>
  <c r="HH58" i="30"/>
  <c r="HE68" i="30"/>
  <c r="HF66" i="30"/>
  <c r="HG62" i="30"/>
  <c r="HH61" i="30"/>
  <c r="HG60" i="30"/>
  <c r="HH63" i="30"/>
  <c r="HH64" i="30"/>
  <c r="HI69" i="30"/>
  <c r="HH56" i="30"/>
  <c r="HH65" i="30"/>
  <c r="HI57" i="30"/>
  <c r="HH54" i="30"/>
  <c r="HH55" i="30"/>
  <c r="HH59" i="30"/>
  <c r="HI58" i="30"/>
  <c r="HF68" i="30"/>
  <c r="HG66" i="30"/>
  <c r="HH62" i="30"/>
  <c r="HI61" i="30"/>
  <c r="HH60" i="30"/>
  <c r="HI63" i="30"/>
  <c r="HI64" i="30"/>
  <c r="HJ69" i="30"/>
  <c r="HI56" i="30"/>
  <c r="HI65" i="30"/>
  <c r="HJ57" i="30"/>
  <c r="HI54" i="30"/>
  <c r="HI55" i="30"/>
  <c r="HI59" i="30"/>
  <c r="HJ58" i="30"/>
  <c r="HG68" i="30"/>
  <c r="HH66" i="30"/>
  <c r="HI62" i="30"/>
  <c r="HJ61" i="30"/>
  <c r="HI60" i="30"/>
  <c r="HJ63" i="30"/>
  <c r="HJ64" i="30"/>
  <c r="HK69" i="30"/>
  <c r="HJ56" i="30"/>
  <c r="HJ65" i="30"/>
  <c r="HK57" i="30"/>
  <c r="HJ54" i="30"/>
  <c r="HJ55" i="30"/>
  <c r="HJ59" i="30"/>
  <c r="HK58" i="30"/>
  <c r="HH68" i="30"/>
  <c r="HI66" i="30"/>
  <c r="HJ62" i="30"/>
  <c r="HK61" i="30"/>
  <c r="HJ60" i="30"/>
  <c r="HK63" i="30"/>
  <c r="HK64" i="30"/>
  <c r="HL69" i="30"/>
  <c r="HK56" i="30"/>
  <c r="HK65" i="30"/>
  <c r="HL57" i="30"/>
  <c r="HK54" i="30"/>
  <c r="HK55" i="30"/>
  <c r="HK59" i="30"/>
  <c r="HL58" i="30"/>
  <c r="HI68" i="30"/>
  <c r="HJ66" i="30"/>
  <c r="HK62" i="30"/>
  <c r="HL61" i="30"/>
  <c r="HK60" i="30"/>
  <c r="HL63" i="30"/>
  <c r="HL64" i="30"/>
  <c r="HM69" i="30"/>
  <c r="HL56" i="30"/>
  <c r="HL65" i="30"/>
  <c r="HM57" i="30"/>
  <c r="HL54" i="30"/>
  <c r="HL55" i="30"/>
  <c r="HL59" i="30"/>
  <c r="HM58" i="30"/>
  <c r="HJ68" i="30"/>
  <c r="HK66" i="30"/>
  <c r="HL62" i="30"/>
  <c r="HM61" i="30"/>
  <c r="HL60" i="30"/>
  <c r="HM63" i="30"/>
  <c r="HM64" i="30"/>
  <c r="HN69" i="30"/>
  <c r="HM56" i="30"/>
  <c r="HM65" i="30"/>
  <c r="HN57" i="30"/>
  <c r="HM54" i="30"/>
  <c r="HM55" i="30"/>
  <c r="HM59" i="30"/>
  <c r="HN58" i="30"/>
  <c r="HK68" i="30"/>
  <c r="HL66" i="30"/>
  <c r="HM62" i="30"/>
  <c r="HN61" i="30"/>
  <c r="HM60" i="30"/>
  <c r="HN63" i="30"/>
  <c r="HN64" i="30"/>
  <c r="HO69" i="30"/>
  <c r="HN56" i="30"/>
  <c r="HN65" i="30"/>
  <c r="HO57" i="30"/>
  <c r="HN54" i="30"/>
  <c r="HN55" i="30"/>
  <c r="HN59" i="30"/>
  <c r="HO58" i="30"/>
  <c r="HL68" i="30"/>
  <c r="HM66" i="30"/>
  <c r="HN62" i="30"/>
  <c r="HO61" i="30"/>
  <c r="HN60" i="30"/>
  <c r="HO63" i="30"/>
  <c r="HO64" i="30"/>
  <c r="HP69" i="30"/>
  <c r="HO56" i="30"/>
  <c r="HO65" i="30"/>
  <c r="HP57" i="30"/>
  <c r="HO54" i="30"/>
  <c r="HO55" i="30"/>
  <c r="HO59" i="30"/>
  <c r="HP58" i="30"/>
  <c r="HM68" i="30"/>
  <c r="HN66" i="30"/>
  <c r="HO62" i="30"/>
  <c r="HP61" i="30"/>
  <c r="HO60" i="30"/>
  <c r="HP63" i="30"/>
  <c r="HP64" i="30"/>
  <c r="HQ69" i="30"/>
  <c r="HP56" i="30"/>
  <c r="HP65" i="30"/>
  <c r="HQ57" i="30"/>
  <c r="HP54" i="30"/>
  <c r="HP55" i="30"/>
  <c r="HP59" i="30"/>
  <c r="HQ58" i="30"/>
  <c r="HN68" i="30"/>
  <c r="HO66" i="30"/>
  <c r="HP62" i="30"/>
  <c r="HQ61" i="30"/>
  <c r="HP60" i="30"/>
  <c r="HQ63" i="30"/>
  <c r="HQ64" i="30"/>
  <c r="HR69" i="30"/>
  <c r="HQ56" i="30"/>
  <c r="HQ65" i="30"/>
  <c r="HR57" i="30"/>
  <c r="HQ54" i="30"/>
  <c r="HQ55" i="30"/>
  <c r="HQ59" i="30"/>
  <c r="HR58" i="30"/>
  <c r="HO68" i="30"/>
  <c r="HP66" i="30"/>
  <c r="HQ62" i="30"/>
  <c r="HR61" i="30"/>
  <c r="HQ60" i="30"/>
  <c r="HR63" i="30"/>
  <c r="HR64" i="30"/>
  <c r="HS69" i="30"/>
  <c r="HR56" i="30"/>
  <c r="HR65" i="30"/>
  <c r="HS57" i="30"/>
  <c r="HR54" i="30"/>
  <c r="HR55" i="30"/>
  <c r="HR59" i="30"/>
  <c r="HS58" i="30"/>
  <c r="HP68" i="30"/>
  <c r="HQ66" i="30"/>
  <c r="HR62" i="30"/>
  <c r="HS61" i="30"/>
  <c r="HR60" i="30"/>
  <c r="HS63" i="30"/>
  <c r="HS64" i="30"/>
  <c r="HT69" i="30"/>
  <c r="HS56" i="30"/>
  <c r="HS65" i="30"/>
  <c r="HT57" i="30"/>
  <c r="HS54" i="30"/>
  <c r="HS55" i="30"/>
  <c r="HS59" i="30"/>
  <c r="HT58" i="30"/>
  <c r="HQ68" i="30"/>
  <c r="HR66" i="30"/>
  <c r="HS62" i="30"/>
  <c r="HT61" i="30"/>
  <c r="HS60" i="30"/>
  <c r="HT63" i="30"/>
  <c r="HT64" i="30"/>
  <c r="HU69" i="30"/>
  <c r="HT56" i="30"/>
  <c r="HT65" i="30"/>
  <c r="HU57" i="30"/>
  <c r="HT54" i="30"/>
  <c r="HT55" i="30"/>
  <c r="HT59" i="30"/>
  <c r="HU58" i="30"/>
  <c r="HR68" i="30"/>
  <c r="HS66" i="30"/>
  <c r="HT62" i="30"/>
  <c r="HU61" i="30"/>
  <c r="HT60" i="30"/>
  <c r="HU63" i="30"/>
  <c r="HU64" i="30"/>
  <c r="HV69" i="30"/>
  <c r="HU56" i="30"/>
  <c r="HU65" i="30"/>
  <c r="HV57" i="30"/>
  <c r="HU54" i="30"/>
  <c r="HU55" i="30"/>
  <c r="HU59" i="30"/>
  <c r="HV58" i="30"/>
  <c r="HS68" i="30"/>
  <c r="HT66" i="30"/>
  <c r="HU62" i="30"/>
  <c r="HV61" i="30"/>
  <c r="HU60" i="30"/>
  <c r="HV63" i="30"/>
  <c r="HV64" i="30"/>
  <c r="HW69" i="30"/>
  <c r="HV56" i="30"/>
  <c r="HV65" i="30"/>
  <c r="HW57" i="30"/>
  <c r="HV54" i="30"/>
  <c r="HV55" i="30"/>
  <c r="HV59" i="30"/>
  <c r="HW58" i="30"/>
  <c r="HT68" i="30"/>
  <c r="HU66" i="30"/>
  <c r="HV62" i="30"/>
  <c r="HW61" i="30"/>
  <c r="HV60" i="30"/>
  <c r="HW63" i="30"/>
  <c r="HW64" i="30"/>
  <c r="HX69" i="30"/>
  <c r="HW56" i="30"/>
  <c r="HW65" i="30"/>
  <c r="HX57" i="30"/>
  <c r="HW54" i="30"/>
  <c r="HW55" i="30"/>
  <c r="HW59" i="30"/>
  <c r="HX58" i="30"/>
  <c r="HU68" i="30"/>
  <c r="HV66" i="30"/>
  <c r="HW62" i="30"/>
  <c r="HX61" i="30"/>
  <c r="HW60" i="30"/>
  <c r="HX63" i="30"/>
  <c r="HX64" i="30"/>
  <c r="HY69" i="30"/>
  <c r="HX56" i="30"/>
  <c r="HX65" i="30"/>
  <c r="HY57" i="30"/>
  <c r="HX54" i="30"/>
  <c r="HX55" i="30"/>
  <c r="HX59" i="30"/>
  <c r="HY58" i="30"/>
  <c r="HV68" i="30"/>
  <c r="HW66" i="30"/>
  <c r="HX62" i="30"/>
  <c r="HY61" i="30"/>
  <c r="HX60" i="30"/>
  <c r="HY63" i="30"/>
  <c r="HY64" i="30"/>
  <c r="HZ69" i="30"/>
  <c r="HY56" i="30"/>
  <c r="HY65" i="30"/>
  <c r="HZ57" i="30"/>
  <c r="HY54" i="30"/>
  <c r="HY55" i="30"/>
  <c r="HY59" i="30"/>
  <c r="HZ58" i="30"/>
  <c r="HW68" i="30"/>
  <c r="HX66" i="30"/>
  <c r="HY62" i="30"/>
  <c r="HZ61" i="30"/>
  <c r="HY60" i="30"/>
  <c r="HZ63" i="30"/>
  <c r="HZ64" i="30"/>
  <c r="IA69" i="30"/>
  <c r="HZ56" i="30"/>
  <c r="HZ65" i="30"/>
  <c r="IA57" i="30"/>
  <c r="HZ54" i="30"/>
  <c r="HZ55" i="30"/>
  <c r="HZ59" i="30"/>
  <c r="IA58" i="30"/>
  <c r="HX68" i="30"/>
  <c r="HY66" i="30"/>
  <c r="HZ62" i="30"/>
  <c r="IA61" i="30"/>
  <c r="HZ60" i="30"/>
  <c r="IA63" i="30"/>
  <c r="IA64" i="30"/>
  <c r="IB69" i="30"/>
  <c r="IA56" i="30"/>
  <c r="IA65" i="30"/>
  <c r="IB57" i="30"/>
  <c r="IA54" i="30"/>
  <c r="IA55" i="30"/>
  <c r="IA59" i="30"/>
  <c r="IB58" i="30"/>
  <c r="HY68" i="30"/>
  <c r="HZ66" i="30"/>
  <c r="IA62" i="30"/>
  <c r="IB61" i="30"/>
  <c r="IA60" i="30"/>
  <c r="IB63" i="30"/>
  <c r="IB64" i="30"/>
  <c r="IC69" i="30"/>
  <c r="IB56" i="30"/>
  <c r="IB65" i="30"/>
  <c r="IC57" i="30"/>
  <c r="IB54" i="30"/>
  <c r="IB55" i="30"/>
  <c r="IB59" i="30"/>
  <c r="IC58" i="30"/>
  <c r="HZ68" i="30"/>
  <c r="IA66" i="30"/>
  <c r="IB62" i="30"/>
  <c r="IC61" i="30"/>
  <c r="IB60" i="30"/>
  <c r="IC63" i="30"/>
  <c r="IC64" i="30"/>
  <c r="ID69" i="30"/>
  <c r="IC56" i="30"/>
  <c r="IC65" i="30"/>
  <c r="ID57" i="30"/>
  <c r="IC54" i="30"/>
  <c r="IC55" i="30"/>
  <c r="IC59" i="30"/>
  <c r="ID58" i="30"/>
  <c r="IA68" i="30"/>
  <c r="IB66" i="30"/>
  <c r="IC62" i="30"/>
  <c r="ID61" i="30"/>
  <c r="IC60" i="30"/>
  <c r="ID63" i="30"/>
  <c r="ID64" i="30"/>
  <c r="IE69" i="30"/>
  <c r="ID56" i="30"/>
  <c r="ID65" i="30"/>
  <c r="IE57" i="30"/>
  <c r="ID54" i="30"/>
  <c r="ID55" i="30"/>
  <c r="ID59" i="30"/>
  <c r="IE58" i="30"/>
  <c r="IB68" i="30"/>
  <c r="IC66" i="30"/>
  <c r="ID62" i="30"/>
  <c r="IE61" i="30"/>
  <c r="ID60" i="30"/>
  <c r="IE63" i="30"/>
  <c r="IE64" i="30"/>
  <c r="IF69" i="30"/>
  <c r="IE56" i="30"/>
  <c r="IE65" i="30"/>
  <c r="IF57" i="30"/>
  <c r="IE54" i="30"/>
  <c r="IE55" i="30"/>
  <c r="IE59" i="30"/>
  <c r="IF58" i="30"/>
  <c r="IC68" i="30"/>
  <c r="ID66" i="30"/>
  <c r="IE62" i="30"/>
  <c r="IF61" i="30"/>
  <c r="IE60" i="30"/>
  <c r="IF63" i="30"/>
  <c r="IF64" i="30"/>
  <c r="IG69" i="30"/>
  <c r="ID68" i="30"/>
  <c r="IE68" i="30"/>
  <c r="IF68" i="30"/>
  <c r="IG68" i="30"/>
  <c r="B16" i="30"/>
  <c r="B240" i="30" s="1"/>
  <c r="B241" i="30" s="1"/>
  <c r="AX67" i="30"/>
  <c r="AY67" i="30"/>
  <c r="AZ67" i="30"/>
  <c r="BA67" i="30"/>
  <c r="BB67" i="30"/>
  <c r="BC67" i="30"/>
  <c r="BD67" i="30"/>
  <c r="BE67" i="30"/>
  <c r="BF67" i="30"/>
  <c r="BG67" i="30"/>
  <c r="BH67" i="30"/>
  <c r="BI67" i="30"/>
  <c r="BJ67" i="30"/>
  <c r="BK67" i="30"/>
  <c r="BL67" i="30"/>
  <c r="BM67" i="30"/>
  <c r="BN67" i="30"/>
  <c r="BO67" i="30"/>
  <c r="BP67" i="30"/>
  <c r="BQ67" i="30"/>
  <c r="BR67" i="30"/>
  <c r="BS67" i="30"/>
  <c r="BT67" i="30"/>
  <c r="BU67" i="30"/>
  <c r="BV67" i="30"/>
  <c r="BW67" i="30"/>
  <c r="BX67" i="30"/>
  <c r="BY67" i="30"/>
  <c r="BZ67" i="30"/>
  <c r="CA67" i="30"/>
  <c r="CB67" i="30"/>
  <c r="CC67" i="30"/>
  <c r="CD67" i="30"/>
  <c r="CE67" i="30"/>
  <c r="CF67" i="30"/>
  <c r="CG67" i="30"/>
  <c r="CH67" i="30"/>
  <c r="CI67" i="30"/>
  <c r="CJ67" i="30"/>
  <c r="CK67" i="30"/>
  <c r="CL67" i="30"/>
  <c r="CM67" i="30"/>
  <c r="CN67" i="30"/>
  <c r="CO67" i="30"/>
  <c r="CP67" i="30"/>
  <c r="CQ67" i="30"/>
  <c r="CR67" i="30"/>
  <c r="CS67" i="30"/>
  <c r="CT67" i="30"/>
  <c r="CU67" i="30"/>
  <c r="CV67" i="30"/>
  <c r="CW67" i="30"/>
  <c r="CX67" i="30"/>
  <c r="CY67" i="30"/>
  <c r="CZ67" i="30"/>
  <c r="DA67" i="30"/>
  <c r="DB67" i="30"/>
  <c r="DC67" i="30"/>
  <c r="DD67" i="30"/>
  <c r="DE67" i="30"/>
  <c r="DF67" i="30"/>
  <c r="DG67" i="30"/>
  <c r="DH67" i="30"/>
  <c r="DI67" i="30"/>
  <c r="DJ67" i="30"/>
  <c r="DK67" i="30"/>
  <c r="DL67" i="30"/>
  <c r="DM67" i="30"/>
  <c r="DN67" i="30"/>
  <c r="DO67" i="30"/>
  <c r="DP67" i="30"/>
  <c r="DQ67" i="30"/>
  <c r="DR67" i="30"/>
  <c r="DS67" i="30"/>
  <c r="DT67" i="30"/>
  <c r="DU67" i="30"/>
  <c r="DV67" i="30"/>
  <c r="DW67" i="30"/>
  <c r="DX67" i="30"/>
  <c r="DY67" i="30"/>
  <c r="DZ67" i="30"/>
  <c r="EA67" i="30"/>
  <c r="EB67" i="30"/>
  <c r="EC67" i="30"/>
  <c r="ED67" i="30"/>
  <c r="EE67" i="30"/>
  <c r="EF67" i="30"/>
  <c r="EG67" i="30"/>
  <c r="EH67" i="30"/>
  <c r="EI67" i="30"/>
  <c r="EJ67" i="30"/>
  <c r="EK67" i="30"/>
  <c r="EL67" i="30"/>
  <c r="EM67" i="30"/>
  <c r="EN67" i="30"/>
  <c r="EO67" i="30"/>
  <c r="EP67" i="30"/>
  <c r="EQ67" i="30"/>
  <c r="ER67" i="30"/>
  <c r="ES67" i="30"/>
  <c r="ET67" i="30"/>
  <c r="EU67" i="30"/>
  <c r="EV67" i="30"/>
  <c r="EW67" i="30"/>
  <c r="EX67" i="30"/>
  <c r="EY67" i="30"/>
  <c r="EZ67" i="30"/>
  <c r="FA67" i="30"/>
  <c r="FB67" i="30"/>
  <c r="FC67" i="30"/>
  <c r="FD67" i="30"/>
  <c r="FE67" i="30"/>
  <c r="FF67" i="30"/>
  <c r="FG67" i="30"/>
  <c r="FH67" i="30"/>
  <c r="FI67" i="30"/>
  <c r="FJ67" i="30"/>
  <c r="FK67" i="30"/>
  <c r="FL67" i="30"/>
  <c r="FM67" i="30"/>
  <c r="FN67" i="30"/>
  <c r="FO67" i="30"/>
  <c r="FP67" i="30"/>
  <c r="FQ67" i="30"/>
  <c r="FR67" i="30"/>
  <c r="FS67" i="30"/>
  <c r="FT67" i="30"/>
  <c r="FU67" i="30"/>
  <c r="FV67" i="30"/>
  <c r="FW67" i="30"/>
  <c r="FX67" i="30"/>
  <c r="FY67" i="30"/>
  <c r="FZ67" i="30"/>
  <c r="GA67" i="30"/>
  <c r="GB67" i="30"/>
  <c r="GC67" i="30"/>
  <c r="GD67" i="30"/>
  <c r="GE67" i="30"/>
  <c r="GF67" i="30"/>
  <c r="GG67" i="30"/>
  <c r="GH67" i="30"/>
  <c r="GI67" i="30"/>
  <c r="GJ67" i="30"/>
  <c r="GK67" i="30"/>
  <c r="GL67" i="30"/>
  <c r="GM67" i="30"/>
  <c r="GN67" i="30"/>
  <c r="GO67" i="30"/>
  <c r="GP67" i="30"/>
  <c r="GQ67" i="30"/>
  <c r="GR67" i="30"/>
  <c r="GS67" i="30"/>
  <c r="GT67" i="30"/>
  <c r="GU67" i="30"/>
  <c r="GV67" i="30"/>
  <c r="GW67" i="30"/>
  <c r="GX67" i="30"/>
  <c r="GY67" i="30"/>
  <c r="GZ67" i="30"/>
  <c r="HA67" i="30"/>
  <c r="HB67" i="30"/>
  <c r="HC67" i="30"/>
  <c r="HD67" i="30"/>
  <c r="HE67" i="30"/>
  <c r="HF67" i="30"/>
  <c r="HG67" i="30"/>
  <c r="HH67" i="30"/>
  <c r="HI67" i="30"/>
  <c r="HJ67" i="30"/>
  <c r="HK67" i="30"/>
  <c r="HL67" i="30"/>
  <c r="HM67" i="30"/>
  <c r="HN67" i="30"/>
  <c r="HO67" i="30"/>
  <c r="HP67" i="30"/>
  <c r="HQ67" i="30"/>
  <c r="HR67" i="30"/>
  <c r="HS67" i="30"/>
  <c r="HT67" i="30"/>
  <c r="HU67" i="30"/>
  <c r="HV67" i="30"/>
  <c r="HW67" i="30"/>
  <c r="HX67" i="30"/>
  <c r="HY67" i="30"/>
  <c r="HZ67" i="30"/>
  <c r="IA67" i="30"/>
  <c r="IB67" i="30"/>
  <c r="IC67" i="30"/>
  <c r="ID67" i="30"/>
  <c r="IE67" i="30"/>
  <c r="IF67" i="30"/>
  <c r="IG67" i="30"/>
  <c r="IE66" i="30"/>
  <c r="IF66" i="30"/>
  <c r="IG66" i="30"/>
  <c r="IF65" i="30"/>
  <c r="IF55" i="30"/>
  <c r="IF59" i="30"/>
  <c r="IF60" i="30"/>
  <c r="IF62" i="30"/>
  <c r="IG65" i="30"/>
  <c r="IF56" i="30"/>
  <c r="IG64" i="30"/>
  <c r="IF54" i="30"/>
  <c r="IG63" i="30"/>
  <c r="IG62" i="30"/>
  <c r="IG61" i="30"/>
  <c r="IG60" i="30"/>
  <c r="IG59" i="30"/>
  <c r="IG58" i="30"/>
  <c r="IG57" i="30"/>
  <c r="IG56" i="30"/>
  <c r="IG55" i="30"/>
  <c r="IG54" i="30"/>
  <c r="IH57" i="30"/>
  <c r="IH56" i="30"/>
  <c r="IH58" i="30"/>
  <c r="IH65" i="30"/>
  <c r="II57" i="30"/>
  <c r="IH55" i="30"/>
  <c r="IH59" i="30"/>
  <c r="IH64" i="30"/>
  <c r="II56" i="30"/>
  <c r="IH54" i="30"/>
  <c r="II58" i="30"/>
  <c r="IH60" i="30"/>
  <c r="IH61" i="30"/>
  <c r="IH62" i="30"/>
  <c r="II65" i="30"/>
  <c r="IJ57" i="30"/>
  <c r="II55" i="30"/>
  <c r="II59" i="30"/>
  <c r="II64" i="30"/>
  <c r="IJ56" i="30"/>
  <c r="IH63" i="30"/>
  <c r="II54" i="30"/>
  <c r="IJ58" i="30"/>
  <c r="II60" i="30"/>
  <c r="II61" i="30"/>
  <c r="IH66" i="30"/>
  <c r="II62" i="30"/>
  <c r="IJ65" i="30"/>
  <c r="IK57" i="30"/>
  <c r="IJ55" i="30"/>
  <c r="IJ59" i="30"/>
  <c r="IJ64" i="30"/>
  <c r="IK56" i="30"/>
  <c r="IH69" i="30"/>
  <c r="II63" i="30"/>
  <c r="IJ54" i="30"/>
  <c r="IK58" i="30"/>
  <c r="IJ60" i="30"/>
  <c r="IJ61" i="30"/>
  <c r="IH68" i="30"/>
  <c r="II66" i="30"/>
  <c r="IJ62" i="30"/>
  <c r="IK65" i="30"/>
  <c r="IL57" i="30"/>
  <c r="IK55" i="30"/>
  <c r="IK59" i="30"/>
  <c r="IK64" i="30"/>
  <c r="IL56" i="30"/>
  <c r="II69" i="30"/>
  <c r="IJ63" i="30"/>
  <c r="IK54" i="30"/>
  <c r="IL58" i="30"/>
  <c r="IK60" i="30"/>
  <c r="IK61" i="30"/>
  <c r="II68" i="30"/>
  <c r="IJ66" i="30"/>
  <c r="IK62" i="30"/>
  <c r="IL65" i="30"/>
  <c r="IM57" i="30"/>
  <c r="IL55" i="30"/>
  <c r="IL59" i="30"/>
  <c r="IL64" i="30"/>
  <c r="IM56" i="30"/>
  <c r="IJ69" i="30"/>
  <c r="IK63" i="30"/>
  <c r="IL54" i="30"/>
  <c r="IM58" i="30"/>
  <c r="IL60" i="30"/>
  <c r="IL61" i="30"/>
  <c r="IJ68" i="30"/>
  <c r="IK66" i="30"/>
  <c r="IL62" i="30"/>
  <c r="IM65" i="30"/>
  <c r="IN57" i="30"/>
  <c r="IM55" i="30"/>
  <c r="IM59" i="30"/>
  <c r="IM64" i="30"/>
  <c r="IN56" i="30"/>
  <c r="IK69" i="30"/>
  <c r="IL63" i="30"/>
  <c r="IM54" i="30"/>
  <c r="IN58" i="30"/>
  <c r="IM60" i="30"/>
  <c r="IM61" i="30"/>
  <c r="IK68" i="30"/>
  <c r="IL66" i="30"/>
  <c r="IM62" i="30"/>
  <c r="IN65" i="30"/>
  <c r="IO57" i="30"/>
  <c r="IN55" i="30"/>
  <c r="IN59" i="30"/>
  <c r="IN64" i="30"/>
  <c r="IO56" i="30"/>
  <c r="IL69" i="30"/>
  <c r="IM63" i="30"/>
  <c r="IN54" i="30"/>
  <c r="IO58" i="30"/>
  <c r="IN60" i="30"/>
  <c r="IN61" i="30"/>
  <c r="IL68" i="30"/>
  <c r="IM66" i="30"/>
  <c r="IN62" i="30"/>
  <c r="IO65" i="30"/>
  <c r="IP57" i="30"/>
  <c r="IO55" i="30"/>
  <c r="IO59" i="30"/>
  <c r="IO64" i="30"/>
  <c r="IP56" i="30"/>
  <c r="IM69" i="30"/>
  <c r="IN63" i="30"/>
  <c r="IO54" i="30"/>
  <c r="IP58" i="30"/>
  <c r="IO60" i="30"/>
  <c r="IO61" i="30"/>
  <c r="IM68" i="30"/>
  <c r="IN66" i="30"/>
  <c r="IO62" i="30"/>
  <c r="IP65" i="30"/>
  <c r="IQ57" i="30"/>
  <c r="IP55" i="30"/>
  <c r="IP59" i="30"/>
  <c r="IP64" i="30"/>
  <c r="IQ56" i="30"/>
  <c r="IN69" i="30"/>
  <c r="IO63" i="30"/>
  <c r="IP54" i="30"/>
  <c r="IQ58" i="30"/>
  <c r="IP60" i="30"/>
  <c r="IP61" i="30"/>
  <c r="IN68" i="30"/>
  <c r="IO66" i="30"/>
  <c r="IP62" i="30"/>
  <c r="IQ65" i="30"/>
  <c r="IR57" i="30"/>
  <c r="IQ55" i="30"/>
  <c r="IQ59" i="30"/>
  <c r="IQ64" i="30"/>
  <c r="IR56" i="30"/>
  <c r="IO69" i="30"/>
  <c r="IP63" i="30"/>
  <c r="IQ54" i="30"/>
  <c r="IR58" i="30"/>
  <c r="IQ60" i="30"/>
  <c r="IQ61" i="30"/>
  <c r="IO68" i="30"/>
  <c r="IP66" i="30"/>
  <c r="IQ62" i="30"/>
  <c r="IR65" i="30"/>
  <c r="IS57" i="30"/>
  <c r="IR55" i="30"/>
  <c r="IR59" i="30"/>
  <c r="IR64" i="30"/>
  <c r="IS56" i="30"/>
  <c r="IP69" i="30"/>
  <c r="IQ63" i="30"/>
  <c r="IR54" i="30"/>
  <c r="IS58" i="30"/>
  <c r="IR60" i="30"/>
  <c r="IR61" i="30"/>
  <c r="IP68" i="30"/>
  <c r="IQ66" i="30"/>
  <c r="IR62" i="30"/>
  <c r="IS65" i="30"/>
  <c r="IT57" i="30"/>
  <c r="IS55" i="30"/>
  <c r="IS59" i="30"/>
  <c r="IS64" i="30"/>
  <c r="IT56" i="30"/>
  <c r="IQ69" i="30"/>
  <c r="IR63" i="30"/>
  <c r="IS54" i="30"/>
  <c r="IT58" i="30"/>
  <c r="IS60" i="30"/>
  <c r="IS61" i="30"/>
  <c r="IQ68" i="30"/>
  <c r="IR66" i="30"/>
  <c r="IS62" i="30"/>
  <c r="IT65" i="30"/>
  <c r="IU57" i="30"/>
  <c r="IR69" i="30"/>
  <c r="IS63" i="30"/>
  <c r="IT54" i="30"/>
  <c r="IT55" i="30"/>
  <c r="IT59" i="30"/>
  <c r="IU58" i="30"/>
  <c r="IT61" i="30"/>
  <c r="IR68" i="30"/>
  <c r="IS66" i="30"/>
  <c r="IT62" i="30"/>
  <c r="IU61" i="30"/>
  <c r="IS69" i="30"/>
  <c r="IT63" i="30"/>
  <c r="IT60" i="30"/>
  <c r="IT69" i="30"/>
  <c r="IU63" i="30"/>
  <c r="IT64" i="30"/>
  <c r="IU64" i="30"/>
  <c r="IS68" i="30"/>
  <c r="IT68" i="30"/>
  <c r="IU68" i="30"/>
  <c r="IU55" i="30"/>
  <c r="IU59" i="30"/>
  <c r="IU60" i="30"/>
  <c r="IT66" i="30"/>
  <c r="IU62" i="30"/>
  <c r="IU56" i="30"/>
  <c r="IU54" i="30"/>
  <c r="IU69" i="30"/>
  <c r="IU66" i="30"/>
  <c r="IU65" i="30"/>
  <c r="B2" i="30"/>
  <c r="C2" i="30"/>
  <c r="D2" i="30"/>
  <c r="E2" i="30"/>
  <c r="F2" i="30"/>
  <c r="G2" i="30"/>
  <c r="H2" i="30"/>
  <c r="I2" i="30"/>
  <c r="J2" i="30"/>
  <c r="K2" i="30"/>
  <c r="L2" i="30"/>
  <c r="M2" i="30"/>
  <c r="N2" i="30"/>
  <c r="O2" i="30"/>
  <c r="P2" i="30"/>
  <c r="Q2" i="30"/>
  <c r="R2" i="30"/>
  <c r="S2" i="30"/>
  <c r="T2" i="30"/>
  <c r="U2" i="30"/>
  <c r="V2" i="30"/>
  <c r="W2" i="30"/>
  <c r="X2" i="30"/>
  <c r="Y2" i="30"/>
  <c r="Z2" i="30"/>
  <c r="AA2" i="30"/>
  <c r="AB2" i="30"/>
  <c r="AC2" i="30"/>
  <c r="AD2" i="30"/>
  <c r="AE2" i="30"/>
  <c r="AF2" i="30"/>
  <c r="AG2" i="30"/>
  <c r="AH2" i="30"/>
  <c r="AI2" i="30"/>
  <c r="AJ2" i="30"/>
  <c r="AK2" i="30"/>
  <c r="AL2" i="30"/>
  <c r="AM2" i="30"/>
  <c r="AN2" i="30"/>
  <c r="AO2" i="30"/>
  <c r="AP2" i="30"/>
  <c r="AQ2" i="30"/>
  <c r="AR2" i="30"/>
  <c r="AS2" i="30"/>
  <c r="AT2" i="30"/>
  <c r="AU2" i="30"/>
  <c r="AV2" i="30"/>
  <c r="AW2" i="30"/>
  <c r="AX2" i="30"/>
  <c r="AY2" i="30"/>
  <c r="AZ2" i="30"/>
  <c r="BA2" i="30"/>
  <c r="BB2" i="30"/>
  <c r="BC2" i="30"/>
  <c r="BD2" i="30"/>
  <c r="BE2" i="30"/>
  <c r="BF2" i="30"/>
  <c r="BG2" i="30"/>
  <c r="BH2" i="30"/>
  <c r="BI2" i="30"/>
  <c r="BJ2" i="30"/>
  <c r="BK2" i="30"/>
  <c r="BL2" i="30"/>
  <c r="BM2" i="30"/>
  <c r="BN2" i="30"/>
  <c r="BO2" i="30"/>
  <c r="BP2" i="30"/>
  <c r="BQ2" i="30"/>
  <c r="BR2" i="30"/>
  <c r="BS2" i="30"/>
  <c r="BT2" i="30"/>
  <c r="BU2" i="30"/>
  <c r="BV2" i="30"/>
  <c r="BW2" i="30"/>
  <c r="BX2" i="30"/>
  <c r="BY2" i="30"/>
  <c r="BZ2" i="30"/>
  <c r="CA2" i="30"/>
  <c r="CB2" i="30"/>
  <c r="CC2" i="30"/>
  <c r="CD2" i="30"/>
  <c r="IH67" i="30"/>
  <c r="II67" i="30"/>
  <c r="IJ67" i="30"/>
  <c r="IK67" i="30"/>
  <c r="IL67" i="30"/>
  <c r="IM67" i="30"/>
  <c r="IN67" i="30"/>
  <c r="IO67" i="30"/>
  <c r="IP67" i="30"/>
  <c r="IQ67" i="30"/>
  <c r="IR67" i="30"/>
  <c r="IS67" i="30"/>
  <c r="IT67" i="30"/>
  <c r="IU67" i="30"/>
  <c r="IH70" i="30"/>
  <c r="II70" i="30"/>
  <c r="IJ70" i="30"/>
  <c r="IK70" i="30"/>
  <c r="IL70" i="30"/>
  <c r="IM70" i="30"/>
  <c r="IN70" i="30"/>
  <c r="IO70" i="30"/>
  <c r="IP70" i="30"/>
  <c r="IQ70" i="30"/>
  <c r="IR70" i="30"/>
  <c r="IS70" i="30"/>
  <c r="IT70" i="30"/>
  <c r="IU70" i="30"/>
  <c r="IV54" i="30"/>
  <c r="IV55" i="30"/>
  <c r="IV56" i="30"/>
  <c r="IV57" i="30"/>
  <c r="IV58" i="30"/>
  <c r="IV59" i="30"/>
  <c r="IV60" i="30"/>
  <c r="IV61" i="30"/>
  <c r="IV62" i="30"/>
  <c r="IV63" i="30"/>
  <c r="IV64" i="30"/>
  <c r="IV65" i="30"/>
  <c r="IV66" i="30"/>
  <c r="IV67" i="30"/>
  <c r="IV68" i="30"/>
  <c r="IV69" i="30"/>
  <c r="IV70" i="30"/>
  <c r="P276" i="30"/>
  <c r="Q276" i="30"/>
  <c r="R276" i="30"/>
  <c r="B280" i="30"/>
  <c r="Q280" i="30" s="1"/>
  <c r="B281" i="30"/>
  <c r="Q281" i="30" s="1"/>
  <c r="B284" i="30"/>
  <c r="Q284" i="30" s="1"/>
  <c r="B293" i="30"/>
  <c r="Q293" i="30" s="1"/>
  <c r="P277" i="30"/>
  <c r="P278" i="30"/>
  <c r="P279" i="30"/>
  <c r="P280" i="30"/>
  <c r="P281" i="30"/>
  <c r="P282" i="30"/>
  <c r="P283" i="30"/>
  <c r="P284" i="30"/>
  <c r="P285" i="30"/>
  <c r="P286" i="30"/>
  <c r="P287" i="30"/>
  <c r="P288" i="30"/>
  <c r="P289" i="30"/>
  <c r="P290" i="30"/>
  <c r="P291" i="30"/>
  <c r="P292" i="30"/>
  <c r="P293" i="30"/>
  <c r="P294" i="30"/>
  <c r="P39" i="27"/>
  <c r="Q39" i="27"/>
  <c r="R39" i="27"/>
  <c r="S39" i="27"/>
  <c r="T39" i="27"/>
  <c r="U39" i="27"/>
  <c r="V39" i="27"/>
  <c r="W39" i="27"/>
  <c r="X39" i="27"/>
  <c r="Y39" i="27"/>
  <c r="Z39" i="27"/>
  <c r="AA39" i="27"/>
  <c r="AB39" i="27"/>
  <c r="AC39" i="27"/>
  <c r="AD39" i="27"/>
  <c r="AE39" i="27"/>
  <c r="AF39" i="27"/>
  <c r="AG39" i="27"/>
  <c r="AH39" i="27"/>
  <c r="AI39" i="27"/>
  <c r="AJ39" i="27"/>
  <c r="AK39" i="27"/>
  <c r="AL39" i="27"/>
  <c r="AM39" i="27"/>
  <c r="AN39" i="27"/>
  <c r="AO39" i="27"/>
  <c r="AP39" i="27"/>
  <c r="AQ39" i="27"/>
  <c r="AR39" i="27"/>
  <c r="AS39" i="27"/>
  <c r="AT39" i="27"/>
  <c r="AU39" i="27"/>
  <c r="AV39" i="27"/>
  <c r="AW39" i="27"/>
  <c r="AX39" i="27"/>
  <c r="AY39" i="27"/>
  <c r="AZ39" i="27"/>
  <c r="BA39" i="27"/>
  <c r="BB39" i="27"/>
  <c r="BC39" i="27"/>
  <c r="BD39" i="27"/>
  <c r="BE39" i="27"/>
  <c r="BF39" i="27"/>
  <c r="BG39" i="27"/>
  <c r="BH39" i="27"/>
  <c r="BI39" i="27"/>
  <c r="BJ39" i="27"/>
  <c r="BK39" i="27"/>
  <c r="BL39" i="27"/>
  <c r="BM39" i="27"/>
  <c r="BN39" i="27"/>
  <c r="BO39" i="27"/>
  <c r="BP39" i="27"/>
  <c r="BQ39" i="27"/>
  <c r="BR39" i="27"/>
  <c r="BS39" i="27"/>
  <c r="BT39" i="27"/>
  <c r="BU39" i="27"/>
  <c r="BV39" i="27"/>
  <c r="BW39" i="27"/>
  <c r="BX39" i="27"/>
  <c r="BY39" i="27"/>
  <c r="BZ39" i="27"/>
  <c r="CA39" i="27"/>
  <c r="CB39" i="27"/>
  <c r="CC39" i="27"/>
  <c r="CD39" i="27"/>
  <c r="CE39" i="27"/>
  <c r="CF39" i="27"/>
  <c r="CG39" i="27"/>
  <c r="CH39" i="27"/>
  <c r="CI39" i="27"/>
  <c r="CJ39" i="27"/>
  <c r="CK39" i="27"/>
  <c r="CL39" i="27"/>
  <c r="CM39" i="27"/>
  <c r="CN39" i="27"/>
  <c r="CO39" i="27"/>
  <c r="CP39" i="27"/>
  <c r="CQ39" i="27"/>
  <c r="CR39" i="27"/>
  <c r="CS39" i="27"/>
  <c r="CT39" i="27"/>
  <c r="CU39" i="27"/>
  <c r="CV39" i="27"/>
  <c r="CW39" i="27"/>
  <c r="CX39" i="27"/>
  <c r="CY39" i="27"/>
  <c r="CZ39" i="27"/>
  <c r="DA39" i="27"/>
  <c r="DB39" i="27"/>
  <c r="DC39" i="27"/>
  <c r="DD39" i="27"/>
  <c r="DE39" i="27"/>
  <c r="P59" i="27"/>
  <c r="Q59" i="27"/>
  <c r="R59" i="27"/>
  <c r="S59" i="27"/>
  <c r="T59" i="27"/>
  <c r="U59" i="27"/>
  <c r="V59" i="27"/>
  <c r="W59" i="27"/>
  <c r="X59" i="27"/>
  <c r="Y59" i="27"/>
  <c r="Z59" i="27"/>
  <c r="AA59" i="27"/>
  <c r="AB59" i="27"/>
  <c r="AC59" i="27"/>
  <c r="AD59" i="27"/>
  <c r="AE59" i="27"/>
  <c r="AF59" i="27"/>
  <c r="AG59" i="27"/>
  <c r="AH59" i="27"/>
  <c r="AI59" i="27"/>
  <c r="AJ59" i="27"/>
  <c r="AK59" i="27"/>
  <c r="AL59" i="27"/>
  <c r="AM59" i="27"/>
  <c r="AN59" i="27"/>
  <c r="AO59" i="27"/>
  <c r="AP59" i="27"/>
  <c r="AQ59" i="27"/>
  <c r="AR59" i="27"/>
  <c r="AS59" i="27"/>
  <c r="AT59" i="27"/>
  <c r="AU59" i="27"/>
  <c r="AV59" i="27"/>
  <c r="AW59" i="27"/>
  <c r="AX59" i="27"/>
  <c r="AY59" i="27"/>
  <c r="AZ59" i="27"/>
  <c r="BA59" i="27"/>
  <c r="BB59" i="27"/>
  <c r="BC59" i="27"/>
  <c r="BD59" i="27"/>
  <c r="BE59" i="27"/>
  <c r="BF59" i="27"/>
  <c r="BG59" i="27"/>
  <c r="BH59" i="27"/>
  <c r="BI59" i="27"/>
  <c r="BJ59" i="27"/>
  <c r="BK59" i="27"/>
  <c r="BL59" i="27"/>
  <c r="BM59" i="27"/>
  <c r="BN59" i="27"/>
  <c r="BO59" i="27"/>
  <c r="BP59" i="27"/>
  <c r="BQ59" i="27"/>
  <c r="BR59" i="27"/>
  <c r="BS59" i="27"/>
  <c r="BT59" i="27"/>
  <c r="BU59" i="27"/>
  <c r="BV59" i="27"/>
  <c r="BW59" i="27"/>
  <c r="BX59" i="27"/>
  <c r="BY59" i="27"/>
  <c r="BZ59" i="27"/>
  <c r="CA59" i="27"/>
  <c r="CB59" i="27"/>
  <c r="CC59" i="27"/>
  <c r="CD59" i="27"/>
  <c r="CE59" i="27"/>
  <c r="CF59" i="27"/>
  <c r="CG59" i="27"/>
  <c r="CH59" i="27"/>
  <c r="CI59" i="27"/>
  <c r="CJ59" i="27"/>
  <c r="CK59" i="27"/>
  <c r="CL59" i="27"/>
  <c r="CM59" i="27"/>
  <c r="CN59" i="27"/>
  <c r="CO59" i="27"/>
  <c r="CP59" i="27"/>
  <c r="CQ59" i="27"/>
  <c r="CR59" i="27"/>
  <c r="CS59" i="27"/>
  <c r="CT59" i="27"/>
  <c r="CU59" i="27"/>
  <c r="CV59" i="27"/>
  <c r="CW59" i="27"/>
  <c r="CX59" i="27"/>
  <c r="CY59" i="27"/>
  <c r="CZ59" i="27"/>
  <c r="DA59" i="27"/>
  <c r="DB59" i="27"/>
  <c r="DC59" i="27"/>
  <c r="DD59" i="27"/>
  <c r="DE59" i="27"/>
  <c r="CE2" i="30"/>
  <c r="CF2" i="30"/>
  <c r="CG2" i="30"/>
  <c r="CH2" i="30"/>
  <c r="CI2" i="30"/>
  <c r="CJ2" i="30"/>
  <c r="CK2" i="30"/>
  <c r="CL2" i="30"/>
  <c r="L276" i="30"/>
  <c r="M276" i="30"/>
  <c r="CM2" i="30"/>
  <c r="CN2" i="30"/>
  <c r="CO2" i="30"/>
  <c r="CP2" i="30"/>
  <c r="CQ2" i="30"/>
  <c r="CR2" i="30"/>
  <c r="CS2" i="30"/>
  <c r="CT2" i="30"/>
  <c r="CU2" i="30"/>
  <c r="CV2" i="30"/>
  <c r="CW2" i="30"/>
  <c r="CX2" i="30"/>
  <c r="CY2" i="30"/>
  <c r="CZ2" i="30"/>
  <c r="DA2" i="30"/>
  <c r="DB2" i="30"/>
  <c r="N276" i="30"/>
  <c r="DC2" i="30"/>
  <c r="DD2" i="30"/>
  <c r="DE2" i="30"/>
  <c r="DF2" i="30"/>
  <c r="DG2" i="30"/>
  <c r="DH2" i="30"/>
  <c r="DI2" i="30"/>
  <c r="DJ2" i="30"/>
  <c r="DK2" i="30"/>
  <c r="DL2" i="30"/>
  <c r="DM2" i="30"/>
  <c r="DN2" i="30"/>
  <c r="DO2" i="30"/>
  <c r="DP2" i="30"/>
  <c r="DQ2" i="30"/>
  <c r="DR2" i="30"/>
  <c r="DS2" i="30"/>
  <c r="DT2" i="30"/>
  <c r="DU2" i="30"/>
  <c r="DV2" i="30"/>
  <c r="DW2" i="30"/>
  <c r="DX2" i="30"/>
  <c r="DY2" i="30"/>
  <c r="DZ2" i="30"/>
  <c r="EA2" i="30"/>
  <c r="EB2" i="30"/>
  <c r="EC2" i="30"/>
  <c r="ED2" i="30"/>
  <c r="EE2" i="30"/>
  <c r="EF2" i="30"/>
  <c r="EG2" i="30"/>
  <c r="EH2" i="30"/>
  <c r="EI2" i="30"/>
  <c r="EJ2" i="30"/>
  <c r="EK2" i="30"/>
  <c r="EL2" i="30"/>
  <c r="EM2" i="30"/>
  <c r="EN2" i="30"/>
  <c r="EO2" i="30"/>
  <c r="EP2" i="30"/>
  <c r="EQ2" i="30"/>
  <c r="ER2" i="30"/>
  <c r="ES2" i="30"/>
  <c r="ET2" i="30"/>
  <c r="EU2" i="30"/>
  <c r="EV2" i="30"/>
  <c r="EW2" i="30"/>
  <c r="EX2" i="30"/>
  <c r="EY2" i="30"/>
  <c r="EZ2" i="30"/>
  <c r="FA2" i="30"/>
  <c r="FB2" i="30"/>
  <c r="FC2" i="30"/>
  <c r="FD2" i="30"/>
  <c r="FE2" i="30"/>
  <c r="FF2" i="30"/>
  <c r="FG2" i="30"/>
  <c r="FH2" i="30"/>
  <c r="FI2" i="30"/>
  <c r="FJ2" i="30"/>
  <c r="FK2" i="30"/>
  <c r="FL2" i="30"/>
  <c r="FM2" i="30"/>
  <c r="FN2" i="30"/>
  <c r="FO2" i="30"/>
  <c r="FP2" i="30"/>
  <c r="FQ2" i="30"/>
  <c r="FR2" i="30"/>
  <c r="FS2" i="30"/>
  <c r="FT2" i="30"/>
  <c r="FU2" i="30"/>
  <c r="FV2" i="30"/>
  <c r="FW2" i="30"/>
  <c r="FX2" i="30"/>
  <c r="FY2" i="30"/>
  <c r="FZ2" i="30"/>
  <c r="GA2" i="30"/>
  <c r="GB2" i="30"/>
  <c r="GC2" i="30"/>
  <c r="GD2" i="30"/>
  <c r="GE2" i="30"/>
  <c r="GF2" i="30"/>
  <c r="GG2" i="30"/>
  <c r="GH2" i="30"/>
  <c r="GI2" i="30"/>
  <c r="GJ2" i="30"/>
  <c r="GK2" i="30"/>
  <c r="GL2" i="30"/>
  <c r="GM2" i="30"/>
  <c r="GN2" i="30"/>
  <c r="GO2" i="30"/>
  <c r="GP2" i="30"/>
  <c r="GQ2" i="30"/>
  <c r="GR2" i="30"/>
  <c r="GS2" i="30"/>
  <c r="GT2" i="30"/>
  <c r="GU2" i="30"/>
  <c r="GV2" i="30"/>
  <c r="GW2" i="30"/>
  <c r="GX2" i="30"/>
  <c r="GY2" i="30"/>
  <c r="GZ2" i="30"/>
  <c r="HA2" i="30"/>
  <c r="HB2" i="30"/>
  <c r="HC2" i="30"/>
  <c r="HD2" i="30"/>
  <c r="HE2" i="30"/>
  <c r="HF2" i="30"/>
  <c r="HG2" i="30"/>
  <c r="HH2" i="30"/>
  <c r="HI2" i="30"/>
  <c r="HJ2" i="30"/>
  <c r="HK2" i="30"/>
  <c r="HL2" i="30"/>
  <c r="HM2" i="30"/>
  <c r="HN2" i="30"/>
  <c r="HO2" i="30"/>
  <c r="HP2" i="30"/>
  <c r="HQ2" i="30"/>
  <c r="HR2" i="30"/>
  <c r="HS2" i="30"/>
  <c r="HT2" i="30"/>
  <c r="HU2" i="30"/>
  <c r="HV2" i="30"/>
  <c r="HW2" i="30"/>
  <c r="HX2" i="30"/>
  <c r="HY2" i="30"/>
  <c r="HZ2" i="30"/>
  <c r="IA2" i="30"/>
  <c r="IB2" i="30"/>
  <c r="IC2" i="30"/>
  <c r="ID2" i="30"/>
  <c r="IE2" i="30"/>
  <c r="IF2" i="30"/>
  <c r="IG2" i="30"/>
  <c r="IH2" i="30"/>
  <c r="II2" i="30"/>
  <c r="IJ2" i="30"/>
  <c r="IK2" i="30"/>
  <c r="IL2" i="30"/>
  <c r="IM2" i="30"/>
  <c r="IN2" i="30"/>
  <c r="IO2" i="30"/>
  <c r="IP2" i="30"/>
  <c r="IQ2" i="30"/>
  <c r="IR2" i="30"/>
  <c r="IS2" i="30"/>
  <c r="IT2" i="30"/>
  <c r="IU2" i="30"/>
  <c r="IV2" i="30"/>
  <c r="O276" i="30"/>
  <c r="S276" i="30"/>
  <c r="H154" i="30"/>
  <c r="FT52" i="30" s="1"/>
  <c r="H140" i="30"/>
  <c r="BX38" i="30" s="1"/>
  <c r="H155" i="30"/>
  <c r="EO53" i="30" s="1"/>
  <c r="EO87" i="30" s="1"/>
  <c r="H147" i="30"/>
  <c r="FJ45" i="30" s="1"/>
  <c r="Q152" i="30"/>
  <c r="H153" i="30"/>
  <c r="CZ51" i="30" s="1"/>
  <c r="CZ85" i="30" s="1"/>
  <c r="Q144" i="30"/>
  <c r="Q145" i="30"/>
  <c r="Q153" i="30"/>
  <c r="Q139" i="30"/>
  <c r="H145" i="30"/>
  <c r="FN43" i="30" s="1"/>
  <c r="FN77" i="30" s="1"/>
  <c r="Q146" i="30"/>
  <c r="Q154" i="30"/>
  <c r="H146" i="30"/>
  <c r="FQ44" i="30" s="1"/>
  <c r="H149" i="30"/>
  <c r="GI47" i="30" s="1"/>
  <c r="Q148" i="30"/>
  <c r="Q140" i="30"/>
  <c r="H141" i="30"/>
  <c r="FJ39" i="30" s="1"/>
  <c r="H142" i="30"/>
  <c r="CL40" i="30" s="1"/>
  <c r="Q141" i="30"/>
  <c r="Q150" i="30"/>
  <c r="H151" i="30"/>
  <c r="GW49" i="30" s="1"/>
  <c r="H152" i="30"/>
  <c r="CC50" i="30" s="1"/>
  <c r="CC84" i="30" s="1"/>
  <c r="Q151" i="30"/>
  <c r="H150" i="30"/>
  <c r="BF48" i="30" s="1"/>
  <c r="Q149" i="30"/>
  <c r="Q143" i="30"/>
  <c r="H144" i="30"/>
  <c r="BF42" i="30" s="1"/>
  <c r="BF76" i="30" s="1"/>
  <c r="Q147" i="30"/>
  <c r="H148" i="30"/>
  <c r="FR46" i="30" s="1"/>
  <c r="H143" i="30"/>
  <c r="FW41" i="30" s="1"/>
  <c r="Q142" i="30"/>
  <c r="H139" i="30"/>
  <c r="HZ37" i="30" s="1"/>
  <c r="K139" i="30"/>
  <c r="Q138" i="30"/>
  <c r="B287" i="30" l="1"/>
  <c r="Q287" i="30" s="1"/>
  <c r="B283" i="30"/>
  <c r="Q283" i="30" s="1"/>
  <c r="B291" i="30"/>
  <c r="Q291" i="30" s="1"/>
  <c r="B294" i="30"/>
  <c r="Q294" i="30" s="1"/>
  <c r="B286" i="30"/>
  <c r="Q286" i="30" s="1"/>
  <c r="B290" i="30"/>
  <c r="Q290" i="30" s="1"/>
  <c r="B282" i="30"/>
  <c r="Q282" i="30" s="1"/>
  <c r="B285" i="30"/>
  <c r="Q285" i="30" s="1"/>
  <c r="B279" i="30"/>
  <c r="Q279" i="30" s="1"/>
  <c r="B289" i="30"/>
  <c r="Q289" i="30" s="1"/>
  <c r="B292" i="30"/>
  <c r="Q292" i="30" s="1"/>
  <c r="B288" i="30"/>
  <c r="Q288" i="30" s="1"/>
  <c r="B278" i="30"/>
  <c r="B258" i="30"/>
  <c r="B272" i="30"/>
  <c r="B36" i="30"/>
  <c r="C19" i="30" s="1"/>
  <c r="C104" i="30" s="1"/>
  <c r="B34" i="30"/>
  <c r="C17" i="30" s="1"/>
  <c r="C34" i="30" s="1"/>
  <c r="D17" i="30" s="1"/>
  <c r="B24" i="30"/>
  <c r="C7" i="30" s="1"/>
  <c r="C92" i="30" s="1"/>
  <c r="B25" i="30"/>
  <c r="C8" i="30" s="1"/>
  <c r="B26" i="30"/>
  <c r="C9" i="30" s="1"/>
  <c r="C94" i="30" s="1"/>
  <c r="B29" i="30"/>
  <c r="C12" i="30" s="1"/>
  <c r="C97" i="30" s="1"/>
  <c r="B23" i="30"/>
  <c r="C6" i="30" s="1"/>
  <c r="C91" i="30" s="1"/>
  <c r="B21" i="30"/>
  <c r="C4" i="30" s="1"/>
  <c r="C89" i="30" s="1"/>
  <c r="B35" i="30"/>
  <c r="C18" i="30" s="1"/>
  <c r="C103" i="30" s="1"/>
  <c r="B27" i="30"/>
  <c r="C10" i="30" s="1"/>
  <c r="C95" i="30" s="1"/>
  <c r="B33" i="30"/>
  <c r="C16" i="30" s="1"/>
  <c r="B22" i="30"/>
  <c r="C5" i="30" s="1"/>
  <c r="C90" i="30" s="1"/>
  <c r="B28" i="30"/>
  <c r="C11" i="30" s="1"/>
  <c r="C96" i="30" s="1"/>
  <c r="B20" i="30"/>
  <c r="C3" i="30" s="1"/>
  <c r="C88" i="30" s="1"/>
  <c r="B32" i="30"/>
  <c r="C15" i="30" s="1"/>
  <c r="B31" i="30"/>
  <c r="C14" i="30" s="1"/>
  <c r="C99" i="30" s="1"/>
  <c r="B30" i="30"/>
  <c r="C13" i="30" s="1"/>
  <c r="C98" i="30" s="1"/>
  <c r="GA53" i="30"/>
  <c r="GA87" i="30" s="1"/>
  <c r="IK51" i="30"/>
  <c r="IK85" i="30" s="1"/>
  <c r="GJ46" i="30"/>
  <c r="BC46" i="30"/>
  <c r="IR46" i="30"/>
  <c r="DF46" i="30"/>
  <c r="BX46" i="30"/>
  <c r="DM46" i="30"/>
  <c r="HJ46" i="30"/>
  <c r="HQ46" i="30"/>
  <c r="EI46" i="30"/>
  <c r="DD46" i="30"/>
  <c r="CE46" i="30"/>
  <c r="HC53" i="30"/>
  <c r="HC87" i="30" s="1"/>
  <c r="H172" i="30"/>
  <c r="HL46" i="30"/>
  <c r="FC46" i="30"/>
  <c r="EU46" i="30"/>
  <c r="CL46" i="30"/>
  <c r="ID46" i="30"/>
  <c r="CH46" i="30"/>
  <c r="FZ46" i="30"/>
  <c r="EL46" i="30"/>
  <c r="IR40" i="30"/>
  <c r="IE46" i="30"/>
  <c r="HX46" i="30"/>
  <c r="HF46" i="30"/>
  <c r="GF46" i="30"/>
  <c r="FN46" i="30"/>
  <c r="BB46" i="30"/>
  <c r="GY46" i="30"/>
  <c r="BS46" i="30"/>
  <c r="CC46" i="30"/>
  <c r="HB46" i="30"/>
  <c r="GE46" i="30"/>
  <c r="GN46" i="30"/>
  <c r="BX45" i="30"/>
  <c r="EK46" i="30"/>
  <c r="CB46" i="30"/>
  <c r="HK46" i="30"/>
  <c r="BF46" i="30"/>
  <c r="CX46" i="30"/>
  <c r="GM46" i="30"/>
  <c r="BG46" i="30"/>
  <c r="HI46" i="30"/>
  <c r="GQ46" i="30"/>
  <c r="AY46" i="30"/>
  <c r="FD46" i="30"/>
  <c r="CP46" i="30"/>
  <c r="BK43" i="30"/>
  <c r="BK77" i="30" s="1"/>
  <c r="IP43" i="30"/>
  <c r="IP77" i="30" s="1"/>
  <c r="BD51" i="30"/>
  <c r="BD85" i="30" s="1"/>
  <c r="BU46" i="30"/>
  <c r="GX46" i="30"/>
  <c r="FE45" i="30"/>
  <c r="FX44" i="30"/>
  <c r="EH43" i="30"/>
  <c r="EH77" i="30" s="1"/>
  <c r="FW43" i="30"/>
  <c r="FW77" i="30" s="1"/>
  <c r="DD43" i="30"/>
  <c r="DD77" i="30" s="1"/>
  <c r="EF43" i="30"/>
  <c r="EF77" i="30" s="1"/>
  <c r="EZ43" i="30"/>
  <c r="EZ77" i="30" s="1"/>
  <c r="BB40" i="30"/>
  <c r="IA37" i="30"/>
  <c r="DW53" i="30"/>
  <c r="DW87" i="30" s="1"/>
  <c r="HZ53" i="30"/>
  <c r="HZ87" i="30" s="1"/>
  <c r="HN53" i="30"/>
  <c r="HN87" i="30" s="1"/>
  <c r="DW46" i="30"/>
  <c r="DQ43" i="30"/>
  <c r="DQ77" i="30" s="1"/>
  <c r="IU43" i="30"/>
  <c r="IU77" i="30" s="1"/>
  <c r="HB43" i="30"/>
  <c r="HB77" i="30" s="1"/>
  <c r="DP43" i="30"/>
  <c r="DP77" i="30" s="1"/>
  <c r="IN42" i="30"/>
  <c r="IN76" i="30" s="1"/>
  <c r="HP40" i="30"/>
  <c r="DG40" i="30"/>
  <c r="EX41" i="30"/>
  <c r="FR37" i="30"/>
  <c r="CP37" i="30"/>
  <c r="FP37" i="30"/>
  <c r="BY37" i="30"/>
  <c r="DK37" i="30"/>
  <c r="FW37" i="30"/>
  <c r="CD37" i="30"/>
  <c r="EN53" i="30"/>
  <c r="EN87" i="30" s="1"/>
  <c r="HU53" i="30"/>
  <c r="HU87" i="30" s="1"/>
  <c r="CQ53" i="30"/>
  <c r="CQ87" i="30" s="1"/>
  <c r="CO53" i="30"/>
  <c r="CO87" i="30" s="1"/>
  <c r="IB43" i="30"/>
  <c r="IB77" i="30" s="1"/>
  <c r="CG40" i="30"/>
  <c r="HA41" i="30"/>
  <c r="IT40" i="30"/>
  <c r="DM38" i="30"/>
  <c r="CO37" i="30"/>
  <c r="EC53" i="30"/>
  <c r="EC87" i="30" s="1"/>
  <c r="HR53" i="30"/>
  <c r="HR87" i="30" s="1"/>
  <c r="BE53" i="30"/>
  <c r="BE87" i="30" s="1"/>
  <c r="GD53" i="30"/>
  <c r="GD87" i="30" s="1"/>
  <c r="DG53" i="30"/>
  <c r="DG87" i="30" s="1"/>
  <c r="EB53" i="30"/>
  <c r="EB87" i="30" s="1"/>
  <c r="DA53" i="30"/>
  <c r="DA87" i="30" s="1"/>
  <c r="HJ53" i="30"/>
  <c r="HJ87" i="30" s="1"/>
  <c r="IV53" i="30"/>
  <c r="IV87" i="30" s="1"/>
  <c r="FX53" i="30"/>
  <c r="FX87" i="30" s="1"/>
  <c r="CH51" i="30"/>
  <c r="CH85" i="30" s="1"/>
  <c r="BA49" i="30"/>
  <c r="GV45" i="30"/>
  <c r="FP44" i="30"/>
  <c r="BZ41" i="30"/>
  <c r="EW38" i="30"/>
  <c r="BE37" i="30"/>
  <c r="GI37" i="30"/>
  <c r="EE42" i="30"/>
  <c r="EE76" i="30" s="1"/>
  <c r="HZ44" i="30"/>
  <c r="BG44" i="30"/>
  <c r="IB44" i="30"/>
  <c r="HN44" i="30"/>
  <c r="FG42" i="30"/>
  <c r="FG76" i="30" s="1"/>
  <c r="EE44" i="30"/>
  <c r="HD44" i="30"/>
  <c r="GY44" i="30"/>
  <c r="IO44" i="30"/>
  <c r="DH42" i="30"/>
  <c r="DH76" i="30" s="1"/>
  <c r="DV44" i="30"/>
  <c r="EH44" i="30"/>
  <c r="HY42" i="30"/>
  <c r="HY76" i="30" s="1"/>
  <c r="GH42" i="30"/>
  <c r="GH76" i="30" s="1"/>
  <c r="CV42" i="30"/>
  <c r="CV76" i="30" s="1"/>
  <c r="IE42" i="30"/>
  <c r="IE76" i="30" s="1"/>
  <c r="IM42" i="30"/>
  <c r="IM76" i="30" s="1"/>
  <c r="IA44" i="30"/>
  <c r="DC44" i="30"/>
  <c r="EM44" i="30"/>
  <c r="HM44" i="30"/>
  <c r="CD44" i="30"/>
  <c r="FO44" i="30"/>
  <c r="GU44" i="30"/>
  <c r="DJ44" i="30"/>
  <c r="HU44" i="30"/>
  <c r="EC44" i="30"/>
  <c r="GP44" i="30"/>
  <c r="CZ44" i="30"/>
  <c r="EK44" i="30"/>
  <c r="HS42" i="30"/>
  <c r="HS76" i="30" s="1"/>
  <c r="FB42" i="30"/>
  <c r="FB76" i="30" s="1"/>
  <c r="DR42" i="30"/>
  <c r="DR76" i="30" s="1"/>
  <c r="DQ42" i="30"/>
  <c r="DQ76" i="30" s="1"/>
  <c r="BY42" i="30"/>
  <c r="BY76" i="30" s="1"/>
  <c r="DE44" i="30"/>
  <c r="DX44" i="30"/>
  <c r="BP44" i="30"/>
  <c r="IJ44" i="30"/>
  <c r="GO44" i="30"/>
  <c r="CQ44" i="30"/>
  <c r="FN44" i="30"/>
  <c r="DM44" i="30"/>
  <c r="FY44" i="30"/>
  <c r="CT44" i="30"/>
  <c r="DK44" i="30"/>
  <c r="BQ44" i="30"/>
  <c r="BT44" i="30"/>
  <c r="FP42" i="30"/>
  <c r="FP76" i="30" s="1"/>
  <c r="HB42" i="30"/>
  <c r="HB76" i="30" s="1"/>
  <c r="EK42" i="30"/>
  <c r="EK76" i="30" s="1"/>
  <c r="FC42" i="30"/>
  <c r="FC76" i="30" s="1"/>
  <c r="HD42" i="30"/>
  <c r="HD76" i="30" s="1"/>
  <c r="DY44" i="30"/>
  <c r="IP44" i="30"/>
  <c r="BU44" i="30"/>
  <c r="CY44" i="30"/>
  <c r="CS44" i="30"/>
  <c r="BM44" i="30"/>
  <c r="DS44" i="30"/>
  <c r="HH44" i="30"/>
  <c r="GF44" i="30"/>
  <c r="GX44" i="30"/>
  <c r="EX44" i="30"/>
  <c r="CG53" i="30"/>
  <c r="CG87" i="30" s="1"/>
  <c r="DT53" i="30"/>
  <c r="DT87" i="30" s="1"/>
  <c r="DS53" i="30"/>
  <c r="DS87" i="30" s="1"/>
  <c r="IP53" i="30"/>
  <c r="IP87" i="30" s="1"/>
  <c r="HG51" i="30"/>
  <c r="HG85" i="30" s="1"/>
  <c r="GL51" i="30"/>
  <c r="GL85" i="30" s="1"/>
  <c r="BE51" i="30"/>
  <c r="BE85" i="30" s="1"/>
  <c r="DR50" i="30"/>
  <c r="DR84" i="30" s="1"/>
  <c r="BM50" i="30"/>
  <c r="BM84" i="30" s="1"/>
  <c r="DY50" i="30"/>
  <c r="DY84" i="30" s="1"/>
  <c r="BO50" i="30"/>
  <c r="BO84" i="30" s="1"/>
  <c r="DB50" i="30"/>
  <c r="DB84" i="30" s="1"/>
  <c r="DC50" i="30"/>
  <c r="DC84" i="30" s="1"/>
  <c r="BR50" i="30"/>
  <c r="BR84" i="30" s="1"/>
  <c r="CI50" i="30"/>
  <c r="CI84" i="30" s="1"/>
  <c r="DF50" i="30"/>
  <c r="DF84" i="30" s="1"/>
  <c r="FI48" i="30"/>
  <c r="EK48" i="30"/>
  <c r="HM48" i="30"/>
  <c r="EM48" i="30"/>
  <c r="GA48" i="30"/>
  <c r="CF48" i="30"/>
  <c r="FF48" i="30"/>
  <c r="BY48" i="30"/>
  <c r="EC48" i="30"/>
  <c r="CQ48" i="30"/>
  <c r="FJ48" i="30"/>
  <c r="BP48" i="30"/>
  <c r="FN48" i="30"/>
  <c r="EO48" i="30"/>
  <c r="BT48" i="30"/>
  <c r="EF48" i="30"/>
  <c r="DC48" i="30"/>
  <c r="HS48" i="30"/>
  <c r="EW48" i="30"/>
  <c r="FU47" i="30"/>
  <c r="GO48" i="30"/>
  <c r="IL48" i="30"/>
  <c r="IE48" i="30"/>
  <c r="BC48" i="30"/>
  <c r="GC48" i="30"/>
  <c r="IT48" i="30"/>
  <c r="IM48" i="30"/>
  <c r="BV47" i="30"/>
  <c r="DY47" i="30"/>
  <c r="CU44" i="30"/>
  <c r="ID40" i="30"/>
  <c r="EL40" i="30"/>
  <c r="BE40" i="30"/>
  <c r="DV40" i="30"/>
  <c r="DN40" i="30"/>
  <c r="HU40" i="30"/>
  <c r="FZ40" i="30"/>
  <c r="FJ40" i="30"/>
  <c r="HX40" i="30"/>
  <c r="EC40" i="30"/>
  <c r="DU40" i="30"/>
  <c r="IJ40" i="30"/>
  <c r="II40" i="30"/>
  <c r="DR40" i="30"/>
  <c r="GH40" i="30"/>
  <c r="FK40" i="30"/>
  <c r="HJ40" i="30"/>
  <c r="FU38" i="30"/>
  <c r="CN41" i="30"/>
  <c r="FC41" i="30"/>
  <c r="CY41" i="30"/>
  <c r="GY41" i="30"/>
  <c r="BD41" i="30"/>
  <c r="HZ41" i="30"/>
  <c r="BP41" i="30"/>
  <c r="DL41" i="30"/>
  <c r="GV41" i="30"/>
  <c r="BY41" i="30"/>
  <c r="GH41" i="30"/>
  <c r="IN41" i="30"/>
  <c r="FG41" i="30"/>
  <c r="EA41" i="30"/>
  <c r="DD41" i="30"/>
  <c r="H160" i="30"/>
  <c r="HR41" i="30"/>
  <c r="GR41" i="30"/>
  <c r="IP41" i="30"/>
  <c r="DJ41" i="30"/>
  <c r="GA41" i="30"/>
  <c r="GL41" i="30"/>
  <c r="EW41" i="30"/>
  <c r="HI41" i="30"/>
  <c r="EN41" i="30"/>
  <c r="GM41" i="30"/>
  <c r="CU41" i="30"/>
  <c r="FA41" i="30"/>
  <c r="GI41" i="30"/>
  <c r="BG41" i="30"/>
  <c r="BX41" i="30"/>
  <c r="ED41" i="30"/>
  <c r="DQ41" i="30"/>
  <c r="DZ41" i="30"/>
  <c r="IE41" i="30"/>
  <c r="FY41" i="30"/>
  <c r="FT41" i="30"/>
  <c r="HU41" i="30"/>
  <c r="IJ41" i="30"/>
  <c r="HG41" i="30"/>
  <c r="GC41" i="30"/>
  <c r="DU41" i="30"/>
  <c r="FF41" i="30"/>
  <c r="BQ41" i="30"/>
  <c r="CK41" i="30"/>
  <c r="CZ41" i="30"/>
  <c r="GD41" i="30"/>
  <c r="HN41" i="30"/>
  <c r="HH41" i="30"/>
  <c r="CP41" i="30"/>
  <c r="EL41" i="30"/>
  <c r="DT41" i="30"/>
  <c r="FI41" i="30"/>
  <c r="BN41" i="30"/>
  <c r="BB41" i="30"/>
  <c r="GK41" i="30"/>
  <c r="CJ41" i="30"/>
  <c r="HT41" i="30"/>
  <c r="HK41" i="30"/>
  <c r="DX41" i="30"/>
  <c r="HB41" i="30"/>
  <c r="BR41" i="30"/>
  <c r="DV41" i="30"/>
  <c r="EK41" i="30"/>
  <c r="HE41" i="30"/>
  <c r="CH41" i="30"/>
  <c r="GZ41" i="30"/>
  <c r="IK41" i="30"/>
  <c r="IT41" i="30"/>
  <c r="DY41" i="30"/>
  <c r="CW41" i="30"/>
  <c r="FP41" i="30"/>
  <c r="IO41" i="30"/>
  <c r="DA41" i="30"/>
  <c r="HM41" i="30"/>
  <c r="HF41" i="30"/>
  <c r="EG41" i="30"/>
  <c r="DE41" i="30"/>
  <c r="ET41" i="30"/>
  <c r="EO41" i="30"/>
  <c r="FL41" i="30"/>
  <c r="BJ41" i="30"/>
  <c r="BI41" i="30"/>
  <c r="EI41" i="30"/>
  <c r="EM41" i="30"/>
  <c r="EY41" i="30"/>
  <c r="IQ41" i="30"/>
  <c r="DH41" i="30"/>
  <c r="GB41" i="30"/>
  <c r="IU41" i="30"/>
  <c r="HV41" i="30"/>
  <c r="HQ41" i="30"/>
  <c r="BL41" i="30"/>
  <c r="CG41" i="30"/>
  <c r="DM41" i="30"/>
  <c r="BH41" i="30"/>
  <c r="ID41" i="30"/>
  <c r="HC41" i="30"/>
  <c r="EP41" i="30"/>
  <c r="GN41" i="30"/>
  <c r="EU41" i="30"/>
  <c r="FZ41" i="30"/>
  <c r="GP41" i="30"/>
  <c r="CE41" i="30"/>
  <c r="FV41" i="30"/>
  <c r="IV41" i="30"/>
  <c r="IM41" i="30"/>
  <c r="FU41" i="30"/>
  <c r="DR41" i="30"/>
  <c r="IH41" i="30"/>
  <c r="EV41" i="30"/>
  <c r="FO41" i="30"/>
  <c r="CM41" i="30"/>
  <c r="EE41" i="30"/>
  <c r="BF41" i="30"/>
  <c r="BS41" i="30"/>
  <c r="DO41" i="30"/>
  <c r="DG41" i="30"/>
  <c r="IR41" i="30"/>
  <c r="FQ41" i="30"/>
  <c r="ER41" i="30"/>
  <c r="BT41" i="30"/>
  <c r="CI41" i="30"/>
  <c r="EZ41" i="30"/>
  <c r="FJ41" i="30"/>
  <c r="BC41" i="30"/>
  <c r="GE41" i="30"/>
  <c r="IG41" i="30"/>
  <c r="HX41" i="30"/>
  <c r="CA41" i="30"/>
  <c r="IC41" i="30"/>
  <c r="FX41" i="30"/>
  <c r="EQ41" i="30"/>
  <c r="HP41" i="30"/>
  <c r="IL41" i="30"/>
  <c r="FR41" i="30"/>
  <c r="FE41" i="30"/>
  <c r="HL41" i="30"/>
  <c r="HJ41" i="30"/>
  <c r="CD41" i="30"/>
  <c r="GS41" i="30"/>
  <c r="BS40" i="30"/>
  <c r="EV40" i="30"/>
  <c r="BC40" i="30"/>
  <c r="FD40" i="30"/>
  <c r="BV40" i="30"/>
  <c r="IG40" i="30"/>
  <c r="HV40" i="30"/>
  <c r="HT40" i="30"/>
  <c r="FS40" i="30"/>
  <c r="EK40" i="30"/>
  <c r="CW40" i="30"/>
  <c r="H159" i="30"/>
  <c r="GW40" i="30"/>
  <c r="IF40" i="30"/>
  <c r="EO40" i="30"/>
  <c r="IU40" i="30"/>
  <c r="GC40" i="30"/>
  <c r="EA40" i="30"/>
  <c r="GZ40" i="30"/>
  <c r="HO40" i="30"/>
  <c r="GV40" i="30"/>
  <c r="EE40" i="30"/>
  <c r="GT40" i="30"/>
  <c r="IK40" i="30"/>
  <c r="BA40" i="30"/>
  <c r="IN40" i="30"/>
  <c r="CM40" i="30"/>
  <c r="CO40" i="30"/>
  <c r="BD40" i="30"/>
  <c r="EP40" i="30"/>
  <c r="DO40" i="30"/>
  <c r="GL40" i="30"/>
  <c r="HK40" i="30"/>
  <c r="GY40" i="30"/>
  <c r="HY40" i="30"/>
  <c r="CB40" i="30"/>
  <c r="AZ40" i="30"/>
  <c r="IE40" i="30"/>
  <c r="FP40" i="30"/>
  <c r="BN40" i="30"/>
  <c r="BP40" i="30"/>
  <c r="FR40" i="30"/>
  <c r="ED40" i="30"/>
  <c r="AY40" i="30"/>
  <c r="CY40" i="30"/>
  <c r="HA40" i="30"/>
  <c r="GJ40" i="30"/>
  <c r="GG40" i="30"/>
  <c r="CN40" i="30"/>
  <c r="IM40" i="30"/>
  <c r="CU40" i="30"/>
  <c r="FB40" i="30"/>
  <c r="DB40" i="30"/>
  <c r="FV40" i="30"/>
  <c r="HC40" i="30"/>
  <c r="EI40" i="30"/>
  <c r="CR40" i="30"/>
  <c r="FT40" i="30"/>
  <c r="FQ40" i="30"/>
  <c r="DC40" i="30"/>
  <c r="EQ40" i="30"/>
  <c r="CH40" i="30"/>
  <c r="BH40" i="30"/>
  <c r="DL40" i="30"/>
  <c r="DE40" i="30"/>
  <c r="BK40" i="30"/>
  <c r="GX40" i="30"/>
  <c r="EH40" i="30"/>
  <c r="DY40" i="30"/>
  <c r="FG40" i="30"/>
  <c r="HF40" i="30"/>
  <c r="BQ40" i="30"/>
  <c r="GN40" i="30"/>
  <c r="GP40" i="30"/>
  <c r="DF40" i="30"/>
  <c r="DZ40" i="30"/>
  <c r="HR40" i="30"/>
  <c r="CV40" i="30"/>
  <c r="IA40" i="30"/>
  <c r="FU40" i="30"/>
  <c r="HS40" i="30"/>
  <c r="DQ40" i="30"/>
  <c r="EJ40" i="30"/>
  <c r="BJ40" i="30"/>
  <c r="CI40" i="30"/>
  <c r="GU40" i="30"/>
  <c r="HZ40" i="30"/>
  <c r="FI40" i="30"/>
  <c r="BG40" i="30"/>
  <c r="IV40" i="30"/>
  <c r="FC40" i="30"/>
  <c r="DT40" i="30"/>
  <c r="HB40" i="30"/>
  <c r="BM40" i="30"/>
  <c r="GM40" i="30"/>
  <c r="DX40" i="30"/>
  <c r="ER40" i="30"/>
  <c r="AX40" i="30"/>
  <c r="EN40" i="30"/>
  <c r="DS40" i="30"/>
  <c r="CZ40" i="30"/>
  <c r="HL40" i="30"/>
  <c r="DI40" i="30"/>
  <c r="HM40" i="30"/>
  <c r="EG40" i="30"/>
  <c r="GE40" i="30"/>
  <c r="IL40" i="30"/>
  <c r="DD40" i="30"/>
  <c r="EU40" i="30"/>
  <c r="CD40" i="30"/>
  <c r="BL40" i="30"/>
  <c r="GR40" i="30"/>
  <c r="DP40" i="30"/>
  <c r="HN40" i="30"/>
  <c r="DW40" i="30"/>
  <c r="FH40" i="30"/>
  <c r="FX40" i="30"/>
  <c r="EF40" i="30"/>
  <c r="DK40" i="30"/>
  <c r="FW40" i="30"/>
  <c r="CX40" i="30"/>
  <c r="EW40" i="30"/>
  <c r="CP40" i="30"/>
  <c r="FL40" i="30"/>
  <c r="CE40" i="30"/>
  <c r="EB40" i="30"/>
  <c r="HI40" i="30"/>
  <c r="IQ40" i="30"/>
  <c r="GS40" i="30"/>
  <c r="CJ40" i="30"/>
  <c r="GA40" i="30"/>
  <c r="GB40" i="30"/>
  <c r="HD40" i="30"/>
  <c r="GK40" i="30"/>
  <c r="BZ40" i="30"/>
  <c r="IB40" i="30"/>
  <c r="BB49" i="30"/>
  <c r="GJ41" i="30"/>
  <c r="CF41" i="30"/>
  <c r="GF41" i="30"/>
  <c r="AY41" i="30"/>
  <c r="DT47" i="30"/>
  <c r="DK47" i="30"/>
  <c r="GF47" i="30"/>
  <c r="HU47" i="30"/>
  <c r="FE40" i="30"/>
  <c r="GI40" i="30"/>
  <c r="IO40" i="30"/>
  <c r="CK40" i="30"/>
  <c r="DH40" i="30"/>
  <c r="HG40" i="30"/>
  <c r="EZ40" i="30"/>
  <c r="DM40" i="30"/>
  <c r="ET40" i="30"/>
  <c r="HH40" i="30"/>
  <c r="BW40" i="30"/>
  <c r="BT40" i="30"/>
  <c r="CS40" i="30"/>
  <c r="CT40" i="30"/>
  <c r="GO40" i="30"/>
  <c r="EY40" i="30"/>
  <c r="FF40" i="30"/>
  <c r="IH40" i="30"/>
  <c r="CC40" i="30"/>
  <c r="FA40" i="30"/>
  <c r="CQ40" i="30"/>
  <c r="HW40" i="30"/>
  <c r="DA40" i="30"/>
  <c r="HY41" i="30"/>
  <c r="FH41" i="30"/>
  <c r="FB41" i="30"/>
  <c r="FV47" i="30"/>
  <c r="EM47" i="30"/>
  <c r="FV49" i="30"/>
  <c r="IL49" i="30"/>
  <c r="GU49" i="30"/>
  <c r="IT49" i="30"/>
  <c r="DN49" i="30"/>
  <c r="HU49" i="30"/>
  <c r="HT49" i="30"/>
  <c r="EW49" i="30"/>
  <c r="HD49" i="30"/>
  <c r="HH49" i="30"/>
  <c r="CB49" i="30"/>
  <c r="EN49" i="30"/>
  <c r="IQ49" i="30"/>
  <c r="HE49" i="30"/>
  <c r="FQ49" i="30"/>
  <c r="DC49" i="30"/>
  <c r="BM47" i="30"/>
  <c r="GP47" i="30"/>
  <c r="EJ47" i="30"/>
  <c r="CC47" i="30"/>
  <c r="HT47" i="30"/>
  <c r="GD47" i="30"/>
  <c r="HA47" i="30"/>
  <c r="HX47" i="30"/>
  <c r="FH47" i="30"/>
  <c r="FF47" i="30"/>
  <c r="GA47" i="30"/>
  <c r="HW47" i="30"/>
  <c r="BI47" i="30"/>
  <c r="HL47" i="30"/>
  <c r="BX47" i="30"/>
  <c r="HD47" i="30"/>
  <c r="FP47" i="30"/>
  <c r="DI47" i="30"/>
  <c r="CW47" i="30"/>
  <c r="EZ47" i="30"/>
  <c r="HB47" i="30"/>
  <c r="DN47" i="30"/>
  <c r="DH47" i="30"/>
  <c r="BL47" i="30"/>
  <c r="HM47" i="30"/>
  <c r="GW47" i="30"/>
  <c r="ET47" i="30"/>
  <c r="HF47" i="30"/>
  <c r="IL47" i="30"/>
  <c r="FY47" i="30"/>
  <c r="BE47" i="30"/>
  <c r="DU47" i="30"/>
  <c r="IG47" i="30"/>
  <c r="FB47" i="30"/>
  <c r="BG47" i="30"/>
  <c r="BY47" i="30"/>
  <c r="DC47" i="30"/>
  <c r="DQ47" i="30"/>
  <c r="EB47" i="30"/>
  <c r="DL47" i="30"/>
  <c r="HH47" i="30"/>
  <c r="FL47" i="30"/>
  <c r="BS47" i="30"/>
  <c r="HQ47" i="30"/>
  <c r="GS47" i="30"/>
  <c r="DF47" i="30"/>
  <c r="CA47" i="30"/>
  <c r="EE47" i="30"/>
  <c r="DW47" i="30"/>
  <c r="EX47" i="30"/>
  <c r="EK47" i="30"/>
  <c r="BD47" i="30"/>
  <c r="CE47" i="30"/>
  <c r="HP47" i="30"/>
  <c r="DX47" i="30"/>
  <c r="GJ47" i="30"/>
  <c r="CS47" i="30"/>
  <c r="FM47" i="30"/>
  <c r="BZ47" i="30"/>
  <c r="FX47" i="30"/>
  <c r="EH47" i="30"/>
  <c r="CB47" i="30"/>
  <c r="CP47" i="30"/>
  <c r="GR47" i="30"/>
  <c r="EG47" i="30"/>
  <c r="IT47" i="30"/>
  <c r="GV47" i="30"/>
  <c r="EL47" i="30"/>
  <c r="FA47" i="30"/>
  <c r="DP47" i="30"/>
  <c r="DZ47" i="30"/>
  <c r="FZ47" i="30"/>
  <c r="EI47" i="30"/>
  <c r="DR47" i="30"/>
  <c r="BB47" i="30"/>
  <c r="IN47" i="30"/>
  <c r="FJ47" i="30"/>
  <c r="CZ47" i="30"/>
  <c r="IO47" i="30"/>
  <c r="BK47" i="30"/>
  <c r="CH47" i="30"/>
  <c r="CK47" i="30"/>
  <c r="DB47" i="30"/>
  <c r="GZ47" i="30"/>
  <c r="GH47" i="30"/>
  <c r="ID47" i="30"/>
  <c r="HC47" i="30"/>
  <c r="HK47" i="30"/>
  <c r="CN47" i="30"/>
  <c r="H166" i="30"/>
  <c r="IF47" i="30"/>
  <c r="GM47" i="30"/>
  <c r="II47" i="30"/>
  <c r="GC47" i="30"/>
  <c r="GT47" i="30"/>
  <c r="EO47" i="30"/>
  <c r="FI47" i="30"/>
  <c r="CO47" i="30"/>
  <c r="BQ47" i="30"/>
  <c r="FW47" i="30"/>
  <c r="CV47" i="30"/>
  <c r="IV47" i="30"/>
  <c r="HO47" i="30"/>
  <c r="CI47" i="30"/>
  <c r="ED47" i="30"/>
  <c r="ER47" i="30"/>
  <c r="CJ47" i="30"/>
  <c r="FQ47" i="30"/>
  <c r="FK47" i="30"/>
  <c r="EY47" i="30"/>
  <c r="HS47" i="30"/>
  <c r="IK47" i="30"/>
  <c r="HG47" i="30"/>
  <c r="IQ47" i="30"/>
  <c r="EU47" i="30"/>
  <c r="BC47" i="30"/>
  <c r="IC47" i="30"/>
  <c r="CQ47" i="30"/>
  <c r="DJ47" i="30"/>
  <c r="BR47" i="30"/>
  <c r="BF47" i="30"/>
  <c r="EA47" i="30"/>
  <c r="IH47" i="30"/>
  <c r="BT47" i="30"/>
  <c r="FD47" i="30"/>
  <c r="EC47" i="30"/>
  <c r="DD47" i="30"/>
  <c r="EQ47" i="30"/>
  <c r="GN47" i="30"/>
  <c r="CL47" i="30"/>
  <c r="EF47" i="30"/>
  <c r="GL47" i="30"/>
  <c r="IM47" i="30"/>
  <c r="FT47" i="30"/>
  <c r="DM47" i="30"/>
  <c r="IJ47" i="30"/>
  <c r="CR47" i="30"/>
  <c r="HY47" i="30"/>
  <c r="GX47" i="30"/>
  <c r="DV47" i="30"/>
  <c r="GU47" i="30"/>
  <c r="GK47" i="30"/>
  <c r="IS47" i="30"/>
  <c r="HN47" i="30"/>
  <c r="BJ47" i="30"/>
  <c r="CY47" i="30"/>
  <c r="BW47" i="30"/>
  <c r="IP47" i="30"/>
  <c r="IU47" i="30"/>
  <c r="AZ47" i="30"/>
  <c r="CX47" i="30"/>
  <c r="HI47" i="30"/>
  <c r="FR47" i="30"/>
  <c r="HE47" i="30"/>
  <c r="HR47" i="30"/>
  <c r="IE47" i="30"/>
  <c r="GE47" i="30"/>
  <c r="EW47" i="30"/>
  <c r="FG47" i="30"/>
  <c r="BO47" i="30"/>
  <c r="BN47" i="30"/>
  <c r="BP47" i="30"/>
  <c r="DO47" i="30"/>
  <c r="BU47" i="30"/>
  <c r="DS47" i="30"/>
  <c r="FN47" i="30"/>
  <c r="CM47" i="30"/>
  <c r="EN47" i="30"/>
  <c r="DE47" i="30"/>
  <c r="HZ47" i="30"/>
  <c r="GG47" i="30"/>
  <c r="FS47" i="30"/>
  <c r="DA47" i="30"/>
  <c r="CG47" i="30"/>
  <c r="FE47" i="30"/>
  <c r="AX47" i="30"/>
  <c r="HV47" i="30"/>
  <c r="FC47" i="30"/>
  <c r="BH47" i="30"/>
  <c r="ES47" i="30"/>
  <c r="IA47" i="30"/>
  <c r="CU47" i="30"/>
  <c r="CF47" i="30"/>
  <c r="IB47" i="30"/>
  <c r="GO47" i="30"/>
  <c r="AY47" i="30"/>
  <c r="FO47" i="30"/>
  <c r="EP47" i="30"/>
  <c r="CD47" i="30"/>
  <c r="BA47" i="30"/>
  <c r="GQ47" i="30"/>
  <c r="HJ47" i="30"/>
  <c r="DG47" i="30"/>
  <c r="GY47" i="30"/>
  <c r="EV47" i="30"/>
  <c r="BF40" i="30"/>
  <c r="ES40" i="30"/>
  <c r="CA40" i="30"/>
  <c r="FN40" i="30"/>
  <c r="EX40" i="30"/>
  <c r="BR40" i="30"/>
  <c r="BU40" i="30"/>
  <c r="FO40" i="30"/>
  <c r="EM40" i="30"/>
  <c r="FY40" i="30"/>
  <c r="GQ40" i="30"/>
  <c r="IS40" i="30"/>
  <c r="BX40" i="30"/>
  <c r="GF40" i="30"/>
  <c r="IP40" i="30"/>
  <c r="FM40" i="30"/>
  <c r="DJ40" i="30"/>
  <c r="GD40" i="30"/>
  <c r="BI40" i="30"/>
  <c r="BY40" i="30"/>
  <c r="HQ40" i="30"/>
  <c r="CF40" i="30"/>
  <c r="IC40" i="30"/>
  <c r="BO40" i="30"/>
  <c r="HE40" i="30"/>
  <c r="DW49" i="30"/>
  <c r="DJ49" i="30"/>
  <c r="CB41" i="30"/>
  <c r="CV41" i="30"/>
  <c r="ES41" i="30"/>
  <c r="DP41" i="30"/>
  <c r="IR47" i="30"/>
  <c r="CT47" i="30"/>
  <c r="GB47" i="30"/>
  <c r="ID50" i="30"/>
  <c r="ID84" i="30" s="1"/>
  <c r="EI50" i="30"/>
  <c r="EI84" i="30" s="1"/>
  <c r="CF50" i="30"/>
  <c r="CF84" i="30" s="1"/>
  <c r="HB50" i="30"/>
  <c r="HB84" i="30" s="1"/>
  <c r="FD50" i="30"/>
  <c r="FD84" i="30" s="1"/>
  <c r="DT50" i="30"/>
  <c r="DT84" i="30" s="1"/>
  <c r="FY50" i="30"/>
  <c r="FY84" i="30" s="1"/>
  <c r="FM50" i="30"/>
  <c r="FM84" i="30" s="1"/>
  <c r="EG50" i="30"/>
  <c r="EG84" i="30" s="1"/>
  <c r="ES38" i="30"/>
  <c r="BS38" i="30"/>
  <c r="BK38" i="30"/>
  <c r="HS51" i="30"/>
  <c r="HS85" i="30" s="1"/>
  <c r="FY51" i="30"/>
  <c r="FY85" i="30" s="1"/>
  <c r="GN51" i="30"/>
  <c r="GN85" i="30" s="1"/>
  <c r="BK51" i="30"/>
  <c r="BK85" i="30" s="1"/>
  <c r="GX51" i="30"/>
  <c r="GX85" i="30" s="1"/>
  <c r="BM51" i="30"/>
  <c r="BM85" i="30" s="1"/>
  <c r="CX50" i="30"/>
  <c r="CX84" i="30" s="1"/>
  <c r="BD50" i="30"/>
  <c r="BD84" i="30" s="1"/>
  <c r="DQ50" i="30"/>
  <c r="DQ84" i="30" s="1"/>
  <c r="EX50" i="30"/>
  <c r="EX84" i="30" s="1"/>
  <c r="DV50" i="30"/>
  <c r="DV84" i="30" s="1"/>
  <c r="HG50" i="30"/>
  <c r="HG84" i="30" s="1"/>
  <c r="IP50" i="30"/>
  <c r="IP84" i="30" s="1"/>
  <c r="DG50" i="30"/>
  <c r="DG84" i="30" s="1"/>
  <c r="DH50" i="30"/>
  <c r="DH84" i="30" s="1"/>
  <c r="DX50" i="30"/>
  <c r="DX84" i="30" s="1"/>
  <c r="DQ38" i="30"/>
  <c r="HS38" i="30"/>
  <c r="CE38" i="30"/>
  <c r="DG38" i="30"/>
  <c r="GE51" i="30"/>
  <c r="GE85" i="30" s="1"/>
  <c r="EH51" i="30"/>
  <c r="EH85" i="30" s="1"/>
  <c r="GW51" i="30"/>
  <c r="GW85" i="30" s="1"/>
  <c r="CB51" i="30"/>
  <c r="CB85" i="30" s="1"/>
  <c r="CK51" i="30"/>
  <c r="CK85" i="30" s="1"/>
  <c r="BA51" i="30"/>
  <c r="BA85" i="30" s="1"/>
  <c r="BB51" i="30"/>
  <c r="BB85" i="30" s="1"/>
  <c r="FA50" i="30"/>
  <c r="FA84" i="30" s="1"/>
  <c r="EO50" i="30"/>
  <c r="EO84" i="30" s="1"/>
  <c r="EL50" i="30"/>
  <c r="EL84" i="30" s="1"/>
  <c r="HZ50" i="30"/>
  <c r="HZ84" i="30" s="1"/>
  <c r="CR50" i="30"/>
  <c r="CR84" i="30" s="1"/>
  <c r="GO50" i="30"/>
  <c r="GO84" i="30" s="1"/>
  <c r="GZ50" i="30"/>
  <c r="GZ84" i="30" s="1"/>
  <c r="DM50" i="30"/>
  <c r="DM84" i="30" s="1"/>
  <c r="IA50" i="30"/>
  <c r="IA84" i="30" s="1"/>
  <c r="IT38" i="30"/>
  <c r="GO38" i="30"/>
  <c r="HK38" i="30"/>
  <c r="HK51" i="30"/>
  <c r="HK85" i="30" s="1"/>
  <c r="EJ51" i="30"/>
  <c r="EJ85" i="30" s="1"/>
  <c r="AZ51" i="30"/>
  <c r="AZ85" i="30" s="1"/>
  <c r="EU51" i="30"/>
  <c r="EU85" i="30" s="1"/>
  <c r="GH51" i="30"/>
  <c r="GH85" i="30" s="1"/>
  <c r="HZ51" i="30"/>
  <c r="HZ85" i="30" s="1"/>
  <c r="HO51" i="30"/>
  <c r="HO85" i="30" s="1"/>
  <c r="BT39" i="30"/>
  <c r="BX37" i="30"/>
  <c r="BW37" i="30"/>
  <c r="DY37" i="30"/>
  <c r="EY37" i="30"/>
  <c r="CL37" i="30"/>
  <c r="BH37" i="30"/>
  <c r="GV37" i="30"/>
  <c r="GS37" i="30"/>
  <c r="EG37" i="30"/>
  <c r="FZ37" i="30"/>
  <c r="CY37" i="30"/>
  <c r="ET48" i="30"/>
  <c r="IB48" i="30"/>
  <c r="HT48" i="30"/>
  <c r="DV48" i="30"/>
  <c r="CS48" i="30"/>
  <c r="AZ48" i="30"/>
  <c r="HU48" i="30"/>
  <c r="HX48" i="30"/>
  <c r="CG48" i="30"/>
  <c r="EL48" i="30"/>
  <c r="IV48" i="30"/>
  <c r="BM48" i="30"/>
  <c r="HO48" i="30"/>
  <c r="GU48" i="30"/>
  <c r="IO48" i="30"/>
  <c r="FP48" i="30"/>
  <c r="DY48" i="30"/>
  <c r="FD48" i="30"/>
  <c r="EX48" i="30"/>
  <c r="CY48" i="30"/>
  <c r="HF48" i="30"/>
  <c r="FW48" i="30"/>
  <c r="GB48" i="30"/>
  <c r="FB48" i="30"/>
  <c r="BA48" i="30"/>
  <c r="GE48" i="30"/>
  <c r="BD38" i="30"/>
  <c r="HR38" i="30"/>
  <c r="HO38" i="30"/>
  <c r="BH38" i="30"/>
  <c r="GC38" i="30"/>
  <c r="CW38" i="30"/>
  <c r="HD38" i="30"/>
  <c r="AY38" i="30"/>
  <c r="GP38" i="30"/>
  <c r="FW38" i="30"/>
  <c r="DN38" i="30"/>
  <c r="FD38" i="30"/>
  <c r="DS38" i="30"/>
  <c r="HF51" i="30"/>
  <c r="HF85" i="30" s="1"/>
  <c r="CW51" i="30"/>
  <c r="CW85" i="30" s="1"/>
  <c r="IQ51" i="30"/>
  <c r="IQ85" i="30" s="1"/>
  <c r="IM51" i="30"/>
  <c r="IM85" i="30" s="1"/>
  <c r="IU51" i="30"/>
  <c r="IU85" i="30" s="1"/>
  <c r="CI51" i="30"/>
  <c r="CI85" i="30" s="1"/>
  <c r="EB51" i="30"/>
  <c r="EB85" i="30" s="1"/>
  <c r="EY51" i="30"/>
  <c r="EY85" i="30" s="1"/>
  <c r="BP51" i="30"/>
  <c r="BP85" i="30" s="1"/>
  <c r="GM51" i="30"/>
  <c r="GM85" i="30" s="1"/>
  <c r="DK51" i="30"/>
  <c r="DK85" i="30" s="1"/>
  <c r="HU51" i="30"/>
  <c r="HU85" i="30" s="1"/>
  <c r="FW51" i="30"/>
  <c r="FW85" i="30" s="1"/>
  <c r="CX51" i="30"/>
  <c r="CX85" i="30" s="1"/>
  <c r="HQ51" i="30"/>
  <c r="HQ85" i="30" s="1"/>
  <c r="IJ51" i="30"/>
  <c r="IJ85" i="30" s="1"/>
  <c r="GF51" i="30"/>
  <c r="GF85" i="30" s="1"/>
  <c r="FH51" i="30"/>
  <c r="FH85" i="30" s="1"/>
  <c r="IP51" i="30"/>
  <c r="IP85" i="30" s="1"/>
  <c r="IV51" i="30"/>
  <c r="IV85" i="30" s="1"/>
  <c r="DO51" i="30"/>
  <c r="DO85" i="30" s="1"/>
  <c r="DL51" i="30"/>
  <c r="DL85" i="30" s="1"/>
  <c r="CV51" i="30"/>
  <c r="CV85" i="30" s="1"/>
  <c r="FT51" i="30"/>
  <c r="FT85" i="30" s="1"/>
  <c r="IR51" i="30"/>
  <c r="IR85" i="30" s="1"/>
  <c r="BV51" i="30"/>
  <c r="BV85" i="30" s="1"/>
  <c r="EV39" i="30"/>
  <c r="IK37" i="30"/>
  <c r="DA37" i="30"/>
  <c r="CQ37" i="30"/>
  <c r="BA37" i="30"/>
  <c r="HY37" i="30"/>
  <c r="HR37" i="30"/>
  <c r="GP37" i="30"/>
  <c r="GT37" i="30"/>
  <c r="EJ37" i="30"/>
  <c r="FD37" i="30"/>
  <c r="FV37" i="30"/>
  <c r="DV37" i="30"/>
  <c r="GJ48" i="30"/>
  <c r="BS48" i="30"/>
  <c r="DZ48" i="30"/>
  <c r="IG48" i="30"/>
  <c r="BV48" i="30"/>
  <c r="IS48" i="30"/>
  <c r="CE48" i="30"/>
  <c r="DL48" i="30"/>
  <c r="DF48" i="30"/>
  <c r="HP48" i="30"/>
  <c r="BG48" i="30"/>
  <c r="EH48" i="30"/>
  <c r="EU48" i="30"/>
  <c r="IR48" i="30"/>
  <c r="ID48" i="30"/>
  <c r="HN48" i="30"/>
  <c r="FL48" i="30"/>
  <c r="CI48" i="30"/>
  <c r="BI48" i="30"/>
  <c r="DP48" i="30"/>
  <c r="FM48" i="30"/>
  <c r="CP48" i="30"/>
  <c r="FX48" i="30"/>
  <c r="AX48" i="30"/>
  <c r="II48" i="30"/>
  <c r="ED48" i="30"/>
  <c r="CT38" i="30"/>
  <c r="FO38" i="30"/>
  <c r="CP38" i="30"/>
  <c r="HA38" i="30"/>
  <c r="GV38" i="30"/>
  <c r="FC38" i="30"/>
  <c r="HC38" i="30"/>
  <c r="HY38" i="30"/>
  <c r="DU38" i="30"/>
  <c r="EU38" i="30"/>
  <c r="DZ38" i="30"/>
  <c r="BI38" i="30"/>
  <c r="IR38" i="30"/>
  <c r="GY51" i="30"/>
  <c r="GY85" i="30" s="1"/>
  <c r="EF51" i="30"/>
  <c r="EF85" i="30" s="1"/>
  <c r="IA51" i="30"/>
  <c r="IA85" i="30" s="1"/>
  <c r="ES51" i="30"/>
  <c r="ES85" i="30" s="1"/>
  <c r="II51" i="30"/>
  <c r="II85" i="30" s="1"/>
  <c r="EA51" i="30"/>
  <c r="EA85" i="30" s="1"/>
  <c r="EW51" i="30"/>
  <c r="EW85" i="30" s="1"/>
  <c r="DF51" i="30"/>
  <c r="DF85" i="30" s="1"/>
  <c r="CC51" i="30"/>
  <c r="CC85" i="30" s="1"/>
  <c r="CQ51" i="30"/>
  <c r="CQ85" i="30" s="1"/>
  <c r="EQ51" i="30"/>
  <c r="EQ85" i="30" s="1"/>
  <c r="BG51" i="30"/>
  <c r="BG85" i="30" s="1"/>
  <c r="HC51" i="30"/>
  <c r="HC85" i="30" s="1"/>
  <c r="DA51" i="30"/>
  <c r="DA85" i="30" s="1"/>
  <c r="DN51" i="30"/>
  <c r="DN85" i="30" s="1"/>
  <c r="FJ51" i="30"/>
  <c r="FJ85" i="30" s="1"/>
  <c r="DZ51" i="30"/>
  <c r="DZ85" i="30" s="1"/>
  <c r="BW51" i="30"/>
  <c r="BW85" i="30" s="1"/>
  <c r="BU51" i="30"/>
  <c r="BU85" i="30" s="1"/>
  <c r="GS51" i="30"/>
  <c r="GS85" i="30" s="1"/>
  <c r="CT51" i="30"/>
  <c r="CT85" i="30" s="1"/>
  <c r="HA51" i="30"/>
  <c r="HA85" i="30" s="1"/>
  <c r="CD51" i="30"/>
  <c r="CD85" i="30" s="1"/>
  <c r="GP51" i="30"/>
  <c r="GP85" i="30" s="1"/>
  <c r="FQ51" i="30"/>
  <c r="FQ85" i="30" s="1"/>
  <c r="BF51" i="30"/>
  <c r="BF85" i="30" s="1"/>
  <c r="FH39" i="30"/>
  <c r="IC37" i="30"/>
  <c r="BG37" i="30"/>
  <c r="EK37" i="30"/>
  <c r="FG37" i="30"/>
  <c r="CM37" i="30"/>
  <c r="HW37" i="30"/>
  <c r="H156" i="30"/>
  <c r="DM37" i="30"/>
  <c r="CT37" i="30"/>
  <c r="IP37" i="30"/>
  <c r="CI37" i="30"/>
  <c r="GK37" i="30"/>
  <c r="IN48" i="30"/>
  <c r="CR48" i="30"/>
  <c r="BR48" i="30"/>
  <c r="IC48" i="30"/>
  <c r="GY48" i="30"/>
  <c r="FY48" i="30"/>
  <c r="GN48" i="30"/>
  <c r="DG48" i="30"/>
  <c r="CU48" i="30"/>
  <c r="HI48" i="30"/>
  <c r="FK48" i="30"/>
  <c r="FO48" i="30"/>
  <c r="FC48" i="30"/>
  <c r="HL48" i="30"/>
  <c r="EN48" i="30"/>
  <c r="GL48" i="30"/>
  <c r="FS48" i="30"/>
  <c r="DX48" i="30"/>
  <c r="IU48" i="30"/>
  <c r="DJ48" i="30"/>
  <c r="HD48" i="30"/>
  <c r="HR48" i="30"/>
  <c r="BB48" i="30"/>
  <c r="DI48" i="30"/>
  <c r="EB48" i="30"/>
  <c r="IK38" i="30"/>
  <c r="IO38" i="30"/>
  <c r="HZ38" i="30"/>
  <c r="EO38" i="30"/>
  <c r="FG38" i="30"/>
  <c r="HL38" i="30"/>
  <c r="FT38" i="30"/>
  <c r="BN38" i="30"/>
  <c r="IF38" i="30"/>
  <c r="CA38" i="30"/>
  <c r="II38" i="30"/>
  <c r="ET38" i="30"/>
  <c r="EC38" i="30"/>
  <c r="GR51" i="30"/>
  <c r="GR85" i="30" s="1"/>
  <c r="DE51" i="30"/>
  <c r="DE85" i="30" s="1"/>
  <c r="CN51" i="30"/>
  <c r="CN85" i="30" s="1"/>
  <c r="GC51" i="30"/>
  <c r="GC85" i="30" s="1"/>
  <c r="BJ51" i="30"/>
  <c r="BJ85" i="30" s="1"/>
  <c r="FD51" i="30"/>
  <c r="FD85" i="30" s="1"/>
  <c r="EM51" i="30"/>
  <c r="EM85" i="30" s="1"/>
  <c r="CE51" i="30"/>
  <c r="CE85" i="30" s="1"/>
  <c r="GB51" i="30"/>
  <c r="GB85" i="30" s="1"/>
  <c r="BO51" i="30"/>
  <c r="BO85" i="30" s="1"/>
  <c r="AY51" i="30"/>
  <c r="AY85" i="30" s="1"/>
  <c r="EC51" i="30"/>
  <c r="EC85" i="30" s="1"/>
  <c r="GQ51" i="30"/>
  <c r="GQ85" i="30" s="1"/>
  <c r="GJ51" i="30"/>
  <c r="GJ85" i="30" s="1"/>
  <c r="FI51" i="30"/>
  <c r="FI85" i="30" s="1"/>
  <c r="IN51" i="30"/>
  <c r="IN85" i="30" s="1"/>
  <c r="GG51" i="30"/>
  <c r="GG85" i="30" s="1"/>
  <c r="IB51" i="30"/>
  <c r="IB85" i="30" s="1"/>
  <c r="ET51" i="30"/>
  <c r="ET85" i="30" s="1"/>
  <c r="FC51" i="30"/>
  <c r="FC85" i="30" s="1"/>
  <c r="CR51" i="30"/>
  <c r="CR85" i="30" s="1"/>
  <c r="EO51" i="30"/>
  <c r="EO85" i="30" s="1"/>
  <c r="DR51" i="30"/>
  <c r="DR85" i="30" s="1"/>
  <c r="FS51" i="30"/>
  <c r="FS85" i="30" s="1"/>
  <c r="DH51" i="30"/>
  <c r="DH85" i="30" s="1"/>
  <c r="HR51" i="30"/>
  <c r="HR85" i="30" s="1"/>
  <c r="EF42" i="30"/>
  <c r="EF76" i="30" s="1"/>
  <c r="BV42" i="30"/>
  <c r="BV76" i="30" s="1"/>
  <c r="DX42" i="30"/>
  <c r="DX76" i="30" s="1"/>
  <c r="CJ42" i="30"/>
  <c r="CJ76" i="30" s="1"/>
  <c r="GU42" i="30"/>
  <c r="GU76" i="30" s="1"/>
  <c r="EI42" i="30"/>
  <c r="EI76" i="30" s="1"/>
  <c r="HI42" i="30"/>
  <c r="HI76" i="30" s="1"/>
  <c r="GR42" i="30"/>
  <c r="GR76" i="30" s="1"/>
  <c r="FN42" i="30"/>
  <c r="FN76" i="30" s="1"/>
  <c r="BQ42" i="30"/>
  <c r="BQ76" i="30" s="1"/>
  <c r="FI42" i="30"/>
  <c r="FI76" i="30" s="1"/>
  <c r="DO42" i="30"/>
  <c r="DO76" i="30" s="1"/>
  <c r="BW42" i="30"/>
  <c r="BW76" i="30" s="1"/>
  <c r="IR42" i="30"/>
  <c r="IR76" i="30" s="1"/>
  <c r="FH42" i="30"/>
  <c r="FH76" i="30" s="1"/>
  <c r="DI42" i="30"/>
  <c r="DI76" i="30" s="1"/>
  <c r="HX42" i="30"/>
  <c r="HX76" i="30" s="1"/>
  <c r="CU42" i="30"/>
  <c r="CU76" i="30" s="1"/>
  <c r="HT42" i="30"/>
  <c r="HT76" i="30" s="1"/>
  <c r="BU42" i="30"/>
  <c r="BU76" i="30" s="1"/>
  <c r="EH42" i="30"/>
  <c r="EH76" i="30" s="1"/>
  <c r="ID42" i="30"/>
  <c r="ID76" i="30" s="1"/>
  <c r="BH42" i="30"/>
  <c r="BH76" i="30" s="1"/>
  <c r="II42" i="30"/>
  <c r="II76" i="30" s="1"/>
  <c r="EG42" i="30"/>
  <c r="EG76" i="30" s="1"/>
  <c r="DG42" i="30"/>
  <c r="DG76" i="30" s="1"/>
  <c r="EJ42" i="30"/>
  <c r="EJ76" i="30" s="1"/>
  <c r="EV42" i="30"/>
  <c r="EV76" i="30" s="1"/>
  <c r="BT42" i="30"/>
  <c r="BT76" i="30" s="1"/>
  <c r="HA42" i="30"/>
  <c r="HA76" i="30" s="1"/>
  <c r="AY42" i="30"/>
  <c r="AY76" i="30" s="1"/>
  <c r="EM42" i="30"/>
  <c r="EM76" i="30" s="1"/>
  <c r="GZ42" i="30"/>
  <c r="GZ76" i="30" s="1"/>
  <c r="CQ42" i="30"/>
  <c r="CQ76" i="30" s="1"/>
  <c r="CS42" i="30"/>
  <c r="CS76" i="30" s="1"/>
  <c r="CN42" i="30"/>
  <c r="CN76" i="30" s="1"/>
  <c r="CL42" i="30"/>
  <c r="CL76" i="30" s="1"/>
  <c r="IQ42" i="30"/>
  <c r="IQ76" i="30" s="1"/>
  <c r="HC42" i="30"/>
  <c r="HC76" i="30" s="1"/>
  <c r="HQ42" i="30"/>
  <c r="HQ76" i="30" s="1"/>
  <c r="DT42" i="30"/>
  <c r="DT76" i="30" s="1"/>
  <c r="GT42" i="30"/>
  <c r="GT76" i="30" s="1"/>
  <c r="DD42" i="30"/>
  <c r="DD76" i="30" s="1"/>
  <c r="GK42" i="30"/>
  <c r="GK76" i="30" s="1"/>
  <c r="HU42" i="30"/>
  <c r="HU76" i="30" s="1"/>
  <c r="HK42" i="30"/>
  <c r="HK76" i="30" s="1"/>
  <c r="FD42" i="30"/>
  <c r="FD76" i="30" s="1"/>
  <c r="GQ42" i="30"/>
  <c r="GQ76" i="30" s="1"/>
  <c r="EN42" i="30"/>
  <c r="EN76" i="30" s="1"/>
  <c r="DW42" i="30"/>
  <c r="DW76" i="30" s="1"/>
  <c r="DA42" i="30"/>
  <c r="DA76" i="30" s="1"/>
  <c r="CZ42" i="30"/>
  <c r="CZ76" i="30" s="1"/>
  <c r="GP42" i="30"/>
  <c r="GP76" i="30" s="1"/>
  <c r="FT42" i="30"/>
  <c r="FT76" i="30" s="1"/>
  <c r="IM49" i="30"/>
  <c r="CW49" i="30"/>
  <c r="DK49" i="30"/>
  <c r="BL49" i="30"/>
  <c r="IC49" i="30"/>
  <c r="HV49" i="30"/>
  <c r="GS49" i="30"/>
  <c r="GD49" i="30"/>
  <c r="IN49" i="30"/>
  <c r="DH49" i="30"/>
  <c r="FD49" i="30"/>
  <c r="IB49" i="30"/>
  <c r="EM49" i="30"/>
  <c r="H168" i="30"/>
  <c r="DQ49" i="30"/>
  <c r="BK49" i="30"/>
  <c r="HF49" i="30"/>
  <c r="GF49" i="30"/>
  <c r="FG49" i="30"/>
  <c r="BZ49" i="30"/>
  <c r="CI49" i="30"/>
  <c r="CJ49" i="30"/>
  <c r="GB49" i="30"/>
  <c r="BY49" i="30"/>
  <c r="ES49" i="30"/>
  <c r="BE43" i="30"/>
  <c r="BE77" i="30" s="1"/>
  <c r="DS43" i="30"/>
  <c r="DS77" i="30" s="1"/>
  <c r="IT43" i="30"/>
  <c r="IT77" i="30" s="1"/>
  <c r="EG43" i="30"/>
  <c r="EG77" i="30" s="1"/>
  <c r="FT43" i="30"/>
  <c r="FT77" i="30" s="1"/>
  <c r="EO43" i="30"/>
  <c r="EO77" i="30" s="1"/>
  <c r="BH43" i="30"/>
  <c r="BH77" i="30" s="1"/>
  <c r="HS43" i="30"/>
  <c r="HS77" i="30" s="1"/>
  <c r="IJ43" i="30"/>
  <c r="IJ77" i="30" s="1"/>
  <c r="CA43" i="30"/>
  <c r="CA77" i="30" s="1"/>
  <c r="DG43" i="30"/>
  <c r="DG77" i="30" s="1"/>
  <c r="FK43" i="30"/>
  <c r="FK77" i="30" s="1"/>
  <c r="FO43" i="30"/>
  <c r="FO77" i="30" s="1"/>
  <c r="ID43" i="30"/>
  <c r="ID77" i="30" s="1"/>
  <c r="FF43" i="30"/>
  <c r="FF77" i="30" s="1"/>
  <c r="GM43" i="30"/>
  <c r="GM77" i="30" s="1"/>
  <c r="GC43" i="30"/>
  <c r="GC77" i="30" s="1"/>
  <c r="BQ43" i="30"/>
  <c r="BQ77" i="30" s="1"/>
  <c r="FS43" i="30"/>
  <c r="FS77" i="30" s="1"/>
  <c r="ER43" i="30"/>
  <c r="ER77" i="30" s="1"/>
  <c r="BA43" i="30"/>
  <c r="BA77" i="30" s="1"/>
  <c r="EU43" i="30"/>
  <c r="EU77" i="30" s="1"/>
  <c r="FP43" i="30"/>
  <c r="FP77" i="30" s="1"/>
  <c r="DX43" i="30"/>
  <c r="DX77" i="30" s="1"/>
  <c r="GU43" i="30"/>
  <c r="GU77" i="30" s="1"/>
  <c r="FO45" i="30"/>
  <c r="DW45" i="30"/>
  <c r="ET45" i="30"/>
  <c r="CS45" i="30"/>
  <c r="HM45" i="30"/>
  <c r="DB45" i="30"/>
  <c r="IC45" i="30"/>
  <c r="GQ43" i="30"/>
  <c r="GQ77" i="30" s="1"/>
  <c r="HF43" i="30"/>
  <c r="HF77" i="30" s="1"/>
  <c r="BJ43" i="30"/>
  <c r="BJ77" i="30" s="1"/>
  <c r="DH43" i="30"/>
  <c r="DH77" i="30" s="1"/>
  <c r="DC43" i="30"/>
  <c r="DC77" i="30" s="1"/>
  <c r="GX43" i="30"/>
  <c r="GX77" i="30" s="1"/>
  <c r="BJ45" i="30"/>
  <c r="EW45" i="30"/>
  <c r="GS48" i="30"/>
  <c r="DE48" i="30"/>
  <c r="GF48" i="30"/>
  <c r="FH48" i="30"/>
  <c r="CH48" i="30"/>
  <c r="BW48" i="30"/>
  <c r="IA48" i="30"/>
  <c r="CL48" i="30"/>
  <c r="FU48" i="30"/>
  <c r="BZ48" i="30"/>
  <c r="DS48" i="30"/>
  <c r="EY48" i="30"/>
  <c r="BN48" i="30"/>
  <c r="GR48" i="30"/>
  <c r="EG48" i="30"/>
  <c r="HA48" i="30"/>
  <c r="EA48" i="30"/>
  <c r="GT48" i="30"/>
  <c r="CX48" i="30"/>
  <c r="HK48" i="30"/>
  <c r="IF48" i="30"/>
  <c r="ES48" i="30"/>
  <c r="CJ48" i="30"/>
  <c r="EP48" i="30"/>
  <c r="EQ48" i="30"/>
  <c r="CD48" i="30"/>
  <c r="HJ48" i="30"/>
  <c r="CT48" i="30"/>
  <c r="BU48" i="30"/>
  <c r="GI48" i="30"/>
  <c r="IK48" i="30"/>
  <c r="DH48" i="30"/>
  <c r="BX48" i="30"/>
  <c r="FZ48" i="30"/>
  <c r="GV48" i="30"/>
  <c r="HG48" i="30"/>
  <c r="FG48" i="30"/>
  <c r="CC48" i="30"/>
  <c r="BH48" i="30"/>
  <c r="GZ48" i="30"/>
  <c r="HH48" i="30"/>
  <c r="HY48" i="30"/>
  <c r="EI48" i="30"/>
  <c r="FE48" i="30"/>
  <c r="H167" i="30"/>
  <c r="CV48" i="30"/>
  <c r="DQ48" i="30"/>
  <c r="HQ48" i="30"/>
  <c r="DD48" i="30"/>
  <c r="HB48" i="30"/>
  <c r="CZ48" i="30"/>
  <c r="DA48" i="30"/>
  <c r="IH48" i="30"/>
  <c r="CK48" i="30"/>
  <c r="CM48" i="30"/>
  <c r="AY48" i="30"/>
  <c r="EJ48" i="30"/>
  <c r="DB48" i="30"/>
  <c r="GX48" i="30"/>
  <c r="FA48" i="30"/>
  <c r="FT48" i="30"/>
  <c r="IP48" i="30"/>
  <c r="IJ48" i="30"/>
  <c r="ER48" i="30"/>
  <c r="EE48" i="30"/>
  <c r="BL48" i="30"/>
  <c r="DM48" i="30"/>
  <c r="GG48" i="30"/>
  <c r="GW48" i="30"/>
  <c r="BE48" i="30"/>
  <c r="HV48" i="30"/>
  <c r="FQ48" i="30"/>
  <c r="BD48" i="30"/>
  <c r="DR48" i="30"/>
  <c r="DU48" i="30"/>
  <c r="BJ48" i="30"/>
  <c r="FV48" i="30"/>
  <c r="CB48" i="30"/>
  <c r="CN48" i="30"/>
  <c r="GQ48" i="30"/>
  <c r="FR48" i="30"/>
  <c r="HW48" i="30"/>
  <c r="DO48" i="30"/>
  <c r="EV48" i="30"/>
  <c r="CW48" i="30"/>
  <c r="BQ48" i="30"/>
  <c r="DT48" i="30"/>
  <c r="GP48" i="30"/>
  <c r="EZ48" i="30"/>
  <c r="IQ48" i="30"/>
  <c r="BK48" i="30"/>
  <c r="CA48" i="30"/>
  <c r="GH48" i="30"/>
  <c r="GM48" i="30"/>
  <c r="HE48" i="30"/>
  <c r="BO48" i="30"/>
  <c r="HC48" i="30"/>
  <c r="HZ48" i="30"/>
  <c r="DW48" i="30"/>
  <c r="GK48" i="30"/>
  <c r="DN48" i="30"/>
  <c r="DK48" i="30"/>
  <c r="GD48" i="30"/>
  <c r="CO48" i="30"/>
  <c r="IG46" i="30"/>
  <c r="CD46" i="30"/>
  <c r="IN46" i="30"/>
  <c r="GG46" i="30"/>
  <c r="BO46" i="30"/>
  <c r="GD46" i="30"/>
  <c r="DB49" i="30"/>
  <c r="FM49" i="30"/>
  <c r="DG49" i="30"/>
  <c r="DD49" i="30"/>
  <c r="GG49" i="30"/>
  <c r="BO49" i="30"/>
  <c r="GE49" i="30"/>
  <c r="FQ43" i="30"/>
  <c r="FQ77" i="30" s="1"/>
  <c r="BX43" i="30"/>
  <c r="BX77" i="30" s="1"/>
  <c r="CF43" i="30"/>
  <c r="CF77" i="30" s="1"/>
  <c r="DW43" i="30"/>
  <c r="DW77" i="30" s="1"/>
  <c r="GJ43" i="30"/>
  <c r="GJ77" i="30" s="1"/>
  <c r="EL43" i="30"/>
  <c r="EL77" i="30" s="1"/>
  <c r="GK45" i="30"/>
  <c r="HD43" i="30"/>
  <c r="HD77" i="30" s="1"/>
  <c r="FN53" i="30"/>
  <c r="FN87" i="30" s="1"/>
  <c r="EM53" i="30"/>
  <c r="EM87" i="30" s="1"/>
  <c r="DC53" i="30"/>
  <c r="DC87" i="30" s="1"/>
  <c r="EW53" i="30"/>
  <c r="EW87" i="30" s="1"/>
  <c r="DP53" i="30"/>
  <c r="DP87" i="30" s="1"/>
  <c r="BQ53" i="30"/>
  <c r="BQ87" i="30" s="1"/>
  <c r="BX53" i="30"/>
  <c r="BX87" i="30" s="1"/>
  <c r="GZ53" i="30"/>
  <c r="GZ87" i="30" s="1"/>
  <c r="IE53" i="30"/>
  <c r="IE87" i="30" s="1"/>
  <c r="EA53" i="30"/>
  <c r="EA87" i="30" s="1"/>
  <c r="IS53" i="30"/>
  <c r="IS87" i="30" s="1"/>
  <c r="HM53" i="30"/>
  <c r="HM87" i="30" s="1"/>
  <c r="DY53" i="30"/>
  <c r="DY87" i="30" s="1"/>
  <c r="HI50" i="30"/>
  <c r="HI84" i="30" s="1"/>
  <c r="IV50" i="30"/>
  <c r="IV84" i="30" s="1"/>
  <c r="BP50" i="30"/>
  <c r="BP84" i="30" s="1"/>
  <c r="BA50" i="30"/>
  <c r="BA84" i="30" s="1"/>
  <c r="BE50" i="30"/>
  <c r="BE84" i="30" s="1"/>
  <c r="BJ50" i="30"/>
  <c r="BJ84" i="30" s="1"/>
  <c r="FJ50" i="30"/>
  <c r="FJ84" i="30" s="1"/>
  <c r="DD50" i="30"/>
  <c r="DD84" i="30" s="1"/>
  <c r="GF50" i="30"/>
  <c r="GF84" i="30" s="1"/>
  <c r="EA50" i="30"/>
  <c r="EA84" i="30" s="1"/>
  <c r="FE50" i="30"/>
  <c r="FE84" i="30" s="1"/>
  <c r="EW50" i="30"/>
  <c r="EW84" i="30" s="1"/>
  <c r="GV50" i="30"/>
  <c r="GV84" i="30" s="1"/>
  <c r="EZ50" i="30"/>
  <c r="EZ84" i="30" s="1"/>
  <c r="FO50" i="30"/>
  <c r="FO84" i="30" s="1"/>
  <c r="GR50" i="30"/>
  <c r="GR84" i="30" s="1"/>
  <c r="FI50" i="30"/>
  <c r="FI84" i="30" s="1"/>
  <c r="BI50" i="30"/>
  <c r="BI84" i="30" s="1"/>
  <c r="AY50" i="30"/>
  <c r="AY84" i="30" s="1"/>
  <c r="GI51" i="30"/>
  <c r="GI85" i="30" s="1"/>
  <c r="FU51" i="30"/>
  <c r="FU85" i="30" s="1"/>
  <c r="GO51" i="30"/>
  <c r="GO85" i="30" s="1"/>
  <c r="HX51" i="30"/>
  <c r="HX85" i="30" s="1"/>
  <c r="DP51" i="30"/>
  <c r="DP85" i="30" s="1"/>
  <c r="CU51" i="30"/>
  <c r="CU85" i="30" s="1"/>
  <c r="DC51" i="30"/>
  <c r="DC85" i="30" s="1"/>
  <c r="BN51" i="30"/>
  <c r="BN85" i="30" s="1"/>
  <c r="IT51" i="30"/>
  <c r="IT85" i="30" s="1"/>
  <c r="DJ51" i="30"/>
  <c r="DJ85" i="30" s="1"/>
  <c r="FB51" i="30"/>
  <c r="FB85" i="30" s="1"/>
  <c r="BY51" i="30"/>
  <c r="BY85" i="30" s="1"/>
  <c r="IF51" i="30"/>
  <c r="IF85" i="30" s="1"/>
  <c r="HL51" i="30"/>
  <c r="HL85" i="30" s="1"/>
  <c r="BR51" i="30"/>
  <c r="BR85" i="30" s="1"/>
  <c r="HP51" i="30"/>
  <c r="HP85" i="30" s="1"/>
  <c r="EV51" i="30"/>
  <c r="EV85" i="30" s="1"/>
  <c r="DG51" i="30"/>
  <c r="DG85" i="30" s="1"/>
  <c r="IL51" i="30"/>
  <c r="IL85" i="30" s="1"/>
  <c r="EG51" i="30"/>
  <c r="EG85" i="30" s="1"/>
  <c r="EX51" i="30"/>
  <c r="EX85" i="30" s="1"/>
  <c r="GK51" i="30"/>
  <c r="GK85" i="30" s="1"/>
  <c r="HB51" i="30"/>
  <c r="HB85" i="30" s="1"/>
  <c r="HE51" i="30"/>
  <c r="HE85" i="30" s="1"/>
  <c r="H170" i="30"/>
  <c r="ER51" i="30"/>
  <c r="ER85" i="30" s="1"/>
  <c r="FE51" i="30"/>
  <c r="FE85" i="30" s="1"/>
  <c r="GT51" i="30"/>
  <c r="GT85" i="30" s="1"/>
  <c r="FM51" i="30"/>
  <c r="FM85" i="30" s="1"/>
  <c r="FZ51" i="30"/>
  <c r="FZ85" i="30" s="1"/>
  <c r="DW51" i="30"/>
  <c r="DW85" i="30" s="1"/>
  <c r="IS51" i="30"/>
  <c r="IS85" i="30" s="1"/>
  <c r="DB51" i="30"/>
  <c r="DB85" i="30" s="1"/>
  <c r="CA51" i="30"/>
  <c r="CA85" i="30" s="1"/>
  <c r="HW51" i="30"/>
  <c r="HW85" i="30" s="1"/>
  <c r="DD51" i="30"/>
  <c r="DD85" i="30" s="1"/>
  <c r="EN51" i="30"/>
  <c r="EN85" i="30" s="1"/>
  <c r="CM51" i="30"/>
  <c r="CM85" i="30" s="1"/>
  <c r="CS51" i="30"/>
  <c r="CS85" i="30" s="1"/>
  <c r="ED51" i="30"/>
  <c r="ED85" i="30" s="1"/>
  <c r="HN51" i="30"/>
  <c r="HN85" i="30" s="1"/>
  <c r="GA51" i="30"/>
  <c r="GA85" i="30" s="1"/>
  <c r="HM51" i="30"/>
  <c r="HM85" i="30" s="1"/>
  <c r="BC51" i="30"/>
  <c r="BC85" i="30" s="1"/>
  <c r="FG51" i="30"/>
  <c r="FG85" i="30" s="1"/>
  <c r="FV51" i="30"/>
  <c r="FV85" i="30" s="1"/>
  <c r="HJ51" i="30"/>
  <c r="HJ85" i="30" s="1"/>
  <c r="DX51" i="30"/>
  <c r="DX85" i="30" s="1"/>
  <c r="BS51" i="30"/>
  <c r="BS85" i="30" s="1"/>
  <c r="FF51" i="30"/>
  <c r="FF85" i="30" s="1"/>
  <c r="BL51" i="30"/>
  <c r="BL85" i="30" s="1"/>
  <c r="CO50" i="30"/>
  <c r="CO84" i="30" s="1"/>
  <c r="EV50" i="30"/>
  <c r="EV84" i="30" s="1"/>
  <c r="HK50" i="30"/>
  <c r="HK84" i="30" s="1"/>
  <c r="CB50" i="30"/>
  <c r="CB84" i="30" s="1"/>
  <c r="EK50" i="30"/>
  <c r="EK84" i="30" s="1"/>
  <c r="HU50" i="30"/>
  <c r="HU84" i="30" s="1"/>
  <c r="FX50" i="30"/>
  <c r="FX84" i="30" s="1"/>
  <c r="BL50" i="30"/>
  <c r="BL84" i="30" s="1"/>
  <c r="DP50" i="30"/>
  <c r="DP84" i="30" s="1"/>
  <c r="FV50" i="30"/>
  <c r="FV84" i="30" s="1"/>
  <c r="DE50" i="30"/>
  <c r="DE84" i="30" s="1"/>
  <c r="IQ50" i="30"/>
  <c r="IQ84" i="30" s="1"/>
  <c r="BN50" i="30"/>
  <c r="BN84" i="30" s="1"/>
  <c r="DW50" i="30"/>
  <c r="DW84" i="30" s="1"/>
  <c r="ET50" i="30"/>
  <c r="ET84" i="30" s="1"/>
  <c r="HJ50" i="30"/>
  <c r="HJ84" i="30" s="1"/>
  <c r="CZ50" i="30"/>
  <c r="CZ84" i="30" s="1"/>
  <c r="HV50" i="30"/>
  <c r="HV84" i="30" s="1"/>
  <c r="HY51" i="30"/>
  <c r="HY85" i="30" s="1"/>
  <c r="DV51" i="30"/>
  <c r="DV85" i="30" s="1"/>
  <c r="FA51" i="30"/>
  <c r="FA85" i="30" s="1"/>
  <c r="DY51" i="30"/>
  <c r="DY85" i="30" s="1"/>
  <c r="BI51" i="30"/>
  <c r="BI85" i="30" s="1"/>
  <c r="FN51" i="30"/>
  <c r="FN85" i="30" s="1"/>
  <c r="HV51" i="30"/>
  <c r="HV85" i="30" s="1"/>
  <c r="HI51" i="30"/>
  <c r="HI85" i="30" s="1"/>
  <c r="BH51" i="30"/>
  <c r="BH85" i="30" s="1"/>
  <c r="IC51" i="30"/>
  <c r="IC85" i="30" s="1"/>
  <c r="EZ51" i="30"/>
  <c r="EZ85" i="30" s="1"/>
  <c r="BX51" i="30"/>
  <c r="BX85" i="30" s="1"/>
  <c r="ID51" i="30"/>
  <c r="ID85" i="30" s="1"/>
  <c r="GU51" i="30"/>
  <c r="GU85" i="30" s="1"/>
  <c r="FK51" i="30"/>
  <c r="FK85" i="30" s="1"/>
  <c r="FX51" i="30"/>
  <c r="FX85" i="30" s="1"/>
  <c r="FO51" i="30"/>
  <c r="FO85" i="30" s="1"/>
  <c r="EL51" i="30"/>
  <c r="EL85" i="30" s="1"/>
  <c r="CF51" i="30"/>
  <c r="CF85" i="30" s="1"/>
  <c r="GD51" i="30"/>
  <c r="GD85" i="30" s="1"/>
  <c r="EI51" i="30"/>
  <c r="EI85" i="30" s="1"/>
  <c r="FL51" i="30"/>
  <c r="FL85" i="30" s="1"/>
  <c r="DI51" i="30"/>
  <c r="DI85" i="30" s="1"/>
  <c r="DM51" i="30"/>
  <c r="DM85" i="30" s="1"/>
  <c r="CO51" i="30"/>
  <c r="CO85" i="30" s="1"/>
  <c r="IE51" i="30"/>
  <c r="IE85" i="30" s="1"/>
  <c r="GV51" i="30"/>
  <c r="GV85" i="30" s="1"/>
  <c r="BZ51" i="30"/>
  <c r="BZ85" i="30" s="1"/>
  <c r="EP51" i="30"/>
  <c r="EP85" i="30" s="1"/>
  <c r="IH51" i="30"/>
  <c r="IH85" i="30" s="1"/>
  <c r="IO51" i="30"/>
  <c r="IO85" i="30" s="1"/>
  <c r="BT51" i="30"/>
  <c r="BT85" i="30" s="1"/>
  <c r="CL51" i="30"/>
  <c r="CL85" i="30" s="1"/>
  <c r="GZ51" i="30"/>
  <c r="GZ85" i="30" s="1"/>
  <c r="HT51" i="30"/>
  <c r="HT85" i="30" s="1"/>
  <c r="CJ51" i="30"/>
  <c r="CJ85" i="30" s="1"/>
  <c r="HH51" i="30"/>
  <c r="HH85" i="30" s="1"/>
  <c r="FR51" i="30"/>
  <c r="FR85" i="30" s="1"/>
  <c r="BQ51" i="30"/>
  <c r="BQ85" i="30" s="1"/>
  <c r="CP51" i="30"/>
  <c r="CP85" i="30" s="1"/>
  <c r="EE51" i="30"/>
  <c r="EE85" i="30" s="1"/>
  <c r="DT51" i="30"/>
  <c r="DT85" i="30" s="1"/>
  <c r="FP51" i="30"/>
  <c r="FP85" i="30" s="1"/>
  <c r="AX51" i="30"/>
  <c r="AX85" i="30" s="1"/>
  <c r="IG51" i="30"/>
  <c r="IG85" i="30" s="1"/>
  <c r="DQ51" i="30"/>
  <c r="DQ85" i="30" s="1"/>
  <c r="CG51" i="30"/>
  <c r="CG85" i="30" s="1"/>
  <c r="DU51" i="30"/>
  <c r="DU85" i="30" s="1"/>
  <c r="CY51" i="30"/>
  <c r="CY85" i="30" s="1"/>
  <c r="EK51" i="30"/>
  <c r="EK85" i="30" s="1"/>
  <c r="DS51" i="30"/>
  <c r="DS85" i="30" s="1"/>
  <c r="HD51" i="30"/>
  <c r="HD85" i="30" s="1"/>
  <c r="DI49" i="30"/>
  <c r="FA49" i="30"/>
  <c r="IV49" i="30"/>
  <c r="FS49" i="30"/>
  <c r="EU49" i="30"/>
  <c r="IJ49" i="30"/>
  <c r="CE49" i="30"/>
  <c r="CR49" i="30"/>
  <c r="BS49" i="30"/>
  <c r="GY49" i="30"/>
  <c r="BC49" i="30"/>
  <c r="FC49" i="30"/>
  <c r="BT49" i="30"/>
  <c r="HA49" i="30"/>
  <c r="FF49" i="30"/>
  <c r="GX49" i="30"/>
  <c r="ID49" i="30"/>
  <c r="CS49" i="30"/>
  <c r="HN49" i="30"/>
  <c r="IH49" i="30"/>
  <c r="GZ49" i="30"/>
  <c r="DE49" i="30"/>
  <c r="GO49" i="30"/>
  <c r="FT49" i="30"/>
  <c r="DA49" i="30"/>
  <c r="EO49" i="30"/>
  <c r="DS49" i="30"/>
  <c r="IP49" i="30"/>
  <c r="CL49" i="30"/>
  <c r="GK49" i="30"/>
  <c r="FY49" i="30"/>
  <c r="FX49" i="30"/>
  <c r="DY49" i="30"/>
  <c r="CM49" i="30"/>
  <c r="CP49" i="30"/>
  <c r="BX49" i="30"/>
  <c r="EF49" i="30"/>
  <c r="DL49" i="30"/>
  <c r="HG49" i="30"/>
  <c r="ER49" i="30"/>
  <c r="FL49" i="30"/>
  <c r="FO49" i="30"/>
  <c r="CC49" i="30"/>
  <c r="BW49" i="30"/>
  <c r="EK49" i="30"/>
  <c r="GM49" i="30"/>
  <c r="GR49" i="30"/>
  <c r="HW49" i="30"/>
  <c r="CX49" i="30"/>
  <c r="IR49" i="30"/>
  <c r="IO49" i="30"/>
  <c r="BP49" i="30"/>
  <c r="DM49" i="30"/>
  <c r="IF49" i="30"/>
  <c r="EA49" i="30"/>
  <c r="IG49" i="30"/>
  <c r="FH49" i="30"/>
  <c r="HM49" i="30"/>
  <c r="EJ49" i="30"/>
  <c r="DR49" i="30"/>
  <c r="GJ49" i="30"/>
  <c r="DO49" i="30"/>
  <c r="EH49" i="30"/>
  <c r="BQ49" i="30"/>
  <c r="GT49" i="30"/>
  <c r="BE49" i="30"/>
  <c r="IS49" i="30"/>
  <c r="HB49" i="30"/>
  <c r="GI49" i="30"/>
  <c r="BG49" i="30"/>
  <c r="CA49" i="30"/>
  <c r="BH49" i="30"/>
  <c r="HK49" i="30"/>
  <c r="HX49" i="30"/>
  <c r="BV49" i="30"/>
  <c r="CD49" i="30"/>
  <c r="IE49" i="30"/>
  <c r="BI49" i="30"/>
  <c r="CY49" i="30"/>
  <c r="HL49" i="30"/>
  <c r="CZ49" i="30"/>
  <c r="HP49" i="30"/>
  <c r="EI49" i="30"/>
  <c r="IA49" i="30"/>
  <c r="EB49" i="30"/>
  <c r="IK49" i="30"/>
  <c r="BJ49" i="30"/>
  <c r="FK49" i="30"/>
  <c r="HJ49" i="30"/>
  <c r="EX49" i="30"/>
  <c r="FU49" i="30"/>
  <c r="FI49" i="30"/>
  <c r="DZ49" i="30"/>
  <c r="EV49" i="30"/>
  <c r="FB49" i="30"/>
  <c r="GV49" i="30"/>
  <c r="CT49" i="30"/>
  <c r="EZ49" i="30"/>
  <c r="EC49" i="30"/>
  <c r="CF49" i="30"/>
  <c r="CG49" i="30"/>
  <c r="AX49" i="30"/>
  <c r="EL49" i="30"/>
  <c r="FR49" i="30"/>
  <c r="GH49" i="30"/>
  <c r="DV49" i="30"/>
  <c r="EY49" i="30"/>
  <c r="CU49" i="30"/>
  <c r="HC49" i="30"/>
  <c r="GA49" i="30"/>
  <c r="CN49" i="30"/>
  <c r="FE49" i="30"/>
  <c r="ED49" i="30"/>
  <c r="BF49" i="30"/>
  <c r="CQ49" i="30"/>
  <c r="II49" i="30"/>
  <c r="GC49" i="30"/>
  <c r="AY49" i="30"/>
  <c r="DP49" i="30"/>
  <c r="FJ49" i="30"/>
  <c r="CV49" i="30"/>
  <c r="BU49" i="30"/>
  <c r="EQ49" i="30"/>
  <c r="FZ49" i="30"/>
  <c r="CH49" i="30"/>
  <c r="DT49" i="30"/>
  <c r="AZ49" i="30"/>
  <c r="BM49" i="30"/>
  <c r="HI49" i="30"/>
  <c r="GL49" i="30"/>
  <c r="CO49" i="30"/>
  <c r="BN49" i="30"/>
  <c r="GQ49" i="30"/>
  <c r="ET49" i="30"/>
  <c r="GP49" i="30"/>
  <c r="FW49" i="30"/>
  <c r="EE49" i="30"/>
  <c r="DX49" i="30"/>
  <c r="HS49" i="30"/>
  <c r="FP49" i="30"/>
  <c r="HO49" i="30"/>
  <c r="DF49" i="30"/>
  <c r="HQ49" i="30"/>
  <c r="IU49" i="30"/>
  <c r="GN49" i="30"/>
  <c r="HY49" i="30"/>
  <c r="HZ49" i="30"/>
  <c r="CK49" i="30"/>
  <c r="EG49" i="30"/>
  <c r="EP49" i="30"/>
  <c r="BR49" i="30"/>
  <c r="DU49" i="30"/>
  <c r="BD49" i="30"/>
  <c r="FN49" i="30"/>
  <c r="HR49" i="30"/>
  <c r="CO43" i="30"/>
  <c r="CO77" i="30" s="1"/>
  <c r="GF43" i="30"/>
  <c r="GF77" i="30" s="1"/>
  <c r="EB43" i="30"/>
  <c r="EB77" i="30" s="1"/>
  <c r="CO42" i="30"/>
  <c r="CO76" i="30" s="1"/>
  <c r="HO42" i="30"/>
  <c r="HO76" i="30" s="1"/>
  <c r="CM42" i="30"/>
  <c r="CM76" i="30" s="1"/>
  <c r="CX42" i="30"/>
  <c r="CX76" i="30" s="1"/>
  <c r="HH42" i="30"/>
  <c r="HH76" i="30" s="1"/>
  <c r="GX42" i="30"/>
  <c r="GX76" i="30" s="1"/>
  <c r="DP42" i="30"/>
  <c r="DP76" i="30" s="1"/>
  <c r="H161" i="30"/>
  <c r="IJ42" i="30"/>
  <c r="IJ76" i="30" s="1"/>
  <c r="EB42" i="30"/>
  <c r="EB76" i="30" s="1"/>
  <c r="EA42" i="30"/>
  <c r="EA76" i="30" s="1"/>
  <c r="IK42" i="30"/>
  <c r="IK76" i="30" s="1"/>
  <c r="DY42" i="30"/>
  <c r="DY76" i="30" s="1"/>
  <c r="HN42" i="30"/>
  <c r="HN76" i="30" s="1"/>
  <c r="BL42" i="30"/>
  <c r="BL76" i="30" s="1"/>
  <c r="CH42" i="30"/>
  <c r="CH76" i="30" s="1"/>
  <c r="DL42" i="30"/>
  <c r="DL76" i="30" s="1"/>
  <c r="DB42" i="30"/>
  <c r="DB76" i="30" s="1"/>
  <c r="EX42" i="30"/>
  <c r="EX76" i="30" s="1"/>
  <c r="BD42" i="30"/>
  <c r="BD76" i="30" s="1"/>
  <c r="FL42" i="30"/>
  <c r="FL76" i="30" s="1"/>
  <c r="AZ42" i="30"/>
  <c r="AZ76" i="30" s="1"/>
  <c r="EZ42" i="30"/>
  <c r="EZ76" i="30" s="1"/>
  <c r="CG42" i="30"/>
  <c r="CG76" i="30" s="1"/>
  <c r="CK42" i="30"/>
  <c r="CK76" i="30" s="1"/>
  <c r="CW42" i="30"/>
  <c r="CW76" i="30" s="1"/>
  <c r="EY42" i="30"/>
  <c r="EY76" i="30" s="1"/>
  <c r="CE42" i="30"/>
  <c r="CE76" i="30" s="1"/>
  <c r="IS42" i="30"/>
  <c r="IS76" i="30" s="1"/>
  <c r="BR42" i="30"/>
  <c r="BR76" i="30" s="1"/>
  <c r="HW42" i="30"/>
  <c r="HW76" i="30" s="1"/>
  <c r="IH42" i="30"/>
  <c r="IH76" i="30" s="1"/>
  <c r="EL42" i="30"/>
  <c r="EL76" i="30" s="1"/>
  <c r="FE42" i="30"/>
  <c r="FE76" i="30" s="1"/>
  <c r="IT42" i="30"/>
  <c r="IT76" i="30" s="1"/>
  <c r="EP42" i="30"/>
  <c r="EP76" i="30" s="1"/>
  <c r="AX42" i="30"/>
  <c r="AX76" i="30" s="1"/>
  <c r="CR42" i="30"/>
  <c r="CR76" i="30" s="1"/>
  <c r="GN42" i="30"/>
  <c r="GN76" i="30" s="1"/>
  <c r="IO42" i="30"/>
  <c r="IO76" i="30" s="1"/>
  <c r="IP42" i="30"/>
  <c r="IP76" i="30" s="1"/>
  <c r="BK42" i="30"/>
  <c r="BK76" i="30" s="1"/>
  <c r="CT42" i="30"/>
  <c r="CT76" i="30" s="1"/>
  <c r="FK42" i="30"/>
  <c r="FK76" i="30" s="1"/>
  <c r="BZ42" i="30"/>
  <c r="BZ76" i="30" s="1"/>
  <c r="FA42" i="30"/>
  <c r="FA76" i="30" s="1"/>
  <c r="GO42" i="30"/>
  <c r="GO76" i="30" s="1"/>
  <c r="FZ42" i="30"/>
  <c r="FZ76" i="30" s="1"/>
  <c r="DN42" i="30"/>
  <c r="DN76" i="30" s="1"/>
  <c r="CI42" i="30"/>
  <c r="CI76" i="30" s="1"/>
  <c r="GI42" i="30"/>
  <c r="GI76" i="30" s="1"/>
  <c r="IC42" i="30"/>
  <c r="IC76" i="30" s="1"/>
  <c r="IB42" i="30"/>
  <c r="IB76" i="30" s="1"/>
  <c r="IF42" i="30"/>
  <c r="IF76" i="30" s="1"/>
  <c r="FQ42" i="30"/>
  <c r="FQ76" i="30" s="1"/>
  <c r="HZ42" i="30"/>
  <c r="HZ76" i="30" s="1"/>
  <c r="IU42" i="30"/>
  <c r="IU76" i="30" s="1"/>
  <c r="EO42" i="30"/>
  <c r="EO76" i="30" s="1"/>
  <c r="GW42" i="30"/>
  <c r="GW76" i="30" s="1"/>
  <c r="DC42" i="30"/>
  <c r="DC76" i="30" s="1"/>
  <c r="FR42" i="30"/>
  <c r="FR76" i="30" s="1"/>
  <c r="GJ42" i="30"/>
  <c r="GJ76" i="30" s="1"/>
  <c r="FW42" i="30"/>
  <c r="FW76" i="30" s="1"/>
  <c r="DE42" i="30"/>
  <c r="DE76" i="30" s="1"/>
  <c r="BN42" i="30"/>
  <c r="BN76" i="30" s="1"/>
  <c r="FF42" i="30"/>
  <c r="FF76" i="30" s="1"/>
  <c r="HR42" i="30"/>
  <c r="HR76" i="30" s="1"/>
  <c r="HM42" i="30"/>
  <c r="HM76" i="30" s="1"/>
  <c r="FV42" i="30"/>
  <c r="FV76" i="30" s="1"/>
  <c r="IV42" i="30"/>
  <c r="IV76" i="30" s="1"/>
  <c r="GM42" i="30"/>
  <c r="GM76" i="30" s="1"/>
  <c r="FO42" i="30"/>
  <c r="FO76" i="30" s="1"/>
  <c r="CC42" i="30"/>
  <c r="CC76" i="30" s="1"/>
  <c r="CD42" i="30"/>
  <c r="CD76" i="30" s="1"/>
  <c r="HF42" i="30"/>
  <c r="HF76" i="30" s="1"/>
  <c r="CB42" i="30"/>
  <c r="CB76" i="30" s="1"/>
  <c r="HG42" i="30"/>
  <c r="HG76" i="30" s="1"/>
  <c r="CA42" i="30"/>
  <c r="CA76" i="30" s="1"/>
  <c r="HA43" i="30"/>
  <c r="HA77" i="30" s="1"/>
  <c r="GZ43" i="30"/>
  <c r="GZ77" i="30" s="1"/>
  <c r="CG43" i="30"/>
  <c r="CG77" i="30" s="1"/>
  <c r="FV43" i="30"/>
  <c r="FV77" i="30" s="1"/>
  <c r="EX43" i="30"/>
  <c r="EX77" i="30" s="1"/>
  <c r="IE43" i="30"/>
  <c r="IE77" i="30" s="1"/>
  <c r="CW43" i="30"/>
  <c r="CW77" i="30" s="1"/>
  <c r="ED43" i="30"/>
  <c r="ED77" i="30" s="1"/>
  <c r="EM43" i="30"/>
  <c r="EM77" i="30" s="1"/>
  <c r="EJ43" i="30"/>
  <c r="EJ77" i="30" s="1"/>
  <c r="EC43" i="30"/>
  <c r="EC77" i="30" s="1"/>
  <c r="IO43" i="30"/>
  <c r="IO77" i="30" s="1"/>
  <c r="HC43" i="30"/>
  <c r="HC77" i="30" s="1"/>
  <c r="IL43" i="30"/>
  <c r="IL77" i="30" s="1"/>
  <c r="BY43" i="30"/>
  <c r="BY77" i="30" s="1"/>
  <c r="BB43" i="30"/>
  <c r="BB77" i="30" s="1"/>
  <c r="DO43" i="30"/>
  <c r="DO77" i="30" s="1"/>
  <c r="FX43" i="30"/>
  <c r="FX77" i="30" s="1"/>
  <c r="GO43" i="30"/>
  <c r="GO77" i="30" s="1"/>
  <c r="AY43" i="30"/>
  <c r="AY77" i="30" s="1"/>
  <c r="FZ43" i="30"/>
  <c r="FZ77" i="30" s="1"/>
  <c r="IQ43" i="30"/>
  <c r="IQ77" i="30" s="1"/>
  <c r="BU43" i="30"/>
  <c r="BU77" i="30" s="1"/>
  <c r="IH43" i="30"/>
  <c r="IH77" i="30" s="1"/>
  <c r="GV43" i="30"/>
  <c r="GV77" i="30" s="1"/>
  <c r="CB43" i="30"/>
  <c r="CB77" i="30" s="1"/>
  <c r="FB43" i="30"/>
  <c r="FB77" i="30" s="1"/>
  <c r="BL43" i="30"/>
  <c r="BL77" i="30" s="1"/>
  <c r="IK43" i="30"/>
  <c r="IK77" i="30" s="1"/>
  <c r="DA43" i="30"/>
  <c r="DA77" i="30" s="1"/>
  <c r="EQ43" i="30"/>
  <c r="EQ77" i="30" s="1"/>
  <c r="CI43" i="30"/>
  <c r="CI77" i="30" s="1"/>
  <c r="DM43" i="30"/>
  <c r="DM77" i="30" s="1"/>
  <c r="GL43" i="30"/>
  <c r="GL77" i="30" s="1"/>
  <c r="DZ43" i="30"/>
  <c r="DZ77" i="30" s="1"/>
  <c r="DV43" i="30"/>
  <c r="DV77" i="30" s="1"/>
  <c r="DN43" i="30"/>
  <c r="DN77" i="30" s="1"/>
  <c r="HO43" i="30"/>
  <c r="HO77" i="30" s="1"/>
  <c r="GG43" i="30"/>
  <c r="GG77" i="30" s="1"/>
  <c r="BT43" i="30"/>
  <c r="BT77" i="30" s="1"/>
  <c r="HP43" i="30"/>
  <c r="HP77" i="30" s="1"/>
  <c r="GP43" i="30"/>
  <c r="GP77" i="30" s="1"/>
  <c r="IF43" i="30"/>
  <c r="IF77" i="30" s="1"/>
  <c r="GR43" i="30"/>
  <c r="GR77" i="30" s="1"/>
  <c r="AZ43" i="30"/>
  <c r="AZ77" i="30" s="1"/>
  <c r="CE43" i="30"/>
  <c r="CE77" i="30" s="1"/>
  <c r="HK43" i="30"/>
  <c r="HK77" i="30" s="1"/>
  <c r="CT43" i="30"/>
  <c r="CT77" i="30" s="1"/>
  <c r="GY43" i="30"/>
  <c r="GY77" i="30" s="1"/>
  <c r="HG43" i="30"/>
  <c r="HG77" i="30" s="1"/>
  <c r="BR43" i="30"/>
  <c r="BR77" i="30" s="1"/>
  <c r="HT43" i="30"/>
  <c r="HT77" i="30" s="1"/>
  <c r="DF43" i="30"/>
  <c r="DF77" i="30" s="1"/>
  <c r="DY43" i="30"/>
  <c r="DY77" i="30" s="1"/>
  <c r="DT43" i="30"/>
  <c r="DT77" i="30" s="1"/>
  <c r="FC43" i="30"/>
  <c r="FC77" i="30" s="1"/>
  <c r="FE43" i="30"/>
  <c r="FE77" i="30" s="1"/>
  <c r="FD43" i="30"/>
  <c r="FD77" i="30" s="1"/>
  <c r="EY43" i="30"/>
  <c r="EY77" i="30" s="1"/>
  <c r="GA43" i="30"/>
  <c r="GA77" i="30" s="1"/>
  <c r="BG43" i="30"/>
  <c r="BG77" i="30" s="1"/>
  <c r="CY43" i="30"/>
  <c r="CY77" i="30" s="1"/>
  <c r="ET43" i="30"/>
  <c r="ET77" i="30" s="1"/>
  <c r="H162" i="30"/>
  <c r="HX43" i="30"/>
  <c r="HX77" i="30" s="1"/>
  <c r="DJ43" i="30"/>
  <c r="DJ77" i="30" s="1"/>
  <c r="DU43" i="30"/>
  <c r="DU77" i="30" s="1"/>
  <c r="HH43" i="30"/>
  <c r="HH77" i="30" s="1"/>
  <c r="IM43" i="30"/>
  <c r="IM77" i="30" s="1"/>
  <c r="FM43" i="30"/>
  <c r="FM77" i="30" s="1"/>
  <c r="CQ43" i="30"/>
  <c r="CQ77" i="30" s="1"/>
  <c r="FR43" i="30"/>
  <c r="FR77" i="30" s="1"/>
  <c r="FG43" i="30"/>
  <c r="FG77" i="30" s="1"/>
  <c r="CM43" i="30"/>
  <c r="CM77" i="30" s="1"/>
  <c r="CN43" i="30"/>
  <c r="CN77" i="30" s="1"/>
  <c r="BC43" i="30"/>
  <c r="BC77" i="30" s="1"/>
  <c r="BP43" i="30"/>
  <c r="BP77" i="30" s="1"/>
  <c r="HZ43" i="30"/>
  <c r="HZ77" i="30" s="1"/>
  <c r="EW43" i="30"/>
  <c r="EW77" i="30" s="1"/>
  <c r="CL43" i="30"/>
  <c r="CL77" i="30" s="1"/>
  <c r="GN43" i="30"/>
  <c r="GN77" i="30" s="1"/>
  <c r="GK43" i="30"/>
  <c r="GK77" i="30" s="1"/>
  <c r="DE43" i="30"/>
  <c r="DE77" i="30" s="1"/>
  <c r="DI43" i="30"/>
  <c r="DI77" i="30" s="1"/>
  <c r="BD43" i="30"/>
  <c r="BD77" i="30" s="1"/>
  <c r="HM43" i="30"/>
  <c r="HM77" i="30" s="1"/>
  <c r="GH43" i="30"/>
  <c r="GH77" i="30" s="1"/>
  <c r="EK43" i="30"/>
  <c r="EK77" i="30" s="1"/>
  <c r="HL43" i="30"/>
  <c r="HL77" i="30" s="1"/>
  <c r="FA43" i="30"/>
  <c r="FA77" i="30" s="1"/>
  <c r="HJ43" i="30"/>
  <c r="HJ77" i="30" s="1"/>
  <c r="GW43" i="30"/>
  <c r="GW77" i="30" s="1"/>
  <c r="BV43" i="30"/>
  <c r="BV77" i="30" s="1"/>
  <c r="BS43" i="30"/>
  <c r="BS77" i="30" s="1"/>
  <c r="FJ43" i="30"/>
  <c r="FJ77" i="30" s="1"/>
  <c r="DL43" i="30"/>
  <c r="DL77" i="30" s="1"/>
  <c r="FH43" i="30"/>
  <c r="FH77" i="30" s="1"/>
  <c r="DK43" i="30"/>
  <c r="DK77" i="30" s="1"/>
  <c r="DB43" i="30"/>
  <c r="DB77" i="30" s="1"/>
  <c r="HI43" i="30"/>
  <c r="HI77" i="30" s="1"/>
  <c r="BF43" i="30"/>
  <c r="BF77" i="30" s="1"/>
  <c r="CU43" i="30"/>
  <c r="CU77" i="30" s="1"/>
  <c r="IS43" i="30"/>
  <c r="IS77" i="30" s="1"/>
  <c r="GD43" i="30"/>
  <c r="GD77" i="30" s="1"/>
  <c r="CC43" i="30"/>
  <c r="CC77" i="30" s="1"/>
  <c r="BW43" i="30"/>
  <c r="BW77" i="30" s="1"/>
  <c r="IN43" i="30"/>
  <c r="IN77" i="30" s="1"/>
  <c r="FI43" i="30"/>
  <c r="FI77" i="30" s="1"/>
  <c r="AX43" i="30"/>
  <c r="AX77" i="30" s="1"/>
  <c r="BM43" i="30"/>
  <c r="BM77" i="30" s="1"/>
  <c r="IR43" i="30"/>
  <c r="IR77" i="30" s="1"/>
  <c r="IV43" i="30"/>
  <c r="IV77" i="30" s="1"/>
  <c r="HN43" i="30"/>
  <c r="HN77" i="30" s="1"/>
  <c r="EV43" i="30"/>
  <c r="EV77" i="30" s="1"/>
  <c r="CP43" i="30"/>
  <c r="CP77" i="30" s="1"/>
  <c r="IA43" i="30"/>
  <c r="IA77" i="30" s="1"/>
  <c r="GT43" i="30"/>
  <c r="GT77" i="30" s="1"/>
  <c r="EP43" i="30"/>
  <c r="EP77" i="30" s="1"/>
  <c r="HV43" i="30"/>
  <c r="HV77" i="30" s="1"/>
  <c r="FL43" i="30"/>
  <c r="FL77" i="30" s="1"/>
  <c r="EN43" i="30"/>
  <c r="EN77" i="30" s="1"/>
  <c r="BI43" i="30"/>
  <c r="BI77" i="30" s="1"/>
  <c r="FY43" i="30"/>
  <c r="FY77" i="30" s="1"/>
  <c r="CK43" i="30"/>
  <c r="CK77" i="30" s="1"/>
  <c r="II43" i="30"/>
  <c r="II77" i="30" s="1"/>
  <c r="CS43" i="30"/>
  <c r="CS77" i="30" s="1"/>
  <c r="CD43" i="30"/>
  <c r="CD77" i="30" s="1"/>
  <c r="BS42" i="30"/>
  <c r="BS76" i="30" s="1"/>
  <c r="GE42" i="30"/>
  <c r="GE76" i="30" s="1"/>
  <c r="DZ42" i="30"/>
  <c r="DZ76" i="30" s="1"/>
  <c r="BP42" i="30"/>
  <c r="BP76" i="30" s="1"/>
  <c r="HV42" i="30"/>
  <c r="HV76" i="30" s="1"/>
  <c r="BJ42" i="30"/>
  <c r="BJ76" i="30" s="1"/>
  <c r="ER42" i="30"/>
  <c r="ER76" i="30" s="1"/>
  <c r="HE42" i="30"/>
  <c r="HE76" i="30" s="1"/>
  <c r="DJ42" i="30"/>
  <c r="DJ76" i="30" s="1"/>
  <c r="GG42" i="30"/>
  <c r="GG76" i="30" s="1"/>
  <c r="DS42" i="30"/>
  <c r="DS76" i="30" s="1"/>
  <c r="FU42" i="30"/>
  <c r="FU76" i="30" s="1"/>
  <c r="FM42" i="30"/>
  <c r="FM76" i="30" s="1"/>
  <c r="EW42" i="30"/>
  <c r="EW76" i="30" s="1"/>
  <c r="GL42" i="30"/>
  <c r="GL76" i="30" s="1"/>
  <c r="HP42" i="30"/>
  <c r="HP76" i="30" s="1"/>
  <c r="GY42" i="30"/>
  <c r="GY76" i="30" s="1"/>
  <c r="IA42" i="30"/>
  <c r="IA76" i="30" s="1"/>
  <c r="HJ42" i="30"/>
  <c r="HJ76" i="30" s="1"/>
  <c r="HE43" i="30"/>
  <c r="HE77" i="30" s="1"/>
  <c r="DK42" i="30"/>
  <c r="DK76" i="30" s="1"/>
  <c r="BE42" i="30"/>
  <c r="BE76" i="30" s="1"/>
  <c r="DV42" i="30"/>
  <c r="DV76" i="30" s="1"/>
  <c r="BM42" i="30"/>
  <c r="BM76" i="30" s="1"/>
  <c r="FJ42" i="30"/>
  <c r="FJ76" i="30" s="1"/>
  <c r="GS42" i="30"/>
  <c r="GS76" i="30" s="1"/>
  <c r="CY42" i="30"/>
  <c r="CY76" i="30" s="1"/>
  <c r="BG42" i="30"/>
  <c r="BG76" i="30" s="1"/>
  <c r="FS42" i="30"/>
  <c r="FS76" i="30" s="1"/>
  <c r="ES42" i="30"/>
  <c r="ES76" i="30" s="1"/>
  <c r="CP42" i="30"/>
  <c r="CP76" i="30" s="1"/>
  <c r="BB42" i="30"/>
  <c r="BB76" i="30" s="1"/>
  <c r="GV42" i="30"/>
  <c r="GV76" i="30" s="1"/>
  <c r="GC42" i="30"/>
  <c r="GC76" i="30" s="1"/>
  <c r="EC42" i="30"/>
  <c r="EC76" i="30" s="1"/>
  <c r="BI42" i="30"/>
  <c r="BI76" i="30" s="1"/>
  <c r="GF42" i="30"/>
  <c r="GF76" i="30" s="1"/>
  <c r="GD42" i="30"/>
  <c r="GD76" i="30" s="1"/>
  <c r="BX42" i="30"/>
  <c r="BX76" i="30" s="1"/>
  <c r="IG42" i="30"/>
  <c r="IG76" i="30" s="1"/>
  <c r="IL42" i="30"/>
  <c r="IL76" i="30" s="1"/>
  <c r="ED42" i="30"/>
  <c r="ED76" i="30" s="1"/>
  <c r="DU42" i="30"/>
  <c r="DU76" i="30" s="1"/>
  <c r="BA42" i="30"/>
  <c r="BA76" i="30" s="1"/>
  <c r="EQ42" i="30"/>
  <c r="EQ76" i="30" s="1"/>
  <c r="DF42" i="30"/>
  <c r="DF76" i="30" s="1"/>
  <c r="HL42" i="30"/>
  <c r="HL76" i="30" s="1"/>
  <c r="GA42" i="30"/>
  <c r="GA76" i="30" s="1"/>
  <c r="BC42" i="30"/>
  <c r="BC76" i="30" s="1"/>
  <c r="EU42" i="30"/>
  <c r="EU76" i="30" s="1"/>
  <c r="FX42" i="30"/>
  <c r="FX76" i="30" s="1"/>
  <c r="BO42" i="30"/>
  <c r="BO76" i="30" s="1"/>
  <c r="DM42" i="30"/>
  <c r="DM76" i="30" s="1"/>
  <c r="FY42" i="30"/>
  <c r="FY76" i="30" s="1"/>
  <c r="CF42" i="30"/>
  <c r="CF76" i="30" s="1"/>
  <c r="GB42" i="30"/>
  <c r="GB76" i="30" s="1"/>
  <c r="ET42" i="30"/>
  <c r="ET76" i="30" s="1"/>
  <c r="EA43" i="30"/>
  <c r="EA77" i="30" s="1"/>
  <c r="HU43" i="30"/>
  <c r="HU77" i="30" s="1"/>
  <c r="GE43" i="30"/>
  <c r="GE77" i="30" s="1"/>
  <c r="ES43" i="30"/>
  <c r="ES77" i="30" s="1"/>
  <c r="CJ43" i="30"/>
  <c r="CJ77" i="30" s="1"/>
  <c r="BN43" i="30"/>
  <c r="BN77" i="30" s="1"/>
  <c r="IC43" i="30"/>
  <c r="IC77" i="30" s="1"/>
  <c r="DR43" i="30"/>
  <c r="DR77" i="30" s="1"/>
  <c r="GS43" i="30"/>
  <c r="GS77" i="30" s="1"/>
  <c r="GB43" i="30"/>
  <c r="GB77" i="30" s="1"/>
  <c r="HW43" i="30"/>
  <c r="HW77" i="30" s="1"/>
  <c r="IG43" i="30"/>
  <c r="IG77" i="30" s="1"/>
  <c r="CX43" i="30"/>
  <c r="CX77" i="30" s="1"/>
  <c r="BO43" i="30"/>
  <c r="BO77" i="30" s="1"/>
  <c r="HQ43" i="30"/>
  <c r="HQ77" i="30" s="1"/>
  <c r="CH43" i="30"/>
  <c r="CH77" i="30" s="1"/>
  <c r="CR43" i="30"/>
  <c r="CR77" i="30" s="1"/>
  <c r="FU43" i="30"/>
  <c r="FU77" i="30" s="1"/>
  <c r="CV43" i="30"/>
  <c r="CV77" i="30" s="1"/>
  <c r="GI43" i="30"/>
  <c r="GI77" i="30" s="1"/>
  <c r="HY43" i="30"/>
  <c r="HY77" i="30" s="1"/>
  <c r="HR43" i="30"/>
  <c r="HR77" i="30" s="1"/>
  <c r="EE43" i="30"/>
  <c r="EE77" i="30" s="1"/>
  <c r="BZ43" i="30"/>
  <c r="BZ77" i="30" s="1"/>
  <c r="EI43" i="30"/>
  <c r="EI77" i="30" s="1"/>
  <c r="CZ43" i="30"/>
  <c r="CZ77" i="30" s="1"/>
  <c r="HS39" i="30"/>
  <c r="DX39" i="30"/>
  <c r="HK39" i="30"/>
  <c r="DM39" i="30"/>
  <c r="BY39" i="30"/>
  <c r="FX39" i="30"/>
  <c r="BF39" i="30"/>
  <c r="BN39" i="30"/>
  <c r="DI39" i="30"/>
  <c r="HR39" i="30"/>
  <c r="HP37" i="30"/>
  <c r="HK37" i="30"/>
  <c r="BP37" i="30"/>
  <c r="IQ37" i="30"/>
  <c r="GO37" i="30"/>
  <c r="HD37" i="30"/>
  <c r="ER37" i="30"/>
  <c r="GN37" i="30"/>
  <c r="DD37" i="30"/>
  <c r="HM37" i="30"/>
  <c r="GW37" i="30"/>
  <c r="DO37" i="30"/>
  <c r="BI37" i="30"/>
  <c r="ED37" i="30"/>
  <c r="IF37" i="30"/>
  <c r="BK37" i="30"/>
  <c r="DP37" i="30"/>
  <c r="GB37" i="30"/>
  <c r="HO37" i="30"/>
  <c r="FC37" i="30"/>
  <c r="DU37" i="30"/>
  <c r="FF37" i="30"/>
  <c r="IG37" i="30"/>
  <c r="DZ37" i="30"/>
  <c r="CK37" i="30"/>
  <c r="DW37" i="30"/>
  <c r="EM37" i="30"/>
  <c r="IL37" i="30"/>
  <c r="CB37" i="30"/>
  <c r="CZ37" i="30"/>
  <c r="GQ37" i="30"/>
  <c r="EQ37" i="30"/>
  <c r="EN37" i="30"/>
  <c r="HL37" i="30"/>
  <c r="DT37" i="30"/>
  <c r="AY37" i="30"/>
  <c r="CJ37" i="30"/>
  <c r="ES37" i="30"/>
  <c r="HS37" i="30"/>
  <c r="CA37" i="30"/>
  <c r="FX37" i="30"/>
  <c r="CV37" i="30"/>
  <c r="EA37" i="30"/>
  <c r="CG37" i="30"/>
  <c r="FB37" i="30"/>
  <c r="IR37" i="30"/>
  <c r="IP52" i="30"/>
  <c r="GA52" i="30"/>
  <c r="FU52" i="30"/>
  <c r="FQ52" i="30"/>
  <c r="IR52" i="30"/>
  <c r="CV50" i="30"/>
  <c r="CV84" i="30" s="1"/>
  <c r="H169" i="30"/>
  <c r="BB50" i="30"/>
  <c r="BB84" i="30" s="1"/>
  <c r="CY50" i="30"/>
  <c r="CY84" i="30" s="1"/>
  <c r="HW50" i="30"/>
  <c r="HW84" i="30" s="1"/>
  <c r="BK50" i="30"/>
  <c r="BK84" i="30" s="1"/>
  <c r="FG50" i="30"/>
  <c r="FG84" i="30" s="1"/>
  <c r="DL50" i="30"/>
  <c r="DL84" i="30" s="1"/>
  <c r="BZ50" i="30"/>
  <c r="BZ84" i="30" s="1"/>
  <c r="CE50" i="30"/>
  <c r="CE84" i="30" s="1"/>
  <c r="FW50" i="30"/>
  <c r="FW84" i="30" s="1"/>
  <c r="CW50" i="30"/>
  <c r="CW84" i="30" s="1"/>
  <c r="GH50" i="30"/>
  <c r="GH84" i="30" s="1"/>
  <c r="IK50" i="30"/>
  <c r="IK84" i="30" s="1"/>
  <c r="CU50" i="30"/>
  <c r="CU84" i="30" s="1"/>
  <c r="HL50" i="30"/>
  <c r="HL84" i="30" s="1"/>
  <c r="CD50" i="30"/>
  <c r="CD84" i="30" s="1"/>
  <c r="ER50" i="30"/>
  <c r="ER84" i="30" s="1"/>
  <c r="BF50" i="30"/>
  <c r="BF84" i="30" s="1"/>
  <c r="GY50" i="30"/>
  <c r="GY84" i="30" s="1"/>
  <c r="BS50" i="30"/>
  <c r="BS84" i="30" s="1"/>
  <c r="CQ50" i="30"/>
  <c r="CQ84" i="30" s="1"/>
  <c r="FT50" i="30"/>
  <c r="FT84" i="30" s="1"/>
  <c r="GS50" i="30"/>
  <c r="GS84" i="30" s="1"/>
  <c r="BT50" i="30"/>
  <c r="BT84" i="30" s="1"/>
  <c r="HA50" i="30"/>
  <c r="HA84" i="30" s="1"/>
  <c r="FZ50" i="30"/>
  <c r="FZ84" i="30" s="1"/>
  <c r="HF50" i="30"/>
  <c r="HF84" i="30" s="1"/>
  <c r="BC50" i="30"/>
  <c r="BC84" i="30" s="1"/>
  <c r="DO50" i="30"/>
  <c r="DO84" i="30" s="1"/>
  <c r="IF50" i="30"/>
  <c r="IF84" i="30" s="1"/>
  <c r="BW50" i="30"/>
  <c r="BW84" i="30" s="1"/>
  <c r="EJ50" i="30"/>
  <c r="EJ84" i="30" s="1"/>
  <c r="FP50" i="30"/>
  <c r="FP84" i="30" s="1"/>
  <c r="EM50" i="30"/>
  <c r="EM84" i="30" s="1"/>
  <c r="EC50" i="30"/>
  <c r="EC84" i="30" s="1"/>
  <c r="GJ50" i="30"/>
  <c r="GJ84" i="30" s="1"/>
  <c r="ED50" i="30"/>
  <c r="ED84" i="30" s="1"/>
  <c r="GM50" i="30"/>
  <c r="GM84" i="30" s="1"/>
  <c r="FB50" i="30"/>
  <c r="FB84" i="30" s="1"/>
  <c r="HT50" i="30"/>
  <c r="HT84" i="30" s="1"/>
  <c r="GX50" i="30"/>
  <c r="GX84" i="30" s="1"/>
  <c r="HE50" i="30"/>
  <c r="HE84" i="30" s="1"/>
  <c r="GC50" i="30"/>
  <c r="GC84" i="30" s="1"/>
  <c r="IR50" i="30"/>
  <c r="IR84" i="30" s="1"/>
  <c r="IC50" i="30"/>
  <c r="IC84" i="30" s="1"/>
  <c r="EN50" i="30"/>
  <c r="EN84" i="30" s="1"/>
  <c r="DZ50" i="30"/>
  <c r="DZ84" i="30" s="1"/>
  <c r="FF50" i="30"/>
  <c r="FF84" i="30" s="1"/>
  <c r="IO50" i="30"/>
  <c r="IO84" i="30" s="1"/>
  <c r="GT50" i="30"/>
  <c r="GT84" i="30" s="1"/>
  <c r="GB50" i="30"/>
  <c r="GB84" i="30" s="1"/>
  <c r="DU50" i="30"/>
  <c r="DU84" i="30" s="1"/>
  <c r="FK50" i="30"/>
  <c r="FK84" i="30" s="1"/>
  <c r="IS50" i="30"/>
  <c r="IS84" i="30" s="1"/>
  <c r="GI50" i="30"/>
  <c r="GI84" i="30" s="1"/>
  <c r="HQ50" i="30"/>
  <c r="HQ84" i="30" s="1"/>
  <c r="EH50" i="30"/>
  <c r="EH84" i="30" s="1"/>
  <c r="EU50" i="30"/>
  <c r="EU84" i="30" s="1"/>
  <c r="BY50" i="30"/>
  <c r="BY84" i="30" s="1"/>
  <c r="HP50" i="30"/>
  <c r="HP84" i="30" s="1"/>
  <c r="GD50" i="30"/>
  <c r="GD84" i="30" s="1"/>
  <c r="GG50" i="30"/>
  <c r="GG84" i="30" s="1"/>
  <c r="IN50" i="30"/>
  <c r="IN84" i="30" s="1"/>
  <c r="DS50" i="30"/>
  <c r="DS84" i="30" s="1"/>
  <c r="BU50" i="30"/>
  <c r="BU84" i="30" s="1"/>
  <c r="HH50" i="30"/>
  <c r="HH84" i="30" s="1"/>
  <c r="CJ50" i="30"/>
  <c r="CJ84" i="30" s="1"/>
  <c r="CM50" i="30"/>
  <c r="CM84" i="30" s="1"/>
  <c r="CN50" i="30"/>
  <c r="CN84" i="30" s="1"/>
  <c r="IG50" i="30"/>
  <c r="IG84" i="30" s="1"/>
  <c r="EB50" i="30"/>
  <c r="EB84" i="30" s="1"/>
  <c r="IB50" i="30"/>
  <c r="IB84" i="30" s="1"/>
  <c r="IU50" i="30"/>
  <c r="IU84" i="30" s="1"/>
  <c r="GP50" i="30"/>
  <c r="GP84" i="30" s="1"/>
  <c r="EE50" i="30"/>
  <c r="EE84" i="30" s="1"/>
  <c r="HM50" i="30"/>
  <c r="HM84" i="30" s="1"/>
  <c r="FQ50" i="30"/>
  <c r="FQ84" i="30" s="1"/>
  <c r="EF50" i="30"/>
  <c r="EF84" i="30" s="1"/>
  <c r="DK50" i="30"/>
  <c r="DK84" i="30" s="1"/>
  <c r="FH50" i="30"/>
  <c r="FH84" i="30" s="1"/>
  <c r="CH50" i="30"/>
  <c r="CH84" i="30" s="1"/>
  <c r="CT50" i="30"/>
  <c r="CT84" i="30" s="1"/>
  <c r="IT50" i="30"/>
  <c r="IT84" i="30" s="1"/>
  <c r="IE50" i="30"/>
  <c r="IE84" i="30" s="1"/>
  <c r="CL50" i="30"/>
  <c r="CL84" i="30" s="1"/>
  <c r="DI50" i="30"/>
  <c r="DI84" i="30" s="1"/>
  <c r="HR50" i="30"/>
  <c r="HR84" i="30" s="1"/>
  <c r="FS50" i="30"/>
  <c r="FS84" i="30" s="1"/>
  <c r="IJ50" i="30"/>
  <c r="IJ84" i="30" s="1"/>
  <c r="BV50" i="30"/>
  <c r="BV84" i="30" s="1"/>
  <c r="DJ50" i="30"/>
  <c r="DJ84" i="30" s="1"/>
  <c r="HO50" i="30"/>
  <c r="HO84" i="30" s="1"/>
  <c r="CG50" i="30"/>
  <c r="CG84" i="30" s="1"/>
  <c r="CA50" i="30"/>
  <c r="CA84" i="30" s="1"/>
  <c r="HX50" i="30"/>
  <c r="HX84" i="30" s="1"/>
  <c r="FR50" i="30"/>
  <c r="FR84" i="30" s="1"/>
  <c r="FN50" i="30"/>
  <c r="FN84" i="30" s="1"/>
  <c r="IH50" i="30"/>
  <c r="IH84" i="30" s="1"/>
  <c r="EQ50" i="30"/>
  <c r="EQ84" i="30" s="1"/>
  <c r="HY50" i="30"/>
  <c r="HY84" i="30" s="1"/>
  <c r="GE50" i="30"/>
  <c r="GE84" i="30" s="1"/>
  <c r="GA50" i="30"/>
  <c r="GA84" i="30" s="1"/>
  <c r="CK50" i="30"/>
  <c r="CK84" i="30" s="1"/>
  <c r="BG50" i="30"/>
  <c r="BG84" i="30" s="1"/>
  <c r="FC50" i="30"/>
  <c r="FC84" i="30" s="1"/>
  <c r="GN50" i="30"/>
  <c r="GN84" i="30" s="1"/>
  <c r="HN50" i="30"/>
  <c r="HN84" i="30" s="1"/>
  <c r="BX50" i="30"/>
  <c r="BX84" i="30" s="1"/>
  <c r="FL50" i="30"/>
  <c r="FL84" i="30" s="1"/>
  <c r="ES50" i="30"/>
  <c r="ES84" i="30" s="1"/>
  <c r="GU50" i="30"/>
  <c r="GU84" i="30" s="1"/>
  <c r="EY50" i="30"/>
  <c r="EY84" i="30" s="1"/>
  <c r="DA50" i="30"/>
  <c r="DA84" i="30" s="1"/>
  <c r="BH50" i="30"/>
  <c r="BH84" i="30" s="1"/>
  <c r="HD50" i="30"/>
  <c r="HD84" i="30" s="1"/>
  <c r="HS50" i="30"/>
  <c r="HS84" i="30" s="1"/>
  <c r="EP50" i="30"/>
  <c r="EP84" i="30" s="1"/>
  <c r="GK50" i="30"/>
  <c r="GK84" i="30" s="1"/>
  <c r="IL50" i="30"/>
  <c r="IL84" i="30" s="1"/>
  <c r="II50" i="30"/>
  <c r="II84" i="30" s="1"/>
  <c r="GQ50" i="30"/>
  <c r="GQ84" i="30" s="1"/>
  <c r="GW50" i="30"/>
  <c r="GW84" i="30" s="1"/>
  <c r="HC50" i="30"/>
  <c r="HC84" i="30" s="1"/>
  <c r="AX50" i="30"/>
  <c r="AX84" i="30" s="1"/>
  <c r="IM50" i="30"/>
  <c r="IM84" i="30" s="1"/>
  <c r="CS50" i="30"/>
  <c r="CS84" i="30" s="1"/>
  <c r="GL50" i="30"/>
  <c r="GL84" i="30" s="1"/>
  <c r="DN50" i="30"/>
  <c r="DN84" i="30" s="1"/>
  <c r="CP50" i="30"/>
  <c r="CP84" i="30" s="1"/>
  <c r="AZ50" i="30"/>
  <c r="AZ84" i="30" s="1"/>
  <c r="FU50" i="30"/>
  <c r="FU84" i="30" s="1"/>
  <c r="BQ50" i="30"/>
  <c r="BQ84" i="30" s="1"/>
  <c r="DY52" i="30"/>
  <c r="IM53" i="30"/>
  <c r="IM87" i="30" s="1"/>
  <c r="BI53" i="30"/>
  <c r="BI87" i="30" s="1"/>
  <c r="CN53" i="30"/>
  <c r="CN87" i="30" s="1"/>
  <c r="EH53" i="30"/>
  <c r="EH87" i="30" s="1"/>
  <c r="GO53" i="30"/>
  <c r="GO87" i="30" s="1"/>
  <c r="GU53" i="30"/>
  <c r="GU87" i="30" s="1"/>
  <c r="GE53" i="30"/>
  <c r="GE87" i="30" s="1"/>
  <c r="DB53" i="30"/>
  <c r="DB87" i="30" s="1"/>
  <c r="BO53" i="30"/>
  <c r="BO87" i="30" s="1"/>
  <c r="BA53" i="30"/>
  <c r="BA87" i="30" s="1"/>
  <c r="DD53" i="30"/>
  <c r="DD87" i="30" s="1"/>
  <c r="IH53" i="30"/>
  <c r="IH87" i="30" s="1"/>
  <c r="CK53" i="30"/>
  <c r="CK87" i="30" s="1"/>
  <c r="FW53" i="30"/>
  <c r="FW87" i="30" s="1"/>
  <c r="EV53" i="30"/>
  <c r="EV87" i="30" s="1"/>
  <c r="HG53" i="30"/>
  <c r="HG87" i="30" s="1"/>
  <c r="BU53" i="30"/>
  <c r="BU87" i="30" s="1"/>
  <c r="BM53" i="30"/>
  <c r="BM87" i="30" s="1"/>
  <c r="HF53" i="30"/>
  <c r="HF87" i="30" s="1"/>
  <c r="GR53" i="30"/>
  <c r="GR87" i="30" s="1"/>
  <c r="ET53" i="30"/>
  <c r="ET87" i="30" s="1"/>
  <c r="FJ53" i="30"/>
  <c r="FJ87" i="30" s="1"/>
  <c r="EZ53" i="30"/>
  <c r="EZ87" i="30" s="1"/>
  <c r="HI53" i="30"/>
  <c r="HI87" i="30" s="1"/>
  <c r="HE53" i="30"/>
  <c r="HE87" i="30" s="1"/>
  <c r="GJ53" i="30"/>
  <c r="GJ87" i="30" s="1"/>
  <c r="CV53" i="30"/>
  <c r="CV87" i="30" s="1"/>
  <c r="GB53" i="30"/>
  <c r="GB87" i="30" s="1"/>
  <c r="BB53" i="30"/>
  <c r="BB87" i="30" s="1"/>
  <c r="HQ53" i="30"/>
  <c r="HQ87" i="30" s="1"/>
  <c r="EJ53" i="30"/>
  <c r="EJ87" i="30" s="1"/>
  <c r="EK53" i="30"/>
  <c r="EK87" i="30" s="1"/>
  <c r="CP53" i="30"/>
  <c r="CP87" i="30" s="1"/>
  <c r="HX53" i="30"/>
  <c r="HX87" i="30" s="1"/>
  <c r="GN53" i="30"/>
  <c r="GN87" i="30" s="1"/>
  <c r="CA53" i="30"/>
  <c r="CA87" i="30" s="1"/>
  <c r="FI53" i="30"/>
  <c r="FI87" i="30" s="1"/>
  <c r="BJ53" i="30"/>
  <c r="BJ87" i="30" s="1"/>
  <c r="FZ53" i="30"/>
  <c r="FZ87" i="30" s="1"/>
  <c r="FU53" i="30"/>
  <c r="FU87" i="30" s="1"/>
  <c r="GX53" i="30"/>
  <c r="GX87" i="30" s="1"/>
  <c r="DM53" i="30"/>
  <c r="DM87" i="30" s="1"/>
  <c r="GM53" i="30"/>
  <c r="GM87" i="30" s="1"/>
  <c r="GH53" i="30"/>
  <c r="GH87" i="30" s="1"/>
  <c r="GW53" i="30"/>
  <c r="GW87" i="30" s="1"/>
  <c r="DZ53" i="30"/>
  <c r="DZ87" i="30" s="1"/>
  <c r="IN53" i="30"/>
  <c r="IN87" i="30" s="1"/>
  <c r="CL53" i="30"/>
  <c r="CL87" i="30" s="1"/>
  <c r="FH53" i="30"/>
  <c r="FH87" i="30" s="1"/>
  <c r="FF53" i="30"/>
  <c r="FF87" i="30" s="1"/>
  <c r="GF53" i="30"/>
  <c r="GF87" i="30" s="1"/>
  <c r="BK53" i="30"/>
  <c r="BK87" i="30" s="1"/>
  <c r="GY53" i="30"/>
  <c r="GY87" i="30" s="1"/>
  <c r="CW53" i="30"/>
  <c r="CW87" i="30" s="1"/>
  <c r="CE53" i="30"/>
  <c r="CE87" i="30" s="1"/>
  <c r="IJ53" i="30"/>
  <c r="IJ87" i="30" s="1"/>
  <c r="EQ53" i="30"/>
  <c r="EQ87" i="30" s="1"/>
  <c r="GL53" i="30"/>
  <c r="GL87" i="30" s="1"/>
  <c r="FQ53" i="30"/>
  <c r="FQ87" i="30" s="1"/>
  <c r="CT53" i="30"/>
  <c r="CT87" i="30" s="1"/>
  <c r="FP53" i="30"/>
  <c r="FP87" i="30" s="1"/>
  <c r="HK53" i="30"/>
  <c r="HK87" i="30" s="1"/>
  <c r="IG53" i="30"/>
  <c r="IG87" i="30" s="1"/>
  <c r="FM53" i="30"/>
  <c r="FM87" i="30" s="1"/>
  <c r="IO53" i="30"/>
  <c r="IO87" i="30" s="1"/>
  <c r="II53" i="30"/>
  <c r="II87" i="30" s="1"/>
  <c r="CX53" i="30"/>
  <c r="CX87" i="30" s="1"/>
  <c r="CS53" i="30"/>
  <c r="CS87" i="30" s="1"/>
  <c r="IF53" i="30"/>
  <c r="IF87" i="30" s="1"/>
  <c r="FY53" i="30"/>
  <c r="FY87" i="30" s="1"/>
  <c r="BP53" i="30"/>
  <c r="BP87" i="30" s="1"/>
  <c r="FR53" i="30"/>
  <c r="FR87" i="30" s="1"/>
  <c r="IU53" i="30"/>
  <c r="IU87" i="30" s="1"/>
  <c r="CH53" i="30"/>
  <c r="CH87" i="30" s="1"/>
  <c r="DO53" i="30"/>
  <c r="DO87" i="30" s="1"/>
  <c r="EI53" i="30"/>
  <c r="EI87" i="30" s="1"/>
  <c r="BG53" i="30"/>
  <c r="BG87" i="30" s="1"/>
  <c r="FL53" i="30"/>
  <c r="FL87" i="30" s="1"/>
  <c r="HV53" i="30"/>
  <c r="HV87" i="30" s="1"/>
  <c r="HA53" i="30"/>
  <c r="HA87" i="30" s="1"/>
  <c r="CJ53" i="30"/>
  <c r="CJ87" i="30" s="1"/>
  <c r="CI53" i="30"/>
  <c r="CI87" i="30" s="1"/>
  <c r="HY53" i="30"/>
  <c r="HY87" i="30" s="1"/>
  <c r="GI53" i="30"/>
  <c r="GI87" i="30" s="1"/>
  <c r="BF53" i="30"/>
  <c r="BF87" i="30" s="1"/>
  <c r="CD53" i="30"/>
  <c r="CD87" i="30" s="1"/>
  <c r="HP53" i="30"/>
  <c r="HP87" i="30" s="1"/>
  <c r="DK53" i="30"/>
  <c r="DK87" i="30" s="1"/>
  <c r="FE53" i="30"/>
  <c r="FE87" i="30" s="1"/>
  <c r="IT53" i="30"/>
  <c r="IT87" i="30" s="1"/>
  <c r="CU53" i="30"/>
  <c r="CU87" i="30" s="1"/>
  <c r="HL53" i="30"/>
  <c r="HL87" i="30" s="1"/>
  <c r="CY53" i="30"/>
  <c r="CY87" i="30" s="1"/>
  <c r="BW53" i="30"/>
  <c r="BW87" i="30" s="1"/>
  <c r="FD53" i="30"/>
  <c r="FD87" i="30" s="1"/>
  <c r="BZ53" i="30"/>
  <c r="BZ87" i="30" s="1"/>
  <c r="IK53" i="30"/>
  <c r="IK87" i="30" s="1"/>
  <c r="BL53" i="30"/>
  <c r="BL87" i="30" s="1"/>
  <c r="DI53" i="30"/>
  <c r="DI87" i="30" s="1"/>
  <c r="DV53" i="30"/>
  <c r="DV87" i="30" s="1"/>
  <c r="DE53" i="30"/>
  <c r="DE87" i="30" s="1"/>
  <c r="EL53" i="30"/>
  <c r="EL87" i="30" s="1"/>
  <c r="IR53" i="30"/>
  <c r="IR87" i="30" s="1"/>
  <c r="BR53" i="30"/>
  <c r="BR87" i="30" s="1"/>
  <c r="DF53" i="30"/>
  <c r="DF87" i="30" s="1"/>
  <c r="BC53" i="30"/>
  <c r="BC87" i="30" s="1"/>
  <c r="FS53" i="30"/>
  <c r="FS87" i="30" s="1"/>
  <c r="CF53" i="30"/>
  <c r="CF87" i="30" s="1"/>
  <c r="FG53" i="30"/>
  <c r="FG87" i="30" s="1"/>
  <c r="IQ53" i="30"/>
  <c r="IQ87" i="30" s="1"/>
  <c r="EE53" i="30"/>
  <c r="EE87" i="30" s="1"/>
  <c r="R154" i="30"/>
  <c r="EL52" i="30"/>
  <c r="FP52" i="30"/>
  <c r="IU52" i="30"/>
  <c r="BO52" i="30"/>
  <c r="AY52" i="30"/>
  <c r="EB52" i="30"/>
  <c r="CU52" i="30"/>
  <c r="GF52" i="30"/>
  <c r="EO52" i="30"/>
  <c r="H171" i="30"/>
  <c r="CO52" i="30"/>
  <c r="DL52" i="30"/>
  <c r="FC52" i="30"/>
  <c r="CA52" i="30"/>
  <c r="IH52" i="30"/>
  <c r="HT52" i="30"/>
  <c r="DO52" i="30"/>
  <c r="HY52" i="30"/>
  <c r="HG52" i="30"/>
  <c r="DS52" i="30"/>
  <c r="GN52" i="30"/>
  <c r="FB52" i="30"/>
  <c r="DV52" i="30"/>
  <c r="CL52" i="30"/>
  <c r="HQ52" i="30"/>
  <c r="HL52" i="30"/>
  <c r="FO52" i="30"/>
  <c r="BB52" i="30"/>
  <c r="AZ52" i="30"/>
  <c r="CC52" i="30"/>
  <c r="CV52" i="30"/>
  <c r="DR52" i="30"/>
  <c r="GC52" i="30"/>
  <c r="FI52" i="30"/>
  <c r="CQ52" i="30"/>
  <c r="FH52" i="30"/>
  <c r="HI52" i="30"/>
  <c r="IF52" i="30"/>
  <c r="CJ52" i="30"/>
  <c r="BC52" i="30"/>
  <c r="DJ52" i="30"/>
  <c r="HS52" i="30"/>
  <c r="EJ52" i="30"/>
  <c r="GQ52" i="30"/>
  <c r="EK52" i="30"/>
  <c r="FX52" i="30"/>
  <c r="HO52" i="30"/>
  <c r="BG52" i="30"/>
  <c r="CT52" i="30"/>
  <c r="FD52" i="30"/>
  <c r="BQ52" i="30"/>
  <c r="IA52" i="30"/>
  <c r="CY52" i="30"/>
  <c r="EU52" i="30"/>
  <c r="DI52" i="30"/>
  <c r="FA52" i="30"/>
  <c r="CH52" i="30"/>
  <c r="IT52" i="30"/>
  <c r="GW52" i="30"/>
  <c r="FY52" i="30"/>
  <c r="GD52" i="30"/>
  <c r="IQ52" i="30"/>
  <c r="IN52" i="30"/>
  <c r="BP52" i="30"/>
  <c r="GU52" i="30"/>
  <c r="CF52" i="30"/>
  <c r="FG52" i="30"/>
  <c r="CB52" i="30"/>
  <c r="DG52" i="30"/>
  <c r="IB52" i="30"/>
  <c r="BH52" i="30"/>
  <c r="EX52" i="30"/>
  <c r="EM52" i="30"/>
  <c r="BS52" i="30"/>
  <c r="CS52" i="30"/>
  <c r="DN52" i="30"/>
  <c r="BE52" i="30"/>
  <c r="GI52" i="30"/>
  <c r="GK52" i="30"/>
  <c r="GP52" i="30"/>
  <c r="HB52" i="30"/>
  <c r="BW52" i="30"/>
  <c r="IG52" i="30"/>
  <c r="EQ52" i="30"/>
  <c r="FE52" i="30"/>
  <c r="BZ52" i="30"/>
  <c r="CG52" i="30"/>
  <c r="EV52" i="30"/>
  <c r="ED52" i="30"/>
  <c r="EE52" i="30"/>
  <c r="FL52" i="30"/>
  <c r="FF52" i="30"/>
  <c r="FK52" i="30"/>
  <c r="FV52" i="30"/>
  <c r="DT52" i="30"/>
  <c r="GM52" i="30"/>
  <c r="FM52" i="30"/>
  <c r="DU52" i="30"/>
  <c r="DC52" i="30"/>
  <c r="FW52" i="30"/>
  <c r="GV52" i="30"/>
  <c r="ES52" i="30"/>
  <c r="EF52" i="30"/>
  <c r="EW52" i="30"/>
  <c r="HC52" i="30"/>
  <c r="HE52" i="30"/>
  <c r="GO52" i="30"/>
  <c r="CM52" i="30"/>
  <c r="FN52" i="30"/>
  <c r="BR52" i="30"/>
  <c r="CX52" i="30"/>
  <c r="HP52" i="30"/>
  <c r="BK52" i="30"/>
  <c r="GB52" i="30"/>
  <c r="CI52" i="30"/>
  <c r="IO52" i="30"/>
  <c r="FZ52" i="30"/>
  <c r="DP52" i="30"/>
  <c r="CZ52" i="30"/>
  <c r="BM52" i="30"/>
  <c r="HF52" i="30"/>
  <c r="DX52" i="30"/>
  <c r="HW52" i="30"/>
  <c r="BI52" i="30"/>
  <c r="ID52" i="30"/>
  <c r="DF52" i="30"/>
  <c r="IM52" i="30"/>
  <c r="DW52" i="30"/>
  <c r="IC52" i="30"/>
  <c r="HX52" i="30"/>
  <c r="BU52" i="30"/>
  <c r="FS52" i="30"/>
  <c r="BL52" i="30"/>
  <c r="GT52" i="30"/>
  <c r="EY52" i="30"/>
  <c r="HA52" i="30"/>
  <c r="CW52" i="30"/>
  <c r="EP52" i="30"/>
  <c r="ER52" i="30"/>
  <c r="BJ52" i="30"/>
  <c r="EC52" i="30"/>
  <c r="HZ52" i="30"/>
  <c r="GG52" i="30"/>
  <c r="FR52" i="30"/>
  <c r="BV52" i="30"/>
  <c r="AX52" i="30"/>
  <c r="CE52" i="30"/>
  <c r="HM52" i="30"/>
  <c r="DA52" i="30"/>
  <c r="HD52" i="30"/>
  <c r="EH52" i="30"/>
  <c r="CK52" i="30"/>
  <c r="BF52" i="30"/>
  <c r="DE52" i="30"/>
  <c r="GH52" i="30"/>
  <c r="EI52" i="30"/>
  <c r="BN52" i="30"/>
  <c r="FJ52" i="30"/>
  <c r="GX52" i="30"/>
  <c r="IJ52" i="30"/>
  <c r="GS52" i="30"/>
  <c r="DZ52" i="30"/>
  <c r="CN52" i="30"/>
  <c r="HR52" i="30"/>
  <c r="DD52" i="30"/>
  <c r="GE52" i="30"/>
  <c r="DQ52" i="30"/>
  <c r="HH52" i="30"/>
  <c r="BY52" i="30"/>
  <c r="IL52" i="30"/>
  <c r="IV52" i="30"/>
  <c r="DK52" i="30"/>
  <c r="GJ52" i="30"/>
  <c r="CP52" i="30"/>
  <c r="GR52" i="30"/>
  <c r="HU52" i="30"/>
  <c r="HV52" i="30"/>
  <c r="BA52" i="30"/>
  <c r="DB52" i="30"/>
  <c r="ET52" i="30"/>
  <c r="HN52" i="30"/>
  <c r="II52" i="30"/>
  <c r="EG52" i="30"/>
  <c r="GL52" i="30"/>
  <c r="BT52" i="30"/>
  <c r="IE52" i="30"/>
  <c r="IK52" i="30"/>
  <c r="HK52" i="30"/>
  <c r="BD52" i="30"/>
  <c r="DM52" i="30"/>
  <c r="DH52" i="30"/>
  <c r="GZ52" i="30"/>
  <c r="GY52" i="30"/>
  <c r="CD52" i="30"/>
  <c r="EN52" i="30"/>
  <c r="HJ52" i="30"/>
  <c r="IS52" i="30"/>
  <c r="EA52" i="30"/>
  <c r="EZ52" i="30"/>
  <c r="BX52" i="30"/>
  <c r="CR52" i="30"/>
  <c r="BV53" i="30"/>
  <c r="BV87" i="30" s="1"/>
  <c r="DU53" i="30"/>
  <c r="DU87" i="30" s="1"/>
  <c r="DX53" i="30"/>
  <c r="DX87" i="30" s="1"/>
  <c r="DQ53" i="30"/>
  <c r="DQ87" i="30" s="1"/>
  <c r="GS53" i="30"/>
  <c r="GS87" i="30" s="1"/>
  <c r="FA53" i="30"/>
  <c r="FA87" i="30" s="1"/>
  <c r="GP53" i="30"/>
  <c r="GP87" i="30" s="1"/>
  <c r="FV53" i="30"/>
  <c r="FV87" i="30" s="1"/>
  <c r="HT53" i="30"/>
  <c r="HT87" i="30" s="1"/>
  <c r="GT53" i="30"/>
  <c r="GT87" i="30" s="1"/>
  <c r="CZ53" i="30"/>
  <c r="CZ87" i="30" s="1"/>
  <c r="GC53" i="30"/>
  <c r="GC87" i="30" s="1"/>
  <c r="ED53" i="30"/>
  <c r="ED87" i="30" s="1"/>
  <c r="CB53" i="30"/>
  <c r="CB87" i="30" s="1"/>
  <c r="HD53" i="30"/>
  <c r="HD87" i="30" s="1"/>
  <c r="IC53" i="30"/>
  <c r="IC87" i="30" s="1"/>
  <c r="CC53" i="30"/>
  <c r="CC87" i="30" s="1"/>
  <c r="FB53" i="30"/>
  <c r="FB87" i="30" s="1"/>
  <c r="BT53" i="30"/>
  <c r="BT87" i="30" s="1"/>
  <c r="EG53" i="30"/>
  <c r="EG87" i="30" s="1"/>
  <c r="IA53" i="30"/>
  <c r="IA87" i="30" s="1"/>
  <c r="EX53" i="30"/>
  <c r="EX87" i="30" s="1"/>
  <c r="GQ53" i="30"/>
  <c r="GQ87" i="30" s="1"/>
  <c r="EF53" i="30"/>
  <c r="EF87" i="30" s="1"/>
  <c r="FO53" i="30"/>
  <c r="FO87" i="30" s="1"/>
  <c r="GK53" i="30"/>
  <c r="GK87" i="30" s="1"/>
  <c r="EP53" i="30"/>
  <c r="EP87" i="30" s="1"/>
  <c r="HO53" i="30"/>
  <c r="HO87" i="30" s="1"/>
  <c r="HS53" i="30"/>
  <c r="HS87" i="30" s="1"/>
  <c r="AX53" i="30"/>
  <c r="AX87" i="30" s="1"/>
  <c r="ES53" i="30"/>
  <c r="ES87" i="30" s="1"/>
  <c r="BH53" i="30"/>
  <c r="BH87" i="30" s="1"/>
  <c r="HB53" i="30"/>
  <c r="HB87" i="30" s="1"/>
  <c r="GO45" i="30"/>
  <c r="ER45" i="30"/>
  <c r="BL45" i="30"/>
  <c r="II45" i="30"/>
  <c r="IJ45" i="30"/>
  <c r="AY45" i="30"/>
  <c r="DQ45" i="30"/>
  <c r="HB45" i="30"/>
  <c r="GW45" i="30"/>
  <c r="GT45" i="30"/>
  <c r="ES45" i="30"/>
  <c r="EN45" i="30"/>
  <c r="EK45" i="30"/>
  <c r="EV45" i="30"/>
  <c r="HR45" i="30"/>
  <c r="IT45" i="30"/>
  <c r="IL45" i="30"/>
  <c r="CR45" i="30"/>
  <c r="IN45" i="30"/>
  <c r="IB45" i="30"/>
  <c r="HE45" i="30"/>
  <c r="GF45" i="30"/>
  <c r="FN45" i="30"/>
  <c r="FM45" i="30"/>
  <c r="HS45" i="30"/>
  <c r="HU45" i="30"/>
  <c r="EP45" i="30"/>
  <c r="GE45" i="30"/>
  <c r="IP45" i="30"/>
  <c r="CW45" i="30"/>
  <c r="DR45" i="30"/>
  <c r="BN45" i="30"/>
  <c r="IR45" i="30"/>
  <c r="FF45" i="30"/>
  <c r="DE45" i="30"/>
  <c r="ID45" i="30"/>
  <c r="CT45" i="30"/>
  <c r="EF45" i="30"/>
  <c r="BD45" i="30"/>
  <c r="ER39" i="30"/>
  <c r="FT39" i="30"/>
  <c r="BG39" i="30"/>
  <c r="HO39" i="30"/>
  <c r="HP39" i="30"/>
  <c r="EN39" i="30"/>
  <c r="GU39" i="30"/>
  <c r="GW39" i="30"/>
  <c r="IO39" i="30"/>
  <c r="EL39" i="30"/>
  <c r="CK39" i="30"/>
  <c r="FF39" i="30"/>
  <c r="DK39" i="30"/>
  <c r="CW39" i="30"/>
  <c r="GH39" i="30"/>
  <c r="GI39" i="30"/>
  <c r="CU39" i="30"/>
  <c r="FC39" i="30"/>
  <c r="CH39" i="30"/>
  <c r="GV39" i="30"/>
  <c r="DN39" i="30"/>
  <c r="GO39" i="30"/>
  <c r="HT39" i="30"/>
  <c r="EZ39" i="30"/>
  <c r="CL39" i="30"/>
  <c r="CP39" i="30"/>
  <c r="BC39" i="30"/>
  <c r="FB39" i="30"/>
  <c r="FO39" i="30"/>
  <c r="GG39" i="30"/>
  <c r="HU39" i="30"/>
  <c r="HY39" i="30"/>
  <c r="ES39" i="30"/>
  <c r="BO39" i="30"/>
  <c r="BP39" i="30"/>
  <c r="DD39" i="30"/>
  <c r="BA39" i="30"/>
  <c r="DW39" i="30"/>
  <c r="CE39" i="30"/>
  <c r="EU53" i="30"/>
  <c r="EU87" i="30" s="1"/>
  <c r="FT53" i="30"/>
  <c r="FT87" i="30" s="1"/>
  <c r="BD53" i="30"/>
  <c r="BD87" i="30" s="1"/>
  <c r="CR53" i="30"/>
  <c r="CR87" i="30" s="1"/>
  <c r="FK53" i="30"/>
  <c r="FK87" i="30" s="1"/>
  <c r="GG53" i="30"/>
  <c r="GG87" i="30" s="1"/>
  <c r="CM53" i="30"/>
  <c r="CM87" i="30" s="1"/>
  <c r="BY53" i="30"/>
  <c r="BY87" i="30" s="1"/>
  <c r="BS53" i="30"/>
  <c r="BS87" i="30" s="1"/>
  <c r="HW53" i="30"/>
  <c r="HW87" i="30" s="1"/>
  <c r="IL53" i="30"/>
  <c r="IL87" i="30" s="1"/>
  <c r="DJ53" i="30"/>
  <c r="DJ87" i="30" s="1"/>
  <c r="DR46" i="30"/>
  <c r="EN46" i="30"/>
  <c r="CO46" i="30"/>
  <c r="IS46" i="30"/>
  <c r="II46" i="30"/>
  <c r="CI46" i="30"/>
  <c r="FM46" i="30"/>
  <c r="DZ46" i="30"/>
  <c r="EY46" i="30"/>
  <c r="GC46" i="30"/>
  <c r="CS46" i="30"/>
  <c r="DH46" i="30"/>
  <c r="BE46" i="30"/>
  <c r="IO46" i="30"/>
  <c r="EV46" i="30"/>
  <c r="CN46" i="30"/>
  <c r="IH46" i="30"/>
  <c r="HE46" i="30"/>
  <c r="HA46" i="30"/>
  <c r="EX46" i="30"/>
  <c r="EA46" i="30"/>
  <c r="DQ46" i="30"/>
  <c r="FF46" i="30"/>
  <c r="BT46" i="30"/>
  <c r="HM46" i="30"/>
  <c r="GR46" i="30"/>
  <c r="H165" i="30"/>
  <c r="GL46" i="30"/>
  <c r="FO46" i="30"/>
  <c r="EE46" i="30"/>
  <c r="BA46" i="30"/>
  <c r="IU46" i="30"/>
  <c r="HW46" i="30"/>
  <c r="FX46" i="30"/>
  <c r="EM46" i="30"/>
  <c r="FK46" i="30"/>
  <c r="DB46" i="30"/>
  <c r="GK46" i="30"/>
  <c r="ET46" i="30"/>
  <c r="EJ46" i="30"/>
  <c r="IA46" i="30"/>
  <c r="DS46" i="30"/>
  <c r="DI46" i="30"/>
  <c r="BJ46" i="30"/>
  <c r="AZ46" i="30"/>
  <c r="IC46" i="30"/>
  <c r="FS46" i="30"/>
  <c r="DP46" i="30"/>
  <c r="DV46" i="30"/>
  <c r="HS46" i="30"/>
  <c r="FY46" i="30"/>
  <c r="FH46" i="30"/>
  <c r="DC46" i="30"/>
  <c r="HD46" i="30"/>
  <c r="FA46" i="30"/>
  <c r="CG46" i="30"/>
  <c r="CM46" i="30"/>
  <c r="BL46" i="30"/>
  <c r="HN46" i="30"/>
  <c r="GT46" i="30"/>
  <c r="FW46" i="30"/>
  <c r="HR46" i="30"/>
  <c r="CR46" i="30"/>
  <c r="CT46" i="30"/>
  <c r="IT46" i="30"/>
  <c r="DN46" i="30"/>
  <c r="BR46" i="30"/>
  <c r="HV46" i="30"/>
  <c r="GS46" i="30"/>
  <c r="BH46" i="30"/>
  <c r="EC46" i="30"/>
  <c r="BK46" i="30"/>
  <c r="HY46" i="30"/>
  <c r="GU46" i="30"/>
  <c r="GO46" i="30"/>
  <c r="DL46" i="30"/>
  <c r="BP46" i="30"/>
  <c r="BN46" i="30"/>
  <c r="FJ46" i="30"/>
  <c r="HC46" i="30"/>
  <c r="FU46" i="30"/>
  <c r="ED46" i="30"/>
  <c r="GV46" i="30"/>
  <c r="BW46" i="30"/>
  <c r="DA46" i="30"/>
  <c r="CV46" i="30"/>
  <c r="IK46" i="30"/>
  <c r="IM46" i="30"/>
  <c r="AX46" i="30"/>
  <c r="IV46" i="30"/>
  <c r="HP46" i="30"/>
  <c r="GH46" i="30"/>
  <c r="ES46" i="30"/>
  <c r="EW46" i="30"/>
  <c r="DG46" i="30"/>
  <c r="CU46" i="30"/>
  <c r="DO46" i="30"/>
  <c r="HT46" i="30"/>
  <c r="GP46" i="30"/>
  <c r="IJ46" i="30"/>
  <c r="GB46" i="30"/>
  <c r="FI46" i="30"/>
  <c r="FP46" i="30"/>
  <c r="CY46" i="30"/>
  <c r="DY46" i="30"/>
  <c r="BY46" i="30"/>
  <c r="CW46" i="30"/>
  <c r="IB46" i="30"/>
  <c r="GI46" i="30"/>
  <c r="EF46" i="30"/>
  <c r="CA46" i="30"/>
  <c r="DU46" i="30"/>
  <c r="IF46" i="30"/>
  <c r="FT46" i="30"/>
  <c r="EH46" i="30"/>
  <c r="DK46" i="30"/>
  <c r="GA46" i="30"/>
  <c r="BD46" i="30"/>
  <c r="IQ46" i="30"/>
  <c r="GW46" i="30"/>
  <c r="EB46" i="30"/>
  <c r="EP46" i="30"/>
  <c r="FV46" i="30"/>
  <c r="FE46" i="30"/>
  <c r="EO46" i="30"/>
  <c r="DX46" i="30"/>
  <c r="BM46" i="30"/>
  <c r="HO46" i="30"/>
  <c r="CZ46" i="30"/>
  <c r="DE46" i="30"/>
  <c r="BQ46" i="30"/>
  <c r="IL46" i="30"/>
  <c r="GZ46" i="30"/>
  <c r="FL46" i="30"/>
  <c r="EQ46" i="30"/>
  <c r="EG46" i="30"/>
  <c r="CF46" i="30"/>
  <c r="DT46" i="30"/>
  <c r="IP46" i="30"/>
  <c r="HH46" i="30"/>
  <c r="HU46" i="30"/>
  <c r="FG46" i="30"/>
  <c r="CK46" i="30"/>
  <c r="BI46" i="30"/>
  <c r="HG46" i="30"/>
  <c r="FB46" i="30"/>
  <c r="ER46" i="30"/>
  <c r="CQ46" i="30"/>
  <c r="BV46" i="30"/>
  <c r="BZ46" i="30"/>
  <c r="HZ46" i="30"/>
  <c r="CJ46" i="30"/>
  <c r="FQ46" i="30"/>
  <c r="EZ46" i="30"/>
  <c r="DJ46" i="30"/>
  <c r="GX45" i="30"/>
  <c r="DJ45" i="30"/>
  <c r="BK45" i="30"/>
  <c r="CV45" i="30"/>
  <c r="CB45" i="30"/>
  <c r="GP45" i="30"/>
  <c r="GA45" i="30"/>
  <c r="ED45" i="30"/>
  <c r="GB45" i="30"/>
  <c r="DV45" i="30"/>
  <c r="FT45" i="30"/>
  <c r="DD45" i="30"/>
  <c r="FW45" i="30"/>
  <c r="FL45" i="30"/>
  <c r="HK45" i="30"/>
  <c r="GI45" i="30"/>
  <c r="CQ45" i="30"/>
  <c r="EE45" i="30"/>
  <c r="IG45" i="30"/>
  <c r="FK45" i="30"/>
  <c r="GZ45" i="30"/>
  <c r="CJ45" i="30"/>
  <c r="DY45" i="30"/>
  <c r="CH45" i="30"/>
  <c r="CY45" i="30"/>
  <c r="EI45" i="30"/>
  <c r="IU45" i="30"/>
  <c r="DP45" i="30"/>
  <c r="EQ45" i="30"/>
  <c r="HP45" i="30"/>
  <c r="IO45" i="30"/>
  <c r="FA45" i="30"/>
  <c r="EL45" i="30"/>
  <c r="IS45" i="30"/>
  <c r="BZ45" i="30"/>
  <c r="IV45" i="30"/>
  <c r="H164" i="30"/>
  <c r="HZ45" i="30"/>
  <c r="CU45" i="30"/>
  <c r="IM45" i="30"/>
  <c r="FH45" i="30"/>
  <c r="FY45" i="30"/>
  <c r="IQ45" i="30"/>
  <c r="CD45" i="30"/>
  <c r="BW45" i="30"/>
  <c r="DI45" i="30"/>
  <c r="CM45" i="30"/>
  <c r="HC45" i="30"/>
  <c r="BI45" i="30"/>
  <c r="FX45" i="30"/>
  <c r="HL45" i="30"/>
  <c r="BM45" i="30"/>
  <c r="BR45" i="30"/>
  <c r="CI45" i="30"/>
  <c r="IF45" i="30"/>
  <c r="DC45" i="30"/>
  <c r="BP45" i="30"/>
  <c r="EX45" i="30"/>
  <c r="HQ45" i="30"/>
  <c r="FG45" i="30"/>
  <c r="GN45" i="30"/>
  <c r="CA45" i="30"/>
  <c r="BF45" i="30"/>
  <c r="HX45" i="30"/>
  <c r="AX45" i="30"/>
  <c r="BG45" i="30"/>
  <c r="EU45" i="30"/>
  <c r="FC45" i="30"/>
  <c r="CZ45" i="30"/>
  <c r="BE45" i="30"/>
  <c r="DK45" i="30"/>
  <c r="EH45" i="30"/>
  <c r="CP45" i="30"/>
  <c r="IK45" i="30"/>
  <c r="CC45" i="30"/>
  <c r="CL45" i="30"/>
  <c r="GQ45" i="30"/>
  <c r="EZ45" i="30"/>
  <c r="GS45" i="30"/>
  <c r="DO45" i="30"/>
  <c r="FZ45" i="30"/>
  <c r="DA45" i="30"/>
  <c r="EA45" i="30"/>
  <c r="GY45" i="30"/>
  <c r="FP45" i="30"/>
  <c r="DS45" i="30"/>
  <c r="EM45" i="30"/>
  <c r="BT45" i="30"/>
  <c r="EO45" i="30"/>
  <c r="FV45" i="30"/>
  <c r="EJ45" i="30"/>
  <c r="DH45" i="30"/>
  <c r="DT45" i="30"/>
  <c r="CF45" i="30"/>
  <c r="IA45" i="30"/>
  <c r="DZ45" i="30"/>
  <c r="IH45" i="30"/>
  <c r="HH45" i="30"/>
  <c r="BV45" i="30"/>
  <c r="IE45" i="30"/>
  <c r="BU45" i="30"/>
  <c r="HJ45" i="30"/>
  <c r="HW45" i="30"/>
  <c r="GU45" i="30"/>
  <c r="HO45" i="30"/>
  <c r="CG45" i="30"/>
  <c r="FR45" i="30"/>
  <c r="FD45" i="30"/>
  <c r="EC45" i="30"/>
  <c r="AZ45" i="30"/>
  <c r="EG45" i="30"/>
  <c r="HI45" i="30"/>
  <c r="DU45" i="30"/>
  <c r="EB45" i="30"/>
  <c r="DL45" i="30"/>
  <c r="DX45" i="30"/>
  <c r="BH45" i="30"/>
  <c r="GG45" i="30"/>
  <c r="HY45" i="30"/>
  <c r="FS45" i="30"/>
  <c r="GL45" i="30"/>
  <c r="HT45" i="30"/>
  <c r="EY45" i="30"/>
  <c r="CX45" i="30"/>
  <c r="GD45" i="30"/>
  <c r="HA45" i="30"/>
  <c r="GH45" i="30"/>
  <c r="FU45" i="30"/>
  <c r="BS45" i="30"/>
  <c r="BQ45" i="30"/>
  <c r="HV45" i="30"/>
  <c r="CN45" i="30"/>
  <c r="FQ45" i="30"/>
  <c r="GC45" i="30"/>
  <c r="HG45" i="30"/>
  <c r="DM45" i="30"/>
  <c r="DN45" i="30"/>
  <c r="CE45" i="30"/>
  <c r="HD45" i="30"/>
  <c r="BC45" i="30"/>
  <c r="DF45" i="30"/>
  <c r="BY45" i="30"/>
  <c r="DG45" i="30"/>
  <c r="GR45" i="30"/>
  <c r="HF45" i="30"/>
  <c r="BA45" i="30"/>
  <c r="FI45" i="30"/>
  <c r="GM45" i="30"/>
  <c r="FB45" i="30"/>
  <c r="CK45" i="30"/>
  <c r="HN45" i="30"/>
  <c r="GJ45" i="30"/>
  <c r="BO45" i="30"/>
  <c r="CO45" i="30"/>
  <c r="BB45" i="30"/>
  <c r="CD39" i="30"/>
  <c r="DR39" i="30"/>
  <c r="GJ39" i="30"/>
  <c r="IB39" i="30"/>
  <c r="BS39" i="30"/>
  <c r="FE39" i="30"/>
  <c r="FD39" i="30"/>
  <c r="IM39" i="30"/>
  <c r="FL39" i="30"/>
  <c r="HJ39" i="30"/>
  <c r="CR39" i="30"/>
  <c r="FS39" i="30"/>
  <c r="CJ39" i="30"/>
  <c r="BR39" i="30"/>
  <c r="IA39" i="30"/>
  <c r="HG39" i="30"/>
  <c r="DL39" i="30"/>
  <c r="FM39" i="30"/>
  <c r="DJ39" i="30"/>
  <c r="FZ39" i="30"/>
  <c r="GS39" i="30"/>
  <c r="EE39" i="30"/>
  <c r="IP39" i="30"/>
  <c r="BX39" i="30"/>
  <c r="IK39" i="30"/>
  <c r="IF39" i="30"/>
  <c r="FP39" i="30"/>
  <c r="GQ39" i="30"/>
  <c r="GE39" i="30"/>
  <c r="CF39" i="30"/>
  <c r="CT39" i="30"/>
  <c r="BI39" i="30"/>
  <c r="FG39" i="30"/>
  <c r="DE39" i="30"/>
  <c r="BL39" i="30"/>
  <c r="DQ39" i="30"/>
  <c r="EF39" i="30"/>
  <c r="HA39" i="30"/>
  <c r="GM39" i="30"/>
  <c r="IU39" i="30"/>
  <c r="FY39" i="30"/>
  <c r="HD39" i="30"/>
  <c r="GR39" i="30"/>
  <c r="FV39" i="30"/>
  <c r="GB39" i="30"/>
  <c r="CG39" i="30"/>
  <c r="FI39" i="30"/>
  <c r="DC39" i="30"/>
  <c r="DS39" i="30"/>
  <c r="BD39" i="30"/>
  <c r="GA39" i="30"/>
  <c r="DV39" i="30"/>
  <c r="DH39" i="30"/>
  <c r="IV39" i="30"/>
  <c r="HW39" i="30"/>
  <c r="BE39" i="30"/>
  <c r="EX39" i="30"/>
  <c r="HF39" i="30"/>
  <c r="HI39" i="30"/>
  <c r="HN39" i="30"/>
  <c r="BZ39" i="30"/>
  <c r="GK39" i="30"/>
  <c r="BV39" i="30"/>
  <c r="DA39" i="30"/>
  <c r="GC39" i="30"/>
  <c r="BB39" i="30"/>
  <c r="CO39" i="30"/>
  <c r="HZ39" i="30"/>
  <c r="GT39" i="30"/>
  <c r="IL39" i="30"/>
  <c r="DB39" i="30"/>
  <c r="IJ39" i="30"/>
  <c r="CQ39" i="30"/>
  <c r="FW39" i="30"/>
  <c r="BU39" i="30"/>
  <c r="DG39" i="30"/>
  <c r="EY39" i="30"/>
  <c r="EG39" i="30"/>
  <c r="GZ39" i="30"/>
  <c r="EQ39" i="30"/>
  <c r="II39" i="30"/>
  <c r="AY39" i="30"/>
  <c r="FK39" i="30"/>
  <c r="CZ39" i="30"/>
  <c r="DO39" i="30"/>
  <c r="ET39" i="30"/>
  <c r="AZ39" i="30"/>
  <c r="HM39" i="30"/>
  <c r="EH39" i="30"/>
  <c r="AX39" i="30"/>
  <c r="DF39" i="30"/>
  <c r="EP39" i="30"/>
  <c r="CI39" i="30"/>
  <c r="HC39" i="30"/>
  <c r="DT39" i="30"/>
  <c r="EK39" i="30"/>
  <c r="DP39" i="30"/>
  <c r="HE39" i="30"/>
  <c r="HL39" i="30"/>
  <c r="FU39" i="30"/>
  <c r="HX39" i="30"/>
  <c r="GX39" i="30"/>
  <c r="EM39" i="30"/>
  <c r="EO39" i="30"/>
  <c r="EC39" i="30"/>
  <c r="CY39" i="30"/>
  <c r="IC39" i="30"/>
  <c r="ED39" i="30"/>
  <c r="DY39" i="30"/>
  <c r="IT39" i="30"/>
  <c r="HH39" i="30"/>
  <c r="CC39" i="30"/>
  <c r="FN39" i="30"/>
  <c r="FA39" i="30"/>
  <c r="CS39" i="30"/>
  <c r="BW39" i="30"/>
  <c r="GL39" i="30"/>
  <c r="BK39" i="30"/>
  <c r="CV39" i="30"/>
  <c r="GF39" i="30"/>
  <c r="DZ39" i="30"/>
  <c r="IH39" i="30"/>
  <c r="CB39" i="30"/>
  <c r="IS39" i="30"/>
  <c r="CX39" i="30"/>
  <c r="HB39" i="30"/>
  <c r="IE39" i="30"/>
  <c r="EI39" i="30"/>
  <c r="CA39" i="30"/>
  <c r="GD39" i="30"/>
  <c r="HV39" i="30"/>
  <c r="IG39" i="30"/>
  <c r="GN39" i="30"/>
  <c r="ID39" i="30"/>
  <c r="IN39" i="30"/>
  <c r="CN39" i="30"/>
  <c r="IR39" i="30"/>
  <c r="H158" i="30"/>
  <c r="GY39" i="30"/>
  <c r="EA39" i="30"/>
  <c r="FQ39" i="30"/>
  <c r="EU39" i="30"/>
  <c r="BM39" i="30"/>
  <c r="FR39" i="30"/>
  <c r="BQ39" i="30"/>
  <c r="EJ39" i="30"/>
  <c r="EB39" i="30"/>
  <c r="EW39" i="30"/>
  <c r="BH39" i="30"/>
  <c r="DU39" i="30"/>
  <c r="HQ39" i="30"/>
  <c r="CM39" i="30"/>
  <c r="BJ39" i="30"/>
  <c r="GP39" i="30"/>
  <c r="IQ39" i="30"/>
  <c r="R153" i="30"/>
  <c r="II37" i="30"/>
  <c r="FQ37" i="30"/>
  <c r="HE37" i="30"/>
  <c r="HN37" i="30"/>
  <c r="BS37" i="30"/>
  <c r="HH37" i="30"/>
  <c r="GZ37" i="30"/>
  <c r="EU37" i="30"/>
  <c r="HX37" i="30"/>
  <c r="DI37" i="30"/>
  <c r="IJ37" i="30"/>
  <c r="EL37" i="30"/>
  <c r="FI37" i="30"/>
  <c r="DS37" i="30"/>
  <c r="EW37" i="30"/>
  <c r="HU37" i="30"/>
  <c r="DC37" i="30"/>
  <c r="CH37" i="30"/>
  <c r="FJ37" i="30"/>
  <c r="HG37" i="30"/>
  <c r="GF37" i="30"/>
  <c r="EC37" i="30"/>
  <c r="HF37" i="30"/>
  <c r="BD37" i="30"/>
  <c r="IE37" i="30"/>
  <c r="GJ37" i="30"/>
  <c r="ET37" i="30"/>
  <c r="HQ37" i="30"/>
  <c r="BV37" i="30"/>
  <c r="EP37" i="30"/>
  <c r="IH37" i="30"/>
  <c r="EE37" i="30"/>
  <c r="CS37" i="30"/>
  <c r="GX37" i="30"/>
  <c r="EX37" i="30"/>
  <c r="BM37" i="30"/>
  <c r="EZ37" i="30"/>
  <c r="BB37" i="30"/>
  <c r="FO37" i="30"/>
  <c r="BL37" i="30"/>
  <c r="EH37" i="30"/>
  <c r="GD37" i="30"/>
  <c r="GG37" i="30"/>
  <c r="DG37" i="30"/>
  <c r="BF37" i="30"/>
  <c r="DH37" i="30"/>
  <c r="R143" i="30"/>
  <c r="HV37" i="30"/>
  <c r="BT37" i="30"/>
  <c r="CU37" i="30"/>
  <c r="DB37" i="30"/>
  <c r="BC37" i="30"/>
  <c r="EO37" i="30"/>
  <c r="DF37" i="30"/>
  <c r="GL37" i="30"/>
  <c r="CN37" i="30"/>
  <c r="BO37" i="30"/>
  <c r="CE37" i="30"/>
  <c r="GA37" i="30"/>
  <c r="FL37" i="30"/>
  <c r="FS37" i="30"/>
  <c r="DJ37" i="30"/>
  <c r="GM37" i="30"/>
  <c r="FT37" i="30"/>
  <c r="IM37" i="30"/>
  <c r="GU37" i="30"/>
  <c r="FE37" i="30"/>
  <c r="DR37" i="30"/>
  <c r="DQ37" i="30"/>
  <c r="FU37" i="30"/>
  <c r="FY37" i="30"/>
  <c r="FN37" i="30"/>
  <c r="CC37" i="30"/>
  <c r="FH37" i="30"/>
  <c r="IB37" i="30"/>
  <c r="AZ37" i="30"/>
  <c r="ID37" i="30"/>
  <c r="DE37" i="30"/>
  <c r="BZ37" i="30"/>
  <c r="GE37" i="30"/>
  <c r="DN37" i="30"/>
  <c r="EV37" i="30"/>
  <c r="FK37" i="30"/>
  <c r="BR37" i="30"/>
  <c r="BU37" i="30"/>
  <c r="IN37" i="30"/>
  <c r="DL37" i="30"/>
  <c r="IS37" i="30"/>
  <c r="HI37" i="30"/>
  <c r="CR37" i="30"/>
  <c r="BJ37" i="30"/>
  <c r="HJ37" i="30"/>
  <c r="DN53" i="30"/>
  <c r="DN87" i="30" s="1"/>
  <c r="DR53" i="30"/>
  <c r="DR87" i="30" s="1"/>
  <c r="HH53" i="30"/>
  <c r="HH87" i="30" s="1"/>
  <c r="ER53" i="30"/>
  <c r="ER87" i="30" s="1"/>
  <c r="GV53" i="30"/>
  <c r="GV87" i="30" s="1"/>
  <c r="BN53" i="30"/>
  <c r="BN87" i="30" s="1"/>
  <c r="AY53" i="30"/>
  <c r="AY87" i="30" s="1"/>
  <c r="AZ53" i="30"/>
  <c r="AZ87" i="30" s="1"/>
  <c r="ID53" i="30"/>
  <c r="ID87" i="30" s="1"/>
  <c r="DH53" i="30"/>
  <c r="DH87" i="30" s="1"/>
  <c r="FC53" i="30"/>
  <c r="FC87" i="30" s="1"/>
  <c r="IB53" i="30"/>
  <c r="IB87" i="30" s="1"/>
  <c r="DL53" i="30"/>
  <c r="DL87" i="30" s="1"/>
  <c r="EY53" i="30"/>
  <c r="EY87" i="30" s="1"/>
  <c r="IK44" i="30"/>
  <c r="GC44" i="30"/>
  <c r="DH44" i="30"/>
  <c r="GH44" i="30"/>
  <c r="FA44" i="30"/>
  <c r="FE44" i="30"/>
  <c r="EZ44" i="30"/>
  <c r="DI44" i="30"/>
  <c r="DA44" i="30"/>
  <c r="CV44" i="30"/>
  <c r="BD44" i="30"/>
  <c r="FB44" i="30"/>
  <c r="DW44" i="30"/>
  <c r="GT44" i="30"/>
  <c r="EI44" i="30"/>
  <c r="IR44" i="30"/>
  <c r="FU44" i="30"/>
  <c r="HL44" i="30"/>
  <c r="GL44" i="30"/>
  <c r="DB44" i="30"/>
  <c r="BX44" i="30"/>
  <c r="ET44" i="30"/>
  <c r="CN44" i="30"/>
  <c r="CF44" i="30"/>
  <c r="CA44" i="30"/>
  <c r="EL44" i="30"/>
  <c r="GD44" i="30"/>
  <c r="DU44" i="30"/>
  <c r="HV44" i="30"/>
  <c r="GJ44" i="30"/>
  <c r="BK44" i="30"/>
  <c r="HC44" i="30"/>
  <c r="EQ44" i="30"/>
  <c r="HA44" i="30"/>
  <c r="ED44" i="30"/>
  <c r="FM44" i="30"/>
  <c r="IH44" i="30"/>
  <c r="BV44" i="30"/>
  <c r="CI44" i="30"/>
  <c r="FJ44" i="30"/>
  <c r="GM44" i="30"/>
  <c r="GW44" i="30"/>
  <c r="EA44" i="30"/>
  <c r="EF44" i="30"/>
  <c r="FT44" i="30"/>
  <c r="HG44" i="30"/>
  <c r="FC44" i="30"/>
  <c r="CG44" i="30"/>
  <c r="HO44" i="30"/>
  <c r="HJ44" i="30"/>
  <c r="FG44" i="30"/>
  <c r="CP44" i="30"/>
  <c r="FI44" i="30"/>
  <c r="FD44" i="30"/>
  <c r="CE44" i="30"/>
  <c r="IE44" i="30"/>
  <c r="DO44" i="30"/>
  <c r="GA44" i="30"/>
  <c r="GB44" i="30"/>
  <c r="AZ44" i="30"/>
  <c r="GN44" i="30"/>
  <c r="CH44" i="30"/>
  <c r="GQ44" i="30"/>
  <c r="GS44" i="30"/>
  <c r="GR44" i="30"/>
  <c r="IT44" i="30"/>
  <c r="DG44" i="30"/>
  <c r="BS44" i="30"/>
  <c r="GK44" i="30"/>
  <c r="HX44" i="30"/>
  <c r="EY44" i="30"/>
  <c r="HK44" i="30"/>
  <c r="IV44" i="30"/>
  <c r="EJ44" i="30"/>
  <c r="DP44" i="30"/>
  <c r="II44" i="30"/>
  <c r="CB44" i="30"/>
  <c r="IU44" i="30"/>
  <c r="CR44" i="30"/>
  <c r="BI44" i="30"/>
  <c r="BC44" i="30"/>
  <c r="BY44" i="30"/>
  <c r="BZ44" i="30"/>
  <c r="FK44" i="30"/>
  <c r="HF44" i="30"/>
  <c r="IG44" i="30"/>
  <c r="EV44" i="30"/>
  <c r="AY44" i="30"/>
  <c r="IS44" i="30"/>
  <c r="ER44" i="30"/>
  <c r="IF44" i="30"/>
  <c r="EO44" i="30"/>
  <c r="CC44" i="30"/>
  <c r="FV44" i="30"/>
  <c r="BJ44" i="30"/>
  <c r="IL44" i="30"/>
  <c r="FF44" i="30"/>
  <c r="BE44" i="30"/>
  <c r="GV44" i="30"/>
  <c r="CW44" i="30"/>
  <c r="BR44" i="30"/>
  <c r="GE44" i="30"/>
  <c r="IM44" i="30"/>
  <c r="CL44" i="30"/>
  <c r="BN44" i="30"/>
  <c r="DT44" i="30"/>
  <c r="DQ44" i="30"/>
  <c r="BH44" i="30"/>
  <c r="ID44" i="30"/>
  <c r="EU44" i="30"/>
  <c r="FH44" i="30"/>
  <c r="DL44" i="30"/>
  <c r="BW44" i="30"/>
  <c r="FS44" i="30"/>
  <c r="CO44" i="30"/>
  <c r="FW44" i="30"/>
  <c r="HT44" i="30"/>
  <c r="GI44" i="30"/>
  <c r="BL44" i="30"/>
  <c r="DF44" i="30"/>
  <c r="EB44" i="30"/>
  <c r="HS44" i="30"/>
  <c r="FR44" i="30"/>
  <c r="HI44" i="30"/>
  <c r="CJ44" i="30"/>
  <c r="CM44" i="30"/>
  <c r="DR44" i="30"/>
  <c r="HR44" i="30"/>
  <c r="FL44" i="30"/>
  <c r="EW44" i="30"/>
  <c r="EN44" i="30"/>
  <c r="IQ44" i="30"/>
  <c r="BB44" i="30"/>
  <c r="HP44" i="30"/>
  <c r="H163" i="30"/>
  <c r="EG44" i="30"/>
  <c r="CX44" i="30"/>
  <c r="FZ44" i="30"/>
  <c r="HW44" i="30"/>
  <c r="HY44" i="30"/>
  <c r="IC44" i="30"/>
  <c r="AX44" i="30"/>
  <c r="CK44" i="30"/>
  <c r="EP44" i="30"/>
  <c r="DZ44" i="30"/>
  <c r="HB44" i="30"/>
  <c r="IN44" i="30"/>
  <c r="DD44" i="30"/>
  <c r="BO44" i="30"/>
  <c r="HE44" i="30"/>
  <c r="GZ44" i="30"/>
  <c r="DN44" i="30"/>
  <c r="ES44" i="30"/>
  <c r="BF44" i="30"/>
  <c r="GG44" i="30"/>
  <c r="BA44" i="30"/>
  <c r="HQ44" i="30"/>
  <c r="R139" i="30"/>
  <c r="FD41" i="30"/>
  <c r="AX41" i="30"/>
  <c r="DS41" i="30"/>
  <c r="GU41" i="30"/>
  <c r="BW41" i="30"/>
  <c r="BV41" i="30"/>
  <c r="DF41" i="30"/>
  <c r="BU41" i="30"/>
  <c r="GQ41" i="30"/>
  <c r="FN41" i="30"/>
  <c r="IF41" i="30"/>
  <c r="GG41" i="30"/>
  <c r="DC41" i="30"/>
  <c r="FS41" i="30"/>
  <c r="IS41" i="30"/>
  <c r="GX41" i="30"/>
  <c r="CR41" i="30"/>
  <c r="EH41" i="30"/>
  <c r="CX41" i="30"/>
  <c r="BM41" i="30"/>
  <c r="DW41" i="30"/>
  <c r="EC41" i="30"/>
  <c r="AZ41" i="30"/>
  <c r="CL41" i="30"/>
  <c r="HO41" i="30"/>
  <c r="GW41" i="30"/>
  <c r="DK41" i="30"/>
  <c r="BA41" i="30"/>
  <c r="HD41" i="30"/>
  <c r="CC41" i="30"/>
  <c r="BK41" i="30"/>
  <c r="CO41" i="30"/>
  <c r="DN41" i="30"/>
  <c r="CS41" i="30"/>
  <c r="HS41" i="30"/>
  <c r="HW41" i="30"/>
  <c r="BE41" i="30"/>
  <c r="GO41" i="30"/>
  <c r="FM41" i="30"/>
  <c r="DI41" i="30"/>
  <c r="FK41" i="30"/>
  <c r="CQ41" i="30"/>
  <c r="CT41" i="30"/>
  <c r="IA41" i="30"/>
  <c r="DB41" i="30"/>
  <c r="EJ41" i="30"/>
  <c r="GT41" i="30"/>
  <c r="EB41" i="30"/>
  <c r="EF41" i="30"/>
  <c r="IB41" i="30"/>
  <c r="II41" i="30"/>
  <c r="BO41" i="30"/>
  <c r="R144" i="30"/>
  <c r="R150" i="30"/>
  <c r="R142" i="30"/>
  <c r="R151" i="30"/>
  <c r="R146" i="30"/>
  <c r="FH38" i="30"/>
  <c r="CY38" i="30"/>
  <c r="HQ38" i="30"/>
  <c r="EP38" i="30"/>
  <c r="GR38" i="30"/>
  <c r="BR38" i="30"/>
  <c r="GK38" i="30"/>
  <c r="DA38" i="30"/>
  <c r="DO38" i="30"/>
  <c r="H157" i="30"/>
  <c r="BG38" i="30"/>
  <c r="HH38" i="30"/>
  <c r="CK38" i="30"/>
  <c r="IJ38" i="30"/>
  <c r="GH38" i="30"/>
  <c r="GU38" i="30"/>
  <c r="IB38" i="30"/>
  <c r="IA38" i="30"/>
  <c r="DV38" i="30"/>
  <c r="HG38" i="30"/>
  <c r="GY38" i="30"/>
  <c r="HX38" i="30"/>
  <c r="CH38" i="30"/>
  <c r="EK38" i="30"/>
  <c r="AZ38" i="30"/>
  <c r="HN38" i="30"/>
  <c r="DI38" i="30"/>
  <c r="CC38" i="30"/>
  <c r="CV38" i="30"/>
  <c r="BJ38" i="30"/>
  <c r="FI38" i="30"/>
  <c r="EM38" i="30"/>
  <c r="CQ38" i="30"/>
  <c r="GF38" i="30"/>
  <c r="ED38" i="30"/>
  <c r="HB38" i="30"/>
  <c r="EJ38" i="30"/>
  <c r="FY38" i="30"/>
  <c r="IP38" i="30"/>
  <c r="CM38" i="30"/>
  <c r="GS38" i="30"/>
  <c r="BL38" i="30"/>
  <c r="CJ38" i="30"/>
  <c r="IU38" i="30"/>
  <c r="GQ38" i="30"/>
  <c r="FF38" i="30"/>
  <c r="FR38" i="30"/>
  <c r="DY38" i="30"/>
  <c r="HI38" i="30"/>
  <c r="BO38" i="30"/>
  <c r="FZ38" i="30"/>
  <c r="R145" i="30"/>
  <c r="R152" i="30"/>
  <c r="R149" i="30"/>
  <c r="R140" i="30"/>
  <c r="BA38" i="30"/>
  <c r="BB38" i="30"/>
  <c r="BM38" i="30"/>
  <c r="DL38" i="30"/>
  <c r="EE38" i="30"/>
  <c r="BW38" i="30"/>
  <c r="HW38" i="30"/>
  <c r="GI38" i="30"/>
  <c r="IE38" i="30"/>
  <c r="GW38" i="30"/>
  <c r="EV38" i="30"/>
  <c r="BC38" i="30"/>
  <c r="HM38" i="30"/>
  <c r="DE38" i="30"/>
  <c r="IQ38" i="30"/>
  <c r="BU38" i="30"/>
  <c r="EN38" i="30"/>
  <c r="CL38" i="30"/>
  <c r="DJ38" i="30"/>
  <c r="CD38" i="30"/>
  <c r="IV38" i="30"/>
  <c r="CR38" i="30"/>
  <c r="EF38" i="30"/>
  <c r="GA38" i="30"/>
  <c r="CG38" i="30"/>
  <c r="DW38" i="30"/>
  <c r="BZ38" i="30"/>
  <c r="FV38" i="30"/>
  <c r="HF38" i="30"/>
  <c r="FE38" i="30"/>
  <c r="DD38" i="30"/>
  <c r="GE38" i="30"/>
  <c r="AX38" i="30"/>
  <c r="HP38" i="30"/>
  <c r="GB38" i="30"/>
  <c r="GZ38" i="30"/>
  <c r="FN38" i="30"/>
  <c r="IG38" i="30"/>
  <c r="DT38" i="30"/>
  <c r="BP38" i="30"/>
  <c r="GT38" i="30"/>
  <c r="CU38" i="30"/>
  <c r="HT38" i="30"/>
  <c r="EY38" i="30"/>
  <c r="BE38" i="30"/>
  <c r="FB38" i="30"/>
  <c r="HE38" i="30"/>
  <c r="DB38" i="30"/>
  <c r="ER38" i="30"/>
  <c r="FM38" i="30"/>
  <c r="BV38" i="30"/>
  <c r="FS38" i="30"/>
  <c r="BF38" i="30"/>
  <c r="R148" i="30"/>
  <c r="R141" i="30"/>
  <c r="R147" i="30"/>
  <c r="R138" i="30"/>
  <c r="EH38" i="30"/>
  <c r="DX38" i="30"/>
  <c r="CN38" i="30"/>
  <c r="ID38" i="30"/>
  <c r="FQ38" i="30"/>
  <c r="HJ38" i="30"/>
  <c r="GD38" i="30"/>
  <c r="IM38" i="30"/>
  <c r="FA38" i="30"/>
  <c r="DF38" i="30"/>
  <c r="EX38" i="30"/>
  <c r="CI38" i="30"/>
  <c r="IS38" i="30"/>
  <c r="FX38" i="30"/>
  <c r="GG38" i="30"/>
  <c r="DR38" i="30"/>
  <c r="CF38" i="30"/>
  <c r="DC38" i="30"/>
  <c r="EG38" i="30"/>
  <c r="GM38" i="30"/>
  <c r="DK38" i="30"/>
  <c r="BQ38" i="30"/>
  <c r="GX38" i="30"/>
  <c r="IH38" i="30"/>
  <c r="FK38" i="30"/>
  <c r="EL38" i="30"/>
  <c r="EA38" i="30"/>
  <c r="FJ38" i="30"/>
  <c r="IN38" i="30"/>
  <c r="GN38" i="30"/>
  <c r="HU38" i="30"/>
  <c r="IC38" i="30"/>
  <c r="EZ38" i="30"/>
  <c r="HV38" i="30"/>
  <c r="EI38" i="30"/>
  <c r="FP38" i="30"/>
  <c r="BT38" i="30"/>
  <c r="CX38" i="30"/>
  <c r="IL38" i="30"/>
  <c r="DH38" i="30"/>
  <c r="DP38" i="30"/>
  <c r="CS38" i="30"/>
  <c r="FL38" i="30"/>
  <c r="EB38" i="30"/>
  <c r="BY38" i="30"/>
  <c r="CB38" i="30"/>
  <c r="CZ38" i="30"/>
  <c r="GJ38" i="30"/>
  <c r="GL38" i="30"/>
  <c r="EQ38" i="30"/>
  <c r="CO38" i="30"/>
  <c r="CW37" i="30"/>
  <c r="AX37" i="30"/>
  <c r="HC37" i="30"/>
  <c r="BQ37" i="30"/>
  <c r="GH37" i="30"/>
  <c r="EF37" i="30"/>
  <c r="FA37" i="30"/>
  <c r="DX37" i="30"/>
  <c r="GC37" i="30"/>
  <c r="IU37" i="30"/>
  <c r="EI37" i="30"/>
  <c r="FM37" i="30"/>
  <c r="CX37" i="30"/>
  <c r="HA37" i="30"/>
  <c r="GR37" i="30"/>
  <c r="EB37" i="30"/>
  <c r="IO37" i="30"/>
  <c r="IT37" i="30"/>
  <c r="BN37" i="30"/>
  <c r="HB37" i="30"/>
  <c r="IV37" i="30"/>
  <c r="HT37" i="30"/>
  <c r="GY37" i="30"/>
  <c r="CF37" i="30"/>
  <c r="B277" i="30" l="1"/>
  <c r="Q277" i="30" s="1"/>
  <c r="B271" i="30"/>
  <c r="Q278" i="30"/>
  <c r="B273" i="30"/>
  <c r="C36" i="30"/>
  <c r="D19" i="30" s="1"/>
  <c r="D104" i="30" s="1"/>
  <c r="C102" i="30"/>
  <c r="C83" i="30" s="1"/>
  <c r="C32" i="30" s="1"/>
  <c r="D15" i="30" s="1"/>
  <c r="C26" i="30"/>
  <c r="D9" i="30" s="1"/>
  <c r="D94" i="30" s="1"/>
  <c r="C86" i="30"/>
  <c r="C35" i="30" s="1"/>
  <c r="D18" i="30" s="1"/>
  <c r="D103" i="30" s="1"/>
  <c r="C74" i="30"/>
  <c r="C23" i="30" s="1"/>
  <c r="D6" i="30" s="1"/>
  <c r="D91" i="30" s="1"/>
  <c r="B274" i="30"/>
  <c r="D102" i="30"/>
  <c r="D83" i="30" s="1"/>
  <c r="D34" i="30"/>
  <c r="E17" i="30" s="1"/>
  <c r="C101" i="30"/>
  <c r="C33" i="30"/>
  <c r="D16" i="30" s="1"/>
  <c r="C100" i="30"/>
  <c r="C79" i="30" s="1"/>
  <c r="C28" i="30" s="1"/>
  <c r="D11" i="30" s="1"/>
  <c r="D96" i="30" s="1"/>
  <c r="B268" i="30"/>
  <c r="B267" i="30"/>
  <c r="B266" i="30"/>
  <c r="B264" i="30"/>
  <c r="B263" i="30"/>
  <c r="C93" i="30"/>
  <c r="C71" i="30" s="1"/>
  <c r="C20" i="30" s="1"/>
  <c r="D3" i="30" s="1"/>
  <c r="D88" i="30" s="1"/>
  <c r="C25" i="30"/>
  <c r="D8" i="30" s="1"/>
  <c r="B262" i="30"/>
  <c r="B261" i="30"/>
  <c r="C78" i="30"/>
  <c r="C27" i="30" s="1"/>
  <c r="D10" i="30" s="1"/>
  <c r="C80" i="30"/>
  <c r="C29" i="30" s="1"/>
  <c r="D12" i="30" s="1"/>
  <c r="B265" i="30" l="1"/>
  <c r="B270" i="30"/>
  <c r="B269" i="30"/>
  <c r="B260" i="30"/>
  <c r="B259" i="30"/>
  <c r="D26" i="30"/>
  <c r="E9" i="30" s="1"/>
  <c r="E26" i="30" s="1"/>
  <c r="F9" i="30" s="1"/>
  <c r="D36" i="30"/>
  <c r="E19" i="30" s="1"/>
  <c r="E36" i="30" s="1"/>
  <c r="F19" i="30" s="1"/>
  <c r="C82" i="30"/>
  <c r="C31" i="30" s="1"/>
  <c r="D14" i="30" s="1"/>
  <c r="D99" i="30" s="1"/>
  <c r="C75" i="30"/>
  <c r="C24" i="30" s="1"/>
  <c r="D7" i="30" s="1"/>
  <c r="D92" i="30" s="1"/>
  <c r="C73" i="30"/>
  <c r="C22" i="30" s="1"/>
  <c r="D5" i="30" s="1"/>
  <c r="D90" i="30" s="1"/>
  <c r="E102" i="30"/>
  <c r="E83" i="30" s="1"/>
  <c r="E34" i="30"/>
  <c r="F17" i="30" s="1"/>
  <c r="D101" i="30"/>
  <c r="D33" i="30"/>
  <c r="E16" i="30" s="1"/>
  <c r="D100" i="30"/>
  <c r="D79" i="30" s="1"/>
  <c r="D28" i="30" s="1"/>
  <c r="E11" i="30" s="1"/>
  <c r="E96" i="30" s="1"/>
  <c r="D32" i="30"/>
  <c r="E15" i="30" s="1"/>
  <c r="D25" i="30"/>
  <c r="E8" i="30" s="1"/>
  <c r="D93" i="30"/>
  <c r="C72" i="30"/>
  <c r="C21" i="30" s="1"/>
  <c r="D4" i="30" s="1"/>
  <c r="D89" i="30" s="1"/>
  <c r="C81" i="30"/>
  <c r="C30" i="30" s="1"/>
  <c r="D13" i="30" s="1"/>
  <c r="D98" i="30" s="1"/>
  <c r="D95" i="30"/>
  <c r="D97" i="30"/>
  <c r="B275" i="30" l="1"/>
  <c r="E94" i="30"/>
  <c r="E104" i="30"/>
  <c r="D81" i="30"/>
  <c r="D30" i="30" s="1"/>
  <c r="E13" i="30" s="1"/>
  <c r="E98" i="30" s="1"/>
  <c r="D72" i="30"/>
  <c r="D21" i="30" s="1"/>
  <c r="E4" i="30" s="1"/>
  <c r="E89" i="30" s="1"/>
  <c r="D82" i="30"/>
  <c r="D31" i="30" s="1"/>
  <c r="E14" i="30" s="1"/>
  <c r="E99" i="30" s="1"/>
  <c r="F104" i="30"/>
  <c r="F36" i="30"/>
  <c r="G19" i="30" s="1"/>
  <c r="F34" i="30"/>
  <c r="G17" i="30" s="1"/>
  <c r="F102" i="30"/>
  <c r="F83" i="30" s="1"/>
  <c r="E101" i="30"/>
  <c r="E33" i="30"/>
  <c r="F16" i="30" s="1"/>
  <c r="E100" i="30"/>
  <c r="E79" i="30" s="1"/>
  <c r="E28" i="30" s="1"/>
  <c r="F11" i="30" s="1"/>
  <c r="F96" i="30" s="1"/>
  <c r="E32" i="30"/>
  <c r="F15" i="30" s="1"/>
  <c r="D71" i="30"/>
  <c r="D20" i="30" s="1"/>
  <c r="E3" i="30" s="1"/>
  <c r="E88" i="30" s="1"/>
  <c r="D73" i="30"/>
  <c r="D22" i="30" s="1"/>
  <c r="E5" i="30" s="1"/>
  <c r="E90" i="30" s="1"/>
  <c r="F94" i="30"/>
  <c r="F26" i="30"/>
  <c r="G9" i="30" s="1"/>
  <c r="D80" i="30"/>
  <c r="D29" i="30" s="1"/>
  <c r="E12" i="30" s="1"/>
  <c r="E97" i="30" s="1"/>
  <c r="D78" i="30"/>
  <c r="D27" i="30" s="1"/>
  <c r="E10" i="30" s="1"/>
  <c r="E95" i="30" s="1"/>
  <c r="E93" i="30"/>
  <c r="E25" i="30"/>
  <c r="F8" i="30" s="1"/>
  <c r="D75" i="30"/>
  <c r="D24" i="30" s="1"/>
  <c r="E7" i="30" s="1"/>
  <c r="E92" i="30" s="1"/>
  <c r="D86" i="30"/>
  <c r="D35" i="30" s="1"/>
  <c r="E18" i="30" s="1"/>
  <c r="D74" i="30"/>
  <c r="D23" i="30" s="1"/>
  <c r="E6" i="30" s="1"/>
  <c r="E81" i="30" l="1"/>
  <c r="E30" i="30" s="1"/>
  <c r="F13" i="30" s="1"/>
  <c r="F98" i="30" s="1"/>
  <c r="E72" i="30"/>
  <c r="E21" i="30" s="1"/>
  <c r="F4" i="30" s="1"/>
  <c r="F89" i="30" s="1"/>
  <c r="F78" i="30" s="1"/>
  <c r="G104" i="30"/>
  <c r="G36" i="30"/>
  <c r="H19" i="30" s="1"/>
  <c r="G34" i="30"/>
  <c r="H17" i="30" s="1"/>
  <c r="G102" i="30"/>
  <c r="G83" i="30" s="1"/>
  <c r="F33" i="30"/>
  <c r="G16" i="30" s="1"/>
  <c r="F101" i="30"/>
  <c r="F100" i="30"/>
  <c r="F79" i="30" s="1"/>
  <c r="F28" i="30" s="1"/>
  <c r="G11" i="30" s="1"/>
  <c r="G96" i="30" s="1"/>
  <c r="F32" i="30"/>
  <c r="G15" i="30" s="1"/>
  <c r="G94" i="30"/>
  <c r="G26" i="30"/>
  <c r="H9" i="30" s="1"/>
  <c r="E74" i="30"/>
  <c r="E23" i="30" s="1"/>
  <c r="F6" i="30" s="1"/>
  <c r="F93" i="30"/>
  <c r="F25" i="30"/>
  <c r="G8" i="30" s="1"/>
  <c r="E71" i="30"/>
  <c r="E20" i="30" s="1"/>
  <c r="F3" i="30" s="1"/>
  <c r="F88" i="30" s="1"/>
  <c r="E73" i="30"/>
  <c r="E22" i="30" s="1"/>
  <c r="F5" i="30" s="1"/>
  <c r="F90" i="30" s="1"/>
  <c r="E78" i="30"/>
  <c r="E27" i="30" s="1"/>
  <c r="F10" i="30" s="1"/>
  <c r="E103" i="30"/>
  <c r="E80" i="30" s="1"/>
  <c r="E29" i="30" s="1"/>
  <c r="F12" i="30" s="1"/>
  <c r="E91" i="30"/>
  <c r="F81" i="30" l="1"/>
  <c r="F30" i="30" s="1"/>
  <c r="G13" i="30" s="1"/>
  <c r="G98" i="30" s="1"/>
  <c r="H36" i="30"/>
  <c r="I19" i="30" s="1"/>
  <c r="H104" i="30"/>
  <c r="H34" i="30"/>
  <c r="I17" i="30" s="1"/>
  <c r="H102" i="30"/>
  <c r="H83" i="30" s="1"/>
  <c r="G33" i="30"/>
  <c r="H16" i="30" s="1"/>
  <c r="G101" i="30"/>
  <c r="G100" i="30"/>
  <c r="G79" i="30" s="1"/>
  <c r="G28" i="30" s="1"/>
  <c r="H11" i="30" s="1"/>
  <c r="H96" i="30" s="1"/>
  <c r="G32" i="30"/>
  <c r="H15" i="30" s="1"/>
  <c r="H94" i="30"/>
  <c r="H26" i="30"/>
  <c r="I9" i="30" s="1"/>
  <c r="G25" i="30"/>
  <c r="H8" i="30" s="1"/>
  <c r="G93" i="30"/>
  <c r="F95" i="30"/>
  <c r="F27" i="30"/>
  <c r="G10" i="30" s="1"/>
  <c r="G95" i="30" s="1"/>
  <c r="F91" i="30"/>
  <c r="F75" i="30" s="1"/>
  <c r="F97" i="30"/>
  <c r="F71" i="30" s="1"/>
  <c r="F20" i="30" s="1"/>
  <c r="G3" i="30" s="1"/>
  <c r="E82" i="30"/>
  <c r="E31" i="30" s="1"/>
  <c r="F14" i="30" s="1"/>
  <c r="E86" i="30"/>
  <c r="E35" i="30" s="1"/>
  <c r="F18" i="30" s="1"/>
  <c r="E75" i="30"/>
  <c r="E24" i="30" s="1"/>
  <c r="F7" i="30" s="1"/>
  <c r="I104" i="30" l="1"/>
  <c r="I36" i="30"/>
  <c r="J19" i="30" s="1"/>
  <c r="C255" i="30" s="1"/>
  <c r="C256" i="30" s="1"/>
  <c r="I102" i="30"/>
  <c r="I83" i="30" s="1"/>
  <c r="I34" i="30"/>
  <c r="J17" i="30" s="1"/>
  <c r="C245" i="30" s="1"/>
  <c r="C246" i="30" s="1"/>
  <c r="H101" i="30"/>
  <c r="H33" i="30"/>
  <c r="I16" i="30" s="1"/>
  <c r="H100" i="30"/>
  <c r="H79" i="30" s="1"/>
  <c r="H28" i="30" s="1"/>
  <c r="I11" i="30" s="1"/>
  <c r="I96" i="30" s="1"/>
  <c r="H32" i="30"/>
  <c r="I15" i="30" s="1"/>
  <c r="I94" i="30"/>
  <c r="I26" i="30"/>
  <c r="J9" i="30" s="1"/>
  <c r="C205" i="30" s="1"/>
  <c r="C206" i="30" s="1"/>
  <c r="H93" i="30"/>
  <c r="H25" i="30"/>
  <c r="I8" i="30" s="1"/>
  <c r="F24" i="30"/>
  <c r="G7" i="30" s="1"/>
  <c r="G88" i="30"/>
  <c r="F92" i="30"/>
  <c r="F103" i="30"/>
  <c r="F80" i="30" s="1"/>
  <c r="F29" i="30" s="1"/>
  <c r="G12" i="30" s="1"/>
  <c r="F82" i="30"/>
  <c r="F31" i="30" s="1"/>
  <c r="G14" i="30" s="1"/>
  <c r="F99" i="30"/>
  <c r="C294" i="30" l="1"/>
  <c r="J36" i="30"/>
  <c r="K19" i="30" s="1"/>
  <c r="J104" i="30"/>
  <c r="J34" i="30"/>
  <c r="K17" i="30" s="1"/>
  <c r="J102" i="30"/>
  <c r="J83" i="30" s="1"/>
  <c r="C292" i="30"/>
  <c r="I101" i="30"/>
  <c r="I33" i="30"/>
  <c r="J16" i="30" s="1"/>
  <c r="C240" i="30" s="1"/>
  <c r="C241" i="30" s="1"/>
  <c r="I32" i="30"/>
  <c r="J15" i="30" s="1"/>
  <c r="C235" i="30" s="1"/>
  <c r="C236" i="30" s="1"/>
  <c r="I100" i="30"/>
  <c r="I79" i="30" s="1"/>
  <c r="I28" i="30" s="1"/>
  <c r="J11" i="30" s="1"/>
  <c r="C215" i="30" s="1"/>
  <c r="C216" i="30" s="1"/>
  <c r="J26" i="30"/>
  <c r="K9" i="30" s="1"/>
  <c r="C284" i="30"/>
  <c r="J94" i="30"/>
  <c r="I93" i="30"/>
  <c r="I25" i="30"/>
  <c r="J8" i="30" s="1"/>
  <c r="C200" i="30" s="1"/>
  <c r="C201" i="30" s="1"/>
  <c r="F74" i="30"/>
  <c r="F23" i="30" s="1"/>
  <c r="G6" i="30" s="1"/>
  <c r="G91" i="30" s="1"/>
  <c r="F86" i="30"/>
  <c r="F35" i="30" s="1"/>
  <c r="G18" i="30" s="1"/>
  <c r="G103" i="30" s="1"/>
  <c r="G99" i="30"/>
  <c r="G72" i="30" s="1"/>
  <c r="G92" i="30"/>
  <c r="G97" i="30"/>
  <c r="F72" i="30"/>
  <c r="F21" i="30" s="1"/>
  <c r="G4" i="30" s="1"/>
  <c r="F73" i="30"/>
  <c r="F22" i="30" s="1"/>
  <c r="G5" i="30" s="1"/>
  <c r="K104" i="30" l="1"/>
  <c r="K36" i="30"/>
  <c r="L19" i="30" s="1"/>
  <c r="C274" i="30"/>
  <c r="K34" i="30"/>
  <c r="L17" i="30" s="1"/>
  <c r="K102" i="30"/>
  <c r="K83" i="30" s="1"/>
  <c r="C272" i="30"/>
  <c r="J101" i="30"/>
  <c r="C291" i="30"/>
  <c r="J33" i="30"/>
  <c r="K16" i="30" s="1"/>
  <c r="C286" i="30"/>
  <c r="J96" i="30"/>
  <c r="C290" i="30"/>
  <c r="J100" i="30"/>
  <c r="J79" i="30" s="1"/>
  <c r="J28" i="30" s="1"/>
  <c r="K11" i="30" s="1"/>
  <c r="K96" i="30" s="1"/>
  <c r="J32" i="30"/>
  <c r="K15" i="30" s="1"/>
  <c r="K94" i="30"/>
  <c r="K26" i="30"/>
  <c r="L9" i="30" s="1"/>
  <c r="C264" i="30"/>
  <c r="J25" i="30"/>
  <c r="K8" i="30" s="1"/>
  <c r="C283" i="30"/>
  <c r="J93" i="30"/>
  <c r="G90" i="30"/>
  <c r="G89" i="30"/>
  <c r="G21" i="30"/>
  <c r="H4" i="30" s="1"/>
  <c r="G86" i="30"/>
  <c r="G35" i="30" s="1"/>
  <c r="H18" i="30" s="1"/>
  <c r="L104" i="30" l="1"/>
  <c r="L36" i="30"/>
  <c r="M19" i="30" s="1"/>
  <c r="L34" i="30"/>
  <c r="M17" i="30" s="1"/>
  <c r="L102" i="30"/>
  <c r="L83" i="30" s="1"/>
  <c r="K33" i="30"/>
  <c r="L16" i="30" s="1"/>
  <c r="K101" i="30"/>
  <c r="C271" i="30"/>
  <c r="K32" i="30"/>
  <c r="L15" i="30" s="1"/>
  <c r="K100" i="30"/>
  <c r="K79" i="30" s="1"/>
  <c r="K28" i="30" s="1"/>
  <c r="L11" i="30" s="1"/>
  <c r="L96" i="30" s="1"/>
  <c r="C270" i="30"/>
  <c r="L94" i="30"/>
  <c r="L26" i="30"/>
  <c r="M9" i="30" s="1"/>
  <c r="K93" i="30"/>
  <c r="K25" i="30"/>
  <c r="L8" i="30" s="1"/>
  <c r="C263" i="30"/>
  <c r="H89" i="30"/>
  <c r="G73" i="30"/>
  <c r="G22" i="30" s="1"/>
  <c r="H5" i="30" s="1"/>
  <c r="G71" i="30"/>
  <c r="G20" i="30" s="1"/>
  <c r="H3" i="30" s="1"/>
  <c r="G78" i="30"/>
  <c r="G27" i="30" s="1"/>
  <c r="H10" i="30" s="1"/>
  <c r="G82" i="30"/>
  <c r="G31" i="30" s="1"/>
  <c r="H14" i="30" s="1"/>
  <c r="G80" i="30"/>
  <c r="G29" i="30" s="1"/>
  <c r="H12" i="30" s="1"/>
  <c r="G75" i="30"/>
  <c r="G24" i="30" s="1"/>
  <c r="H7" i="30" s="1"/>
  <c r="H103" i="30"/>
  <c r="G81" i="30"/>
  <c r="G30" i="30" s="1"/>
  <c r="H13" i="30" s="1"/>
  <c r="G74" i="30"/>
  <c r="G23" i="30" s="1"/>
  <c r="H6" i="30" s="1"/>
  <c r="C266" i="30" l="1"/>
  <c r="M104" i="30"/>
  <c r="M36" i="30"/>
  <c r="N19" i="30" s="1"/>
  <c r="M102" i="30"/>
  <c r="M83" i="30" s="1"/>
  <c r="M34" i="30"/>
  <c r="N17" i="30" s="1"/>
  <c r="L33" i="30"/>
  <c r="M16" i="30" s="1"/>
  <c r="L101" i="30"/>
  <c r="L100" i="30"/>
  <c r="L79" i="30" s="1"/>
  <c r="L28" i="30" s="1"/>
  <c r="M11" i="30" s="1"/>
  <c r="M96" i="30" s="1"/>
  <c r="L32" i="30"/>
  <c r="M15" i="30" s="1"/>
  <c r="M94" i="30"/>
  <c r="M26" i="30"/>
  <c r="N9" i="30" s="1"/>
  <c r="L93" i="30"/>
  <c r="L25" i="30"/>
  <c r="M8" i="30" s="1"/>
  <c r="H92" i="30"/>
  <c r="H88" i="30"/>
  <c r="H97" i="30"/>
  <c r="H90" i="30"/>
  <c r="H91" i="30"/>
  <c r="H99" i="30"/>
  <c r="H72" i="30" s="1"/>
  <c r="H21" i="30" s="1"/>
  <c r="I4" i="30" s="1"/>
  <c r="H98" i="30"/>
  <c r="H95" i="30"/>
  <c r="H78" i="30"/>
  <c r="H27" i="30" s="1"/>
  <c r="I10" i="30" s="1"/>
  <c r="N104" i="30" l="1"/>
  <c r="N36" i="30"/>
  <c r="O19" i="30" s="1"/>
  <c r="N102" i="30"/>
  <c r="N83" i="30" s="1"/>
  <c r="N34" i="30"/>
  <c r="O17" i="30" s="1"/>
  <c r="M101" i="30"/>
  <c r="M33" i="30"/>
  <c r="N16" i="30" s="1"/>
  <c r="M100" i="30"/>
  <c r="M79" i="30" s="1"/>
  <c r="M28" i="30" s="1"/>
  <c r="N11" i="30" s="1"/>
  <c r="N96" i="30" s="1"/>
  <c r="M32" i="30"/>
  <c r="N15" i="30" s="1"/>
  <c r="H82" i="30"/>
  <c r="H31" i="30" s="1"/>
  <c r="I14" i="30" s="1"/>
  <c r="I99" i="30" s="1"/>
  <c r="I72" i="30" s="1"/>
  <c r="I21" i="30" s="1"/>
  <c r="J4" i="30" s="1"/>
  <c r="C180" i="30" s="1"/>
  <c r="C181" i="30" s="1"/>
  <c r="N94" i="30"/>
  <c r="N26" i="30"/>
  <c r="O9" i="30" s="1"/>
  <c r="M25" i="30"/>
  <c r="N8" i="30" s="1"/>
  <c r="M93" i="30"/>
  <c r="H71" i="30"/>
  <c r="H20" i="30" s="1"/>
  <c r="I3" i="30" s="1"/>
  <c r="I88" i="30" s="1"/>
  <c r="H73" i="30"/>
  <c r="H22" i="30" s="1"/>
  <c r="I5" i="30" s="1"/>
  <c r="I90" i="30" s="1"/>
  <c r="I95" i="30"/>
  <c r="H75" i="30"/>
  <c r="H24" i="30" s="1"/>
  <c r="I7" i="30" s="1"/>
  <c r="H80" i="30"/>
  <c r="H29" i="30" s="1"/>
  <c r="I12" i="30" s="1"/>
  <c r="I89" i="30"/>
  <c r="H74" i="30"/>
  <c r="H23" i="30" s="1"/>
  <c r="I6" i="30" s="1"/>
  <c r="H81" i="30"/>
  <c r="H30" i="30" s="1"/>
  <c r="I13" i="30" s="1"/>
  <c r="H86" i="30"/>
  <c r="H35" i="30" s="1"/>
  <c r="I18" i="30" s="1"/>
  <c r="O36" i="30" l="1"/>
  <c r="P19" i="30" s="1"/>
  <c r="O104" i="30"/>
  <c r="O34" i="30"/>
  <c r="P17" i="30" s="1"/>
  <c r="O102" i="30"/>
  <c r="O83" i="30" s="1"/>
  <c r="N33" i="30"/>
  <c r="O16" i="30" s="1"/>
  <c r="N101" i="30"/>
  <c r="N32" i="30"/>
  <c r="O15" i="30" s="1"/>
  <c r="N100" i="30"/>
  <c r="N79" i="30" s="1"/>
  <c r="N28" i="30" s="1"/>
  <c r="O11" i="30" s="1"/>
  <c r="O96" i="30" s="1"/>
  <c r="O94" i="30"/>
  <c r="O26" i="30"/>
  <c r="P9" i="30" s="1"/>
  <c r="N93" i="30"/>
  <c r="N25" i="30"/>
  <c r="O8" i="30" s="1"/>
  <c r="C279" i="30"/>
  <c r="J89" i="30"/>
  <c r="I91" i="30"/>
  <c r="I75" i="30" s="1"/>
  <c r="I24" i="30" s="1"/>
  <c r="J7" i="30" s="1"/>
  <c r="C195" i="30" s="1"/>
  <c r="C196" i="30" s="1"/>
  <c r="I103" i="30"/>
  <c r="I80" i="30" s="1"/>
  <c r="I29" i="30" s="1"/>
  <c r="J12" i="30" s="1"/>
  <c r="C220" i="30" s="1"/>
  <c r="C221" i="30" s="1"/>
  <c r="I78" i="30"/>
  <c r="I27" i="30" s="1"/>
  <c r="J10" i="30" s="1"/>
  <c r="C210" i="30" s="1"/>
  <c r="C211" i="30" s="1"/>
  <c r="I98" i="30"/>
  <c r="I73" i="30" s="1"/>
  <c r="I22" i="30" s="1"/>
  <c r="J5" i="30" s="1"/>
  <c r="C185" i="30" s="1"/>
  <c r="C186" i="30" s="1"/>
  <c r="I97" i="30"/>
  <c r="I81" i="30"/>
  <c r="I30" i="30" s="1"/>
  <c r="J13" i="30" s="1"/>
  <c r="C225" i="30" s="1"/>
  <c r="C226" i="30" s="1"/>
  <c r="I92" i="30"/>
  <c r="I74" i="30" s="1"/>
  <c r="I23" i="30" s="1"/>
  <c r="J6" i="30" s="1"/>
  <c r="C190" i="30" s="1"/>
  <c r="C191" i="30" s="1"/>
  <c r="P104" i="30" l="1"/>
  <c r="P36" i="30"/>
  <c r="Q19" i="30" s="1"/>
  <c r="P34" i="30"/>
  <c r="Q17" i="30" s="1"/>
  <c r="P102" i="30"/>
  <c r="P83" i="30" s="1"/>
  <c r="O101" i="30"/>
  <c r="O33" i="30"/>
  <c r="P16" i="30" s="1"/>
  <c r="O100" i="30"/>
  <c r="O79" i="30" s="1"/>
  <c r="O28" i="30" s="1"/>
  <c r="P11" i="30" s="1"/>
  <c r="P96" i="30" s="1"/>
  <c r="O32" i="30"/>
  <c r="P15" i="30" s="1"/>
  <c r="I71" i="30"/>
  <c r="I20" i="30" s="1"/>
  <c r="J3" i="30" s="1"/>
  <c r="C175" i="30" s="1"/>
  <c r="C176" i="30" s="1"/>
  <c r="P94" i="30"/>
  <c r="P26" i="30"/>
  <c r="Q9" i="30" s="1"/>
  <c r="O93" i="30"/>
  <c r="O25" i="30"/>
  <c r="P8" i="30" s="1"/>
  <c r="J90" i="30"/>
  <c r="C280" i="30"/>
  <c r="C282" i="30"/>
  <c r="J92" i="30"/>
  <c r="C281" i="30"/>
  <c r="J91" i="30"/>
  <c r="J98" i="30"/>
  <c r="C288" i="30"/>
  <c r="J97" i="30"/>
  <c r="C287" i="30"/>
  <c r="I82" i="30"/>
  <c r="I31" i="30" s="1"/>
  <c r="J14" i="30" s="1"/>
  <c r="C230" i="30" s="1"/>
  <c r="C231" i="30" s="1"/>
  <c r="J78" i="30"/>
  <c r="J27" i="30" s="1"/>
  <c r="K10" i="30" s="1"/>
  <c r="J95" i="30"/>
  <c r="C285" i="30"/>
  <c r="I86" i="30"/>
  <c r="I35" i="30" s="1"/>
  <c r="J18" i="30" s="1"/>
  <c r="C250" i="30" s="1"/>
  <c r="C251" i="30" s="1"/>
  <c r="C259" i="30"/>
  <c r="Q36" i="30" l="1"/>
  <c r="R19" i="30" s="1"/>
  <c r="D255" i="30" s="1"/>
  <c r="D256" i="30" s="1"/>
  <c r="Q104" i="30"/>
  <c r="Q102" i="30"/>
  <c r="Q83" i="30" s="1"/>
  <c r="Q34" i="30"/>
  <c r="R17" i="30" s="1"/>
  <c r="D245" i="30" s="1"/>
  <c r="D246" i="30" s="1"/>
  <c r="P101" i="30"/>
  <c r="P33" i="30"/>
  <c r="Q16" i="30" s="1"/>
  <c r="P100" i="30"/>
  <c r="P79" i="30" s="1"/>
  <c r="P28" i="30" s="1"/>
  <c r="Q11" i="30" s="1"/>
  <c r="Q96" i="30" s="1"/>
  <c r="P32" i="30"/>
  <c r="Q15" i="30" s="1"/>
  <c r="J88" i="30"/>
  <c r="J75" i="30" s="1"/>
  <c r="J24" i="30" s="1"/>
  <c r="K7" i="30" s="1"/>
  <c r="C278" i="30"/>
  <c r="Q94" i="30"/>
  <c r="Q26" i="30"/>
  <c r="R9" i="30" s="1"/>
  <c r="D205" i="30" s="1"/>
  <c r="D206" i="30" s="1"/>
  <c r="J82" i="30"/>
  <c r="J31" i="30" s="1"/>
  <c r="K14" i="30" s="1"/>
  <c r="P25" i="30"/>
  <c r="Q8" i="30" s="1"/>
  <c r="P93" i="30"/>
  <c r="J71" i="30"/>
  <c r="J20" i="30" s="1"/>
  <c r="K3" i="30" s="1"/>
  <c r="K88" i="30" s="1"/>
  <c r="J86" i="30"/>
  <c r="J35" i="30" s="1"/>
  <c r="K18" i="30" s="1"/>
  <c r="J103" i="30"/>
  <c r="C293" i="30"/>
  <c r="C265" i="30"/>
  <c r="J81" i="30"/>
  <c r="J30" i="30" s="1"/>
  <c r="K13" i="30" s="1"/>
  <c r="K95" i="30"/>
  <c r="C289" i="30"/>
  <c r="J99" i="30"/>
  <c r="J74" i="30" s="1"/>
  <c r="J23" i="30" s="1"/>
  <c r="K6" i="30" s="1"/>
  <c r="C267" i="30"/>
  <c r="C268" i="30"/>
  <c r="C261" i="30"/>
  <c r="C262" i="30"/>
  <c r="C260" i="30"/>
  <c r="C277" i="30" l="1"/>
  <c r="J80" i="30"/>
  <c r="J29" i="30" s="1"/>
  <c r="K12" i="30" s="1"/>
  <c r="K97" i="30" s="1"/>
  <c r="D294" i="30"/>
  <c r="R104" i="30"/>
  <c r="R36" i="30"/>
  <c r="S19" i="30" s="1"/>
  <c r="R34" i="30"/>
  <c r="S17" i="30" s="1"/>
  <c r="D292" i="30"/>
  <c r="R102" i="30"/>
  <c r="R83" i="30" s="1"/>
  <c r="Q33" i="30"/>
  <c r="R16" i="30" s="1"/>
  <c r="D240" i="30" s="1"/>
  <c r="D241" i="30" s="1"/>
  <c r="Q101" i="30"/>
  <c r="Q32" i="30"/>
  <c r="R15" i="30" s="1"/>
  <c r="D235" i="30" s="1"/>
  <c r="D236" i="30" s="1"/>
  <c r="Q100" i="30"/>
  <c r="Q79" i="30" s="1"/>
  <c r="Q28" i="30" s="1"/>
  <c r="R11" i="30" s="1"/>
  <c r="D215" i="30" s="1"/>
  <c r="D216" i="30" s="1"/>
  <c r="R94" i="30"/>
  <c r="D284" i="30"/>
  <c r="R26" i="30"/>
  <c r="S9" i="30" s="1"/>
  <c r="Q93" i="30"/>
  <c r="Q25" i="30"/>
  <c r="R8" i="30" s="1"/>
  <c r="D200" i="30" s="1"/>
  <c r="D201" i="30" s="1"/>
  <c r="C258" i="30"/>
  <c r="K91" i="30"/>
  <c r="K103" i="30"/>
  <c r="K99" i="30"/>
  <c r="K72" i="30" s="1"/>
  <c r="K98" i="30"/>
  <c r="C273" i="30"/>
  <c r="C269" i="30"/>
  <c r="K92" i="30"/>
  <c r="J72" i="30"/>
  <c r="J21" i="30" s="1"/>
  <c r="K4" i="30" s="1"/>
  <c r="J73" i="30"/>
  <c r="J22" i="30" s="1"/>
  <c r="K5" i="30" s="1"/>
  <c r="R96" i="30" l="1"/>
  <c r="S104" i="30"/>
  <c r="S36" i="30"/>
  <c r="T19" i="30" s="1"/>
  <c r="D274" i="30"/>
  <c r="D286" i="30"/>
  <c r="S34" i="30"/>
  <c r="T17" i="30" s="1"/>
  <c r="S102" i="30"/>
  <c r="S83" i="30" s="1"/>
  <c r="D272" i="30"/>
  <c r="R33" i="30"/>
  <c r="S16" i="30" s="1"/>
  <c r="D291" i="30"/>
  <c r="R101" i="30"/>
  <c r="R100" i="30"/>
  <c r="R79" i="30" s="1"/>
  <c r="R28" i="30" s="1"/>
  <c r="S11" i="30" s="1"/>
  <c r="S96" i="30" s="1"/>
  <c r="R32" i="30"/>
  <c r="S15" i="30" s="1"/>
  <c r="D290" i="30"/>
  <c r="S94" i="30"/>
  <c r="S26" i="30"/>
  <c r="T9" i="30" s="1"/>
  <c r="D264" i="30"/>
  <c r="D283" i="30"/>
  <c r="R93" i="30"/>
  <c r="R25" i="30"/>
  <c r="S8" i="30" s="1"/>
  <c r="C275" i="30"/>
  <c r="K89" i="30"/>
  <c r="K21" i="30"/>
  <c r="L4" i="30" s="1"/>
  <c r="K90" i="30"/>
  <c r="K86" i="30"/>
  <c r="K35" i="30" s="1"/>
  <c r="L18" i="30" s="1"/>
  <c r="T36" i="30" l="1"/>
  <c r="U19" i="30" s="1"/>
  <c r="T104" i="30"/>
  <c r="T102" i="30"/>
  <c r="T83" i="30" s="1"/>
  <c r="T34" i="30"/>
  <c r="U17" i="30" s="1"/>
  <c r="S101" i="30"/>
  <c r="S33" i="30"/>
  <c r="T16" i="30" s="1"/>
  <c r="D271" i="30"/>
  <c r="D270" i="30"/>
  <c r="S32" i="30"/>
  <c r="T15" i="30" s="1"/>
  <c r="S100" i="30"/>
  <c r="S79" i="30" s="1"/>
  <c r="S28" i="30" s="1"/>
  <c r="T11" i="30" s="1"/>
  <c r="T96" i="30" s="1"/>
  <c r="T94" i="30"/>
  <c r="T26" i="30"/>
  <c r="U9" i="30" s="1"/>
  <c r="S93" i="30"/>
  <c r="S25" i="30"/>
  <c r="T8" i="30" s="1"/>
  <c r="D263" i="30"/>
  <c r="L89" i="30"/>
  <c r="L103" i="30"/>
  <c r="K78" i="30"/>
  <c r="K27" i="30" s="1"/>
  <c r="L10" i="30" s="1"/>
  <c r="K82" i="30"/>
  <c r="K31" i="30" s="1"/>
  <c r="L14" i="30" s="1"/>
  <c r="K73" i="30"/>
  <c r="K22" i="30" s="1"/>
  <c r="L5" i="30" s="1"/>
  <c r="K71" i="30"/>
  <c r="K20" i="30" s="1"/>
  <c r="L3" i="30" s="1"/>
  <c r="K75" i="30"/>
  <c r="K24" i="30" s="1"/>
  <c r="L7" i="30" s="1"/>
  <c r="K80" i="30"/>
  <c r="K29" i="30" s="1"/>
  <c r="L12" i="30" s="1"/>
  <c r="K81" i="30"/>
  <c r="K30" i="30" s="1"/>
  <c r="L13" i="30" s="1"/>
  <c r="K74" i="30"/>
  <c r="K23" i="30" s="1"/>
  <c r="L6" i="30" s="1"/>
  <c r="D266" i="30" l="1"/>
  <c r="U104" i="30"/>
  <c r="U36" i="30"/>
  <c r="V19" i="30" s="1"/>
  <c r="U34" i="30"/>
  <c r="V17" i="30" s="1"/>
  <c r="U102" i="30"/>
  <c r="U83" i="30" s="1"/>
  <c r="T33" i="30"/>
  <c r="U16" i="30" s="1"/>
  <c r="T101" i="30"/>
  <c r="T100" i="30"/>
  <c r="T79" i="30" s="1"/>
  <c r="T28" i="30" s="1"/>
  <c r="U11" i="30" s="1"/>
  <c r="U96" i="30" s="1"/>
  <c r="T32" i="30"/>
  <c r="U15" i="30" s="1"/>
  <c r="U94" i="30"/>
  <c r="U26" i="30"/>
  <c r="V9" i="30" s="1"/>
  <c r="T25" i="30"/>
  <c r="U8" i="30" s="1"/>
  <c r="T93" i="30"/>
  <c r="L91" i="30"/>
  <c r="L88" i="30"/>
  <c r="L98" i="30"/>
  <c r="L90" i="30"/>
  <c r="L97" i="30"/>
  <c r="L99" i="30"/>
  <c r="L72" i="30" s="1"/>
  <c r="L21" i="30" s="1"/>
  <c r="M4" i="30" s="1"/>
  <c r="L92" i="30"/>
  <c r="L95" i="30"/>
  <c r="L78" i="30"/>
  <c r="L27" i="30" s="1"/>
  <c r="M10" i="30" s="1"/>
  <c r="L73" i="30" l="1"/>
  <c r="L22" i="30" s="1"/>
  <c r="M5" i="30" s="1"/>
  <c r="M90" i="30" s="1"/>
  <c r="V36" i="30"/>
  <c r="W19" i="30" s="1"/>
  <c r="V104" i="30"/>
  <c r="V102" i="30"/>
  <c r="V83" i="30" s="1"/>
  <c r="V34" i="30"/>
  <c r="W17" i="30" s="1"/>
  <c r="U101" i="30"/>
  <c r="U33" i="30"/>
  <c r="V16" i="30" s="1"/>
  <c r="U100" i="30"/>
  <c r="U79" i="30" s="1"/>
  <c r="U28" i="30" s="1"/>
  <c r="V11" i="30" s="1"/>
  <c r="U32" i="30"/>
  <c r="V15" i="30" s="1"/>
  <c r="L71" i="30"/>
  <c r="L20" i="30" s="1"/>
  <c r="M3" i="30" s="1"/>
  <c r="M88" i="30" s="1"/>
  <c r="V94" i="30"/>
  <c r="V26" i="30"/>
  <c r="W9" i="30" s="1"/>
  <c r="L82" i="30"/>
  <c r="L31" i="30" s="1"/>
  <c r="M14" i="30" s="1"/>
  <c r="M99" i="30" s="1"/>
  <c r="M72" i="30" s="1"/>
  <c r="M21" i="30" s="1"/>
  <c r="N4" i="30" s="1"/>
  <c r="U93" i="30"/>
  <c r="U25" i="30"/>
  <c r="V8" i="30" s="1"/>
  <c r="M95" i="30"/>
  <c r="M89" i="30"/>
  <c r="L74" i="30"/>
  <c r="L23" i="30" s="1"/>
  <c r="M6" i="30" s="1"/>
  <c r="L81" i="30"/>
  <c r="L30" i="30" s="1"/>
  <c r="M13" i="30" s="1"/>
  <c r="L80" i="30"/>
  <c r="L29" i="30" s="1"/>
  <c r="M12" i="30" s="1"/>
  <c r="L75" i="30"/>
  <c r="L24" i="30" s="1"/>
  <c r="M7" i="30" s="1"/>
  <c r="L86" i="30"/>
  <c r="L35" i="30" s="1"/>
  <c r="M18" i="30" s="1"/>
  <c r="W104" i="30" l="1"/>
  <c r="W36" i="30"/>
  <c r="X19" i="30" s="1"/>
  <c r="W102" i="30"/>
  <c r="W83" i="30" s="1"/>
  <c r="W34" i="30"/>
  <c r="X17" i="30" s="1"/>
  <c r="V33" i="30"/>
  <c r="W16" i="30" s="1"/>
  <c r="V101" i="30"/>
  <c r="V96" i="30"/>
  <c r="V100" i="30"/>
  <c r="V79" i="30" s="1"/>
  <c r="V28" i="30" s="1"/>
  <c r="W11" i="30" s="1"/>
  <c r="V32" i="30"/>
  <c r="W15" i="30" s="1"/>
  <c r="W26" i="30"/>
  <c r="X9" i="30" s="1"/>
  <c r="W94" i="30"/>
  <c r="V93" i="30"/>
  <c r="V25" i="30"/>
  <c r="W8" i="30" s="1"/>
  <c r="N89" i="30"/>
  <c r="M98" i="30"/>
  <c r="M73" i="30" s="1"/>
  <c r="M22" i="30" s="1"/>
  <c r="N5" i="30" s="1"/>
  <c r="M81" i="30"/>
  <c r="M30" i="30" s="1"/>
  <c r="N13" i="30" s="1"/>
  <c r="M103" i="30"/>
  <c r="M80" i="30" s="1"/>
  <c r="M29" i="30" s="1"/>
  <c r="N12" i="30" s="1"/>
  <c r="M91" i="30"/>
  <c r="M75" i="30" s="1"/>
  <c r="M24" i="30" s="1"/>
  <c r="N7" i="30" s="1"/>
  <c r="M92" i="30"/>
  <c r="M74" i="30" s="1"/>
  <c r="M23" i="30" s="1"/>
  <c r="N6" i="30" s="1"/>
  <c r="M97" i="30"/>
  <c r="M78" i="30"/>
  <c r="M27" i="30" s="1"/>
  <c r="N10" i="30" s="1"/>
  <c r="M71" i="30" l="1"/>
  <c r="M20" i="30" s="1"/>
  <c r="N3" i="30" s="1"/>
  <c r="N88" i="30" s="1"/>
  <c r="X104" i="30"/>
  <c r="X36" i="30"/>
  <c r="Y19" i="30" s="1"/>
  <c r="X34" i="30"/>
  <c r="Y17" i="30" s="1"/>
  <c r="X102" i="30"/>
  <c r="X83" i="30" s="1"/>
  <c r="W101" i="30"/>
  <c r="W33" i="30"/>
  <c r="X16" i="30" s="1"/>
  <c r="W96" i="30"/>
  <c r="W100" i="30"/>
  <c r="W79" i="30" s="1"/>
  <c r="W28" i="30" s="1"/>
  <c r="X11" i="30" s="1"/>
  <c r="W32" i="30"/>
  <c r="X15" i="30" s="1"/>
  <c r="M82" i="30"/>
  <c r="M31" i="30" s="1"/>
  <c r="N14" i="30" s="1"/>
  <c r="N99" i="30" s="1"/>
  <c r="N72" i="30" s="1"/>
  <c r="N21" i="30" s="1"/>
  <c r="O4" i="30" s="1"/>
  <c r="X94" i="30"/>
  <c r="X26" i="30"/>
  <c r="Y9" i="30" s="1"/>
  <c r="W93" i="30"/>
  <c r="W25" i="30"/>
  <c r="X8" i="30" s="1"/>
  <c r="N92" i="30"/>
  <c r="N97" i="30"/>
  <c r="N98" i="30"/>
  <c r="N91" i="30"/>
  <c r="N95" i="30"/>
  <c r="N90" i="30"/>
  <c r="M86" i="30"/>
  <c r="M35" i="30" s="1"/>
  <c r="N18" i="30" s="1"/>
  <c r="N78" i="30"/>
  <c r="N27" i="30" s="1"/>
  <c r="O10" i="30" s="1"/>
  <c r="Y104" i="30" l="1"/>
  <c r="Y36" i="30"/>
  <c r="Z19" i="30" s="1"/>
  <c r="E255" i="30" s="1"/>
  <c r="E256" i="30" s="1"/>
  <c r="Y34" i="30"/>
  <c r="Z17" i="30" s="1"/>
  <c r="E245" i="30" s="1"/>
  <c r="E246" i="30" s="1"/>
  <c r="Y102" i="30"/>
  <c r="Y83" i="30" s="1"/>
  <c r="X101" i="30"/>
  <c r="X33" i="30"/>
  <c r="Y16" i="30" s="1"/>
  <c r="X100" i="30"/>
  <c r="X79" i="30" s="1"/>
  <c r="X28" i="30" s="1"/>
  <c r="Y11" i="30" s="1"/>
  <c r="X32" i="30"/>
  <c r="Y15" i="30" s="1"/>
  <c r="X96" i="30"/>
  <c r="N71" i="30"/>
  <c r="N20" i="30" s="1"/>
  <c r="O3" i="30" s="1"/>
  <c r="O88" i="30" s="1"/>
  <c r="N82" i="30"/>
  <c r="N31" i="30" s="1"/>
  <c r="O14" i="30" s="1"/>
  <c r="O99" i="30" s="1"/>
  <c r="O72" i="30" s="1"/>
  <c r="O21" i="30" s="1"/>
  <c r="P4" i="30" s="1"/>
  <c r="N73" i="30"/>
  <c r="N22" i="30" s="1"/>
  <c r="O5" i="30" s="1"/>
  <c r="O90" i="30" s="1"/>
  <c r="Y26" i="30"/>
  <c r="Z9" i="30" s="1"/>
  <c r="E205" i="30" s="1"/>
  <c r="E206" i="30" s="1"/>
  <c r="Y94" i="30"/>
  <c r="X93" i="30"/>
  <c r="X25" i="30"/>
  <c r="Y8" i="30" s="1"/>
  <c r="O95" i="30"/>
  <c r="N74" i="30"/>
  <c r="N23" i="30" s="1"/>
  <c r="O6" i="30" s="1"/>
  <c r="N81" i="30"/>
  <c r="N30" i="30" s="1"/>
  <c r="O13" i="30" s="1"/>
  <c r="N75" i="30"/>
  <c r="N24" i="30" s="1"/>
  <c r="O7" i="30" s="1"/>
  <c r="O89" i="30"/>
  <c r="N103" i="30"/>
  <c r="N80" i="30" s="1"/>
  <c r="N29" i="30" s="1"/>
  <c r="O12" i="30" s="1"/>
  <c r="N86" i="30"/>
  <c r="N35" i="30" s="1"/>
  <c r="O18" i="30" s="1"/>
  <c r="E294" i="30" l="1"/>
  <c r="Z36" i="30"/>
  <c r="AA19" i="30" s="1"/>
  <c r="Z104" i="30"/>
  <c r="E292" i="30"/>
  <c r="Z34" i="30"/>
  <c r="AA17" i="30" s="1"/>
  <c r="Z102" i="30"/>
  <c r="Z83" i="30" s="1"/>
  <c r="Y33" i="30"/>
  <c r="Z16" i="30" s="1"/>
  <c r="E240" i="30" s="1"/>
  <c r="E241" i="30" s="1"/>
  <c r="Y101" i="30"/>
  <c r="Y100" i="30"/>
  <c r="Y79" i="30" s="1"/>
  <c r="Y28" i="30" s="1"/>
  <c r="Z11" i="30" s="1"/>
  <c r="E215" i="30" s="1"/>
  <c r="E216" i="30" s="1"/>
  <c r="Y32" i="30"/>
  <c r="Z15" i="30" s="1"/>
  <c r="E235" i="30" s="1"/>
  <c r="E236" i="30" s="1"/>
  <c r="Y96" i="30"/>
  <c r="E284" i="30"/>
  <c r="Z94" i="30"/>
  <c r="Z26" i="30"/>
  <c r="AA9" i="30" s="1"/>
  <c r="Y93" i="30"/>
  <c r="Y25" i="30"/>
  <c r="Z8" i="30" s="1"/>
  <c r="E200" i="30" s="1"/>
  <c r="E201" i="30" s="1"/>
  <c r="O103" i="30"/>
  <c r="O80" i="30" s="1"/>
  <c r="O29" i="30" s="1"/>
  <c r="P12" i="30" s="1"/>
  <c r="O97" i="30"/>
  <c r="O92" i="30"/>
  <c r="O74" i="30" s="1"/>
  <c r="O23" i="30" s="1"/>
  <c r="P6" i="30" s="1"/>
  <c r="O81" i="30"/>
  <c r="O30" i="30" s="1"/>
  <c r="P13" i="30" s="1"/>
  <c r="O78" i="30"/>
  <c r="O27" i="30" s="1"/>
  <c r="P10" i="30" s="1"/>
  <c r="O98" i="30"/>
  <c r="O73" i="30" s="1"/>
  <c r="O22" i="30" s="1"/>
  <c r="P5" i="30" s="1"/>
  <c r="P89" i="30"/>
  <c r="O91" i="30"/>
  <c r="AA36" i="30" l="1"/>
  <c r="AB19" i="30" s="1"/>
  <c r="AA104" i="30"/>
  <c r="E274" i="30"/>
  <c r="O86" i="30"/>
  <c r="O35" i="30" s="1"/>
  <c r="P18" i="30" s="1"/>
  <c r="P103" i="30" s="1"/>
  <c r="AA34" i="30"/>
  <c r="AB17" i="30" s="1"/>
  <c r="AA102" i="30"/>
  <c r="AA83" i="30" s="1"/>
  <c r="E272" i="30"/>
  <c r="E291" i="30"/>
  <c r="Z33" i="30"/>
  <c r="AA16" i="30" s="1"/>
  <c r="Z101" i="30"/>
  <c r="E290" i="30"/>
  <c r="Z100" i="30"/>
  <c r="Z79" i="30" s="1"/>
  <c r="Z28" i="30" s="1"/>
  <c r="AA11" i="30" s="1"/>
  <c r="AA96" i="30" s="1"/>
  <c r="Z32" i="30"/>
  <c r="AA15" i="30" s="1"/>
  <c r="E286" i="30"/>
  <c r="Z96" i="30"/>
  <c r="AA94" i="30"/>
  <c r="AA26" i="30"/>
  <c r="AB9" i="30" s="1"/>
  <c r="E264" i="30"/>
  <c r="Z93" i="30"/>
  <c r="Z25" i="30"/>
  <c r="AA8" i="30" s="1"/>
  <c r="E283" i="30"/>
  <c r="O75" i="30"/>
  <c r="O24" i="30" s="1"/>
  <c r="P7" i="30" s="1"/>
  <c r="P92" i="30" s="1"/>
  <c r="O82" i="30"/>
  <c r="O31" i="30" s="1"/>
  <c r="P14" i="30" s="1"/>
  <c r="P99" i="30" s="1"/>
  <c r="P72" i="30" s="1"/>
  <c r="P21" i="30" s="1"/>
  <c r="Q4" i="30" s="1"/>
  <c r="O71" i="30"/>
  <c r="O20" i="30" s="1"/>
  <c r="P3" i="30" s="1"/>
  <c r="P88" i="30" s="1"/>
  <c r="P97" i="30"/>
  <c r="P91" i="30"/>
  <c r="P90" i="30"/>
  <c r="P98" i="30"/>
  <c r="P78" i="30"/>
  <c r="P27" i="30" s="1"/>
  <c r="Q10" i="30" s="1"/>
  <c r="P95" i="30"/>
  <c r="E266" i="30" l="1"/>
  <c r="AB104" i="30"/>
  <c r="AB36" i="30"/>
  <c r="AC19" i="30" s="1"/>
  <c r="AB34" i="30"/>
  <c r="AC17" i="30" s="1"/>
  <c r="AB102" i="30"/>
  <c r="AB83" i="30" s="1"/>
  <c r="AA33" i="30"/>
  <c r="AB16" i="30" s="1"/>
  <c r="AA101" i="30"/>
  <c r="E271" i="30"/>
  <c r="AA100" i="30"/>
  <c r="AA79" i="30" s="1"/>
  <c r="AA28" i="30" s="1"/>
  <c r="AB11" i="30" s="1"/>
  <c r="AB96" i="30" s="1"/>
  <c r="AA32" i="30"/>
  <c r="AB15" i="30" s="1"/>
  <c r="E270" i="30"/>
  <c r="AB94" i="30"/>
  <c r="AB26" i="30"/>
  <c r="AC9" i="30" s="1"/>
  <c r="AA93" i="30"/>
  <c r="AA25" i="30"/>
  <c r="AB8" i="30" s="1"/>
  <c r="E263" i="30"/>
  <c r="P82" i="30"/>
  <c r="P31" i="30" s="1"/>
  <c r="Q14" i="30" s="1"/>
  <c r="Q99" i="30" s="1"/>
  <c r="Q72" i="30" s="1"/>
  <c r="Q21" i="30" s="1"/>
  <c r="R4" i="30" s="1"/>
  <c r="D180" i="30" s="1"/>
  <c r="D181" i="30" s="1"/>
  <c r="P73" i="30"/>
  <c r="P22" i="30" s="1"/>
  <c r="Q5" i="30" s="1"/>
  <c r="Q90" i="30" s="1"/>
  <c r="Q95" i="30"/>
  <c r="P74" i="30"/>
  <c r="P23" i="30" s="1"/>
  <c r="Q6" i="30" s="1"/>
  <c r="P81" i="30"/>
  <c r="P30" i="30" s="1"/>
  <c r="Q13" i="30" s="1"/>
  <c r="Q89" i="30"/>
  <c r="P75" i="30"/>
  <c r="P24" i="30" s="1"/>
  <c r="Q7" i="30" s="1"/>
  <c r="P80" i="30"/>
  <c r="P29" i="30" s="1"/>
  <c r="Q12" i="30" s="1"/>
  <c r="P71" i="30"/>
  <c r="P20" i="30" s="1"/>
  <c r="Q3" i="30" s="1"/>
  <c r="P86" i="30"/>
  <c r="P35" i="30" s="1"/>
  <c r="Q18" i="30" s="1"/>
  <c r="AC104" i="30" l="1"/>
  <c r="AC36" i="30"/>
  <c r="AD19" i="30" s="1"/>
  <c r="AC102" i="30"/>
  <c r="AC83" i="30" s="1"/>
  <c r="AC34" i="30"/>
  <c r="AD17" i="30" s="1"/>
  <c r="AB101" i="30"/>
  <c r="AB33" i="30"/>
  <c r="AC16" i="30" s="1"/>
  <c r="AB32" i="30"/>
  <c r="AC15" i="30" s="1"/>
  <c r="AB100" i="30"/>
  <c r="AB79" i="30" s="1"/>
  <c r="AB28" i="30" s="1"/>
  <c r="AC11" i="30" s="1"/>
  <c r="AC96" i="30" s="1"/>
  <c r="AC94" i="30"/>
  <c r="AC26" i="30"/>
  <c r="AD9" i="30" s="1"/>
  <c r="AB93" i="30"/>
  <c r="AB25" i="30"/>
  <c r="AC8" i="30" s="1"/>
  <c r="Q98" i="30"/>
  <c r="Q73" i="30" s="1"/>
  <c r="Q22" i="30" s="1"/>
  <c r="R5" i="30" s="1"/>
  <c r="D185" i="30" s="1"/>
  <c r="D186" i="30" s="1"/>
  <c r="Q92" i="30"/>
  <c r="Q74" i="30" s="1"/>
  <c r="Q23" i="30" s="1"/>
  <c r="R6" i="30" s="1"/>
  <c r="D190" i="30" s="1"/>
  <c r="D191" i="30" s="1"/>
  <c r="Q91" i="30"/>
  <c r="Q103" i="30"/>
  <c r="D279" i="30"/>
  <c r="R89" i="30"/>
  <c r="Q97" i="30"/>
  <c r="Q88" i="30"/>
  <c r="Q78" i="30"/>
  <c r="Q27" i="30" s="1"/>
  <c r="R10" i="30" s="1"/>
  <c r="D210" i="30" s="1"/>
  <c r="D211" i="30" s="1"/>
  <c r="Q81" i="30"/>
  <c r="Q30" i="30" s="1"/>
  <c r="R13" i="30" s="1"/>
  <c r="D225" i="30" s="1"/>
  <c r="D226" i="30" s="1"/>
  <c r="Q71" i="30" l="1"/>
  <c r="Q20" i="30" s="1"/>
  <c r="R3" i="30" s="1"/>
  <c r="D175" i="30" s="1"/>
  <c r="D176" i="30" s="1"/>
  <c r="Q82" i="30"/>
  <c r="Q31" i="30" s="1"/>
  <c r="R14" i="30" s="1"/>
  <c r="D230" i="30" s="1"/>
  <c r="D231" i="30" s="1"/>
  <c r="AD104" i="30"/>
  <c r="AD36" i="30"/>
  <c r="AE19" i="30" s="1"/>
  <c r="AD34" i="30"/>
  <c r="AE17" i="30" s="1"/>
  <c r="AD102" i="30"/>
  <c r="AD83" i="30" s="1"/>
  <c r="AC101" i="30"/>
  <c r="AC33" i="30"/>
  <c r="AD16" i="30" s="1"/>
  <c r="AC100" i="30"/>
  <c r="AC79" i="30" s="1"/>
  <c r="AC28" i="30" s="1"/>
  <c r="AD11" i="30" s="1"/>
  <c r="AD96" i="30" s="1"/>
  <c r="AC32" i="30"/>
  <c r="AD15" i="30" s="1"/>
  <c r="AD94" i="30"/>
  <c r="AD26" i="30"/>
  <c r="AE9" i="30" s="1"/>
  <c r="AC25" i="30"/>
  <c r="AD8" i="30" s="1"/>
  <c r="AC93" i="30"/>
  <c r="D288" i="30"/>
  <c r="R98" i="30"/>
  <c r="D281" i="30"/>
  <c r="R91" i="30"/>
  <c r="Q75" i="30"/>
  <c r="Q24" i="30" s="1"/>
  <c r="R7" i="30" s="1"/>
  <c r="D195" i="30" s="1"/>
  <c r="D196" i="30" s="1"/>
  <c r="Q80" i="30"/>
  <c r="Q29" i="30" s="1"/>
  <c r="R12" i="30" s="1"/>
  <c r="D220" i="30" s="1"/>
  <c r="D221" i="30" s="1"/>
  <c r="R78" i="30"/>
  <c r="R27" i="30" s="1"/>
  <c r="S10" i="30" s="1"/>
  <c r="R90" i="30"/>
  <c r="D280" i="30"/>
  <c r="D285" i="30"/>
  <c r="R95" i="30"/>
  <c r="D259" i="30"/>
  <c r="Q86" i="30"/>
  <c r="Q35" i="30" s="1"/>
  <c r="R18" i="30" s="1"/>
  <c r="D250" i="30" s="1"/>
  <c r="D251" i="30" s="1"/>
  <c r="R99" i="30" l="1"/>
  <c r="R72" i="30" s="1"/>
  <c r="R21" i="30" s="1"/>
  <c r="S4" i="30" s="1"/>
  <c r="S89" i="30" s="1"/>
  <c r="D278" i="30"/>
  <c r="D289" i="30"/>
  <c r="R88" i="30"/>
  <c r="R75" i="30" s="1"/>
  <c r="R24" i="30" s="1"/>
  <c r="S7" i="30" s="1"/>
  <c r="AE104" i="30"/>
  <c r="AE36" i="30"/>
  <c r="AF19" i="30" s="1"/>
  <c r="AE34" i="30"/>
  <c r="AF17" i="30" s="1"/>
  <c r="AE102" i="30"/>
  <c r="AE83" i="30" s="1"/>
  <c r="AD101" i="30"/>
  <c r="AD33" i="30"/>
  <c r="AE16" i="30" s="1"/>
  <c r="AD100" i="30"/>
  <c r="AD79" i="30" s="1"/>
  <c r="AD28" i="30" s="1"/>
  <c r="AE11" i="30" s="1"/>
  <c r="AD32" i="30"/>
  <c r="AE15" i="30" s="1"/>
  <c r="AE26" i="30"/>
  <c r="AF9" i="30" s="1"/>
  <c r="AE94" i="30"/>
  <c r="AD93" i="30"/>
  <c r="AD25" i="30"/>
  <c r="AE8" i="30" s="1"/>
  <c r="S95" i="30"/>
  <c r="R81" i="30"/>
  <c r="R30" i="30" s="1"/>
  <c r="S13" i="30" s="1"/>
  <c r="D265" i="30"/>
  <c r="D260" i="30"/>
  <c r="D287" i="30"/>
  <c r="R97" i="30"/>
  <c r="R71" i="30" s="1"/>
  <c r="R20" i="30" s="1"/>
  <c r="S3" i="30" s="1"/>
  <c r="D293" i="30"/>
  <c r="R103" i="30"/>
  <c r="R82" i="30"/>
  <c r="R31" i="30" s="1"/>
  <c r="S14" i="30" s="1"/>
  <c r="R92" i="30"/>
  <c r="D282" i="30"/>
  <c r="D261" i="30"/>
  <c r="D268" i="30"/>
  <c r="D277" i="30" l="1"/>
  <c r="R74" i="30"/>
  <c r="R23" i="30" s="1"/>
  <c r="S6" i="30" s="1"/>
  <c r="S91" i="30" s="1"/>
  <c r="R73" i="30"/>
  <c r="R22" i="30" s="1"/>
  <c r="S5" i="30" s="1"/>
  <c r="S90" i="30" s="1"/>
  <c r="S81" i="30" s="1"/>
  <c r="S30" i="30" s="1"/>
  <c r="T13" i="30" s="1"/>
  <c r="D269" i="30"/>
  <c r="R80" i="30"/>
  <c r="R29" i="30" s="1"/>
  <c r="S12" i="30" s="1"/>
  <c r="S97" i="30" s="1"/>
  <c r="AF104" i="30"/>
  <c r="AF36" i="30"/>
  <c r="AG19" i="30" s="1"/>
  <c r="AF34" i="30"/>
  <c r="AG17" i="30" s="1"/>
  <c r="AF102" i="30"/>
  <c r="AF83" i="30" s="1"/>
  <c r="AE33" i="30"/>
  <c r="AF16" i="30" s="1"/>
  <c r="AE101" i="30"/>
  <c r="AE96" i="30"/>
  <c r="AE100" i="30"/>
  <c r="AE79" i="30" s="1"/>
  <c r="AE28" i="30" s="1"/>
  <c r="AF11" i="30" s="1"/>
  <c r="AF96" i="30" s="1"/>
  <c r="AE32" i="30"/>
  <c r="AF15" i="30" s="1"/>
  <c r="AF94" i="30"/>
  <c r="AF26" i="30"/>
  <c r="AG9" i="30" s="1"/>
  <c r="AE93" i="30"/>
  <c r="AE25" i="30"/>
  <c r="AF8" i="30" s="1"/>
  <c r="D258" i="30"/>
  <c r="D262" i="30"/>
  <c r="S99" i="30"/>
  <c r="S72" i="30" s="1"/>
  <c r="S21" i="30" s="1"/>
  <c r="T4" i="30" s="1"/>
  <c r="D273" i="30"/>
  <c r="S78" i="30"/>
  <c r="S27" i="30" s="1"/>
  <c r="T10" i="30" s="1"/>
  <c r="R86" i="30"/>
  <c r="R35" i="30" s="1"/>
  <c r="S18" i="30" s="1"/>
  <c r="S92" i="30"/>
  <c r="D267" i="30"/>
  <c r="S88" i="30"/>
  <c r="S98" i="30"/>
  <c r="S82" i="30" l="1"/>
  <c r="S31" i="30" s="1"/>
  <c r="T14" i="30" s="1"/>
  <c r="T99" i="30" s="1"/>
  <c r="T72" i="30" s="1"/>
  <c r="T21" i="30" s="1"/>
  <c r="U4" i="30" s="1"/>
  <c r="AG104" i="30"/>
  <c r="AG36" i="30"/>
  <c r="AH19" i="30" s="1"/>
  <c r="F255" i="30" s="1"/>
  <c r="F256" i="30" s="1"/>
  <c r="AG34" i="30"/>
  <c r="AH17" i="30" s="1"/>
  <c r="F245" i="30" s="1"/>
  <c r="F246" i="30" s="1"/>
  <c r="AG102" i="30"/>
  <c r="AG83" i="30" s="1"/>
  <c r="AF101" i="30"/>
  <c r="AF33" i="30"/>
  <c r="AG16" i="30" s="1"/>
  <c r="AF32" i="30"/>
  <c r="AG15" i="30" s="1"/>
  <c r="AF100" i="30"/>
  <c r="AF79" i="30" s="1"/>
  <c r="AF28" i="30" s="1"/>
  <c r="AG11" i="30" s="1"/>
  <c r="AG96" i="30" s="1"/>
  <c r="AG94" i="30"/>
  <c r="AG26" i="30"/>
  <c r="AH9" i="30" s="1"/>
  <c r="F205" i="30" s="1"/>
  <c r="F206" i="30" s="1"/>
  <c r="AF93" i="30"/>
  <c r="AF25" i="30"/>
  <c r="AG8" i="30" s="1"/>
  <c r="D275" i="30"/>
  <c r="S73" i="30"/>
  <c r="S22" i="30" s="1"/>
  <c r="T5" i="30" s="1"/>
  <c r="T90" i="30" s="1"/>
  <c r="T98" i="30"/>
  <c r="S103" i="30"/>
  <c r="S80" i="30" s="1"/>
  <c r="S29" i="30" s="1"/>
  <c r="T12" i="30" s="1"/>
  <c r="T95" i="30"/>
  <c r="S75" i="30"/>
  <c r="S24" i="30" s="1"/>
  <c r="T7" i="30" s="1"/>
  <c r="S74" i="30"/>
  <c r="S23" i="30" s="1"/>
  <c r="T6" i="30" s="1"/>
  <c r="S71" i="30"/>
  <c r="S20" i="30" s="1"/>
  <c r="T3" i="30" s="1"/>
  <c r="S86" i="30"/>
  <c r="S35" i="30" s="1"/>
  <c r="T18" i="30" s="1"/>
  <c r="T89" i="30"/>
  <c r="AH36" i="30" l="1"/>
  <c r="AI19" i="30" s="1"/>
  <c r="F294" i="30"/>
  <c r="AH104" i="30"/>
  <c r="F292" i="30"/>
  <c r="AH34" i="30"/>
  <c r="AI17" i="30" s="1"/>
  <c r="AH102" i="30"/>
  <c r="AH83" i="30" s="1"/>
  <c r="AG33" i="30"/>
  <c r="AH16" i="30" s="1"/>
  <c r="F240" i="30" s="1"/>
  <c r="F241" i="30" s="1"/>
  <c r="AG101" i="30"/>
  <c r="AG100" i="30"/>
  <c r="AG79" i="30" s="1"/>
  <c r="AG28" i="30" s="1"/>
  <c r="AH11" i="30" s="1"/>
  <c r="F215" i="30" s="1"/>
  <c r="F216" i="30" s="1"/>
  <c r="AG32" i="30"/>
  <c r="AH15" i="30" s="1"/>
  <c r="F235" i="30" s="1"/>
  <c r="F236" i="30" s="1"/>
  <c r="F284" i="30"/>
  <c r="AH94" i="30"/>
  <c r="AH26" i="30"/>
  <c r="AI9" i="30" s="1"/>
  <c r="AG25" i="30"/>
  <c r="AH8" i="30" s="1"/>
  <c r="F200" i="30" s="1"/>
  <c r="F201" i="30" s="1"/>
  <c r="AG93" i="30"/>
  <c r="T103" i="30"/>
  <c r="T88" i="30"/>
  <c r="T91" i="30"/>
  <c r="T82" i="30" s="1"/>
  <c r="T31" i="30" s="1"/>
  <c r="U14" i="30" s="1"/>
  <c r="T81" i="30"/>
  <c r="T30" i="30" s="1"/>
  <c r="U13" i="30" s="1"/>
  <c r="T92" i="30"/>
  <c r="T74" i="30" s="1"/>
  <c r="T23" i="30" s="1"/>
  <c r="U6" i="30" s="1"/>
  <c r="T78" i="30"/>
  <c r="T27" i="30" s="1"/>
  <c r="U10" i="30" s="1"/>
  <c r="T73" i="30"/>
  <c r="T22" i="30" s="1"/>
  <c r="U5" i="30" s="1"/>
  <c r="U89" i="30"/>
  <c r="T97" i="30"/>
  <c r="T71" i="30" s="1"/>
  <c r="T20" i="30" s="1"/>
  <c r="U3" i="30" s="1"/>
  <c r="AH96" i="30" l="1"/>
  <c r="AI104" i="30"/>
  <c r="AI36" i="30"/>
  <c r="AJ19" i="30" s="1"/>
  <c r="F274" i="30"/>
  <c r="AI34" i="30"/>
  <c r="AJ17" i="30" s="1"/>
  <c r="AI102" i="30"/>
  <c r="AI83" i="30" s="1"/>
  <c r="F286" i="30"/>
  <c r="F272" i="30"/>
  <c r="AH33" i="30"/>
  <c r="AI16" i="30" s="1"/>
  <c r="F291" i="30"/>
  <c r="AH101" i="30"/>
  <c r="F290" i="30"/>
  <c r="AH100" i="30"/>
  <c r="AH79" i="30" s="1"/>
  <c r="AH28" i="30" s="1"/>
  <c r="AI11" i="30" s="1"/>
  <c r="AI96" i="30" s="1"/>
  <c r="AH32" i="30"/>
  <c r="AI15" i="30" s="1"/>
  <c r="AI94" i="30"/>
  <c r="AI26" i="30"/>
  <c r="AJ9" i="30" s="1"/>
  <c r="F264" i="30"/>
  <c r="AH25" i="30"/>
  <c r="AI8" i="30" s="1"/>
  <c r="F283" i="30"/>
  <c r="AH93" i="30"/>
  <c r="U88" i="30"/>
  <c r="U91" i="30"/>
  <c r="T75" i="30"/>
  <c r="T24" i="30" s="1"/>
  <c r="U7" i="30" s="1"/>
  <c r="T80" i="30"/>
  <c r="T29" i="30" s="1"/>
  <c r="U12" i="30" s="1"/>
  <c r="U95" i="30"/>
  <c r="U98" i="30"/>
  <c r="U78" i="30"/>
  <c r="U27" i="30" s="1"/>
  <c r="V10" i="30" s="1"/>
  <c r="U99" i="30"/>
  <c r="U72" i="30" s="1"/>
  <c r="U21" i="30" s="1"/>
  <c r="V4" i="30" s="1"/>
  <c r="U90" i="30"/>
  <c r="T86" i="30"/>
  <c r="T35" i="30" s="1"/>
  <c r="U18" i="30" s="1"/>
  <c r="F266" i="30" l="1"/>
  <c r="AJ104" i="30"/>
  <c r="AJ36" i="30"/>
  <c r="AK19" i="30" s="1"/>
  <c r="AJ34" i="30"/>
  <c r="AK17" i="30" s="1"/>
  <c r="AJ102" i="30"/>
  <c r="AJ83" i="30" s="1"/>
  <c r="AI33" i="30"/>
  <c r="AJ16" i="30" s="1"/>
  <c r="AI101" i="30"/>
  <c r="F271" i="30"/>
  <c r="AI32" i="30"/>
  <c r="AJ15" i="30" s="1"/>
  <c r="AI100" i="30"/>
  <c r="AI79" i="30" s="1"/>
  <c r="AI28" i="30" s="1"/>
  <c r="AJ11" i="30" s="1"/>
  <c r="AJ96" i="30" s="1"/>
  <c r="F270" i="30"/>
  <c r="U82" i="30"/>
  <c r="U31" i="30" s="1"/>
  <c r="V14" i="30" s="1"/>
  <c r="V99" i="30" s="1"/>
  <c r="V72" i="30" s="1"/>
  <c r="V21" i="30" s="1"/>
  <c r="W4" i="30" s="1"/>
  <c r="AJ26" i="30"/>
  <c r="AK9" i="30" s="1"/>
  <c r="AJ94" i="30"/>
  <c r="AI25" i="30"/>
  <c r="AJ8" i="30" s="1"/>
  <c r="AI93" i="30"/>
  <c r="F263" i="30"/>
  <c r="V95" i="30"/>
  <c r="V89" i="30"/>
  <c r="U103" i="30"/>
  <c r="U80" i="30" s="1"/>
  <c r="U29" i="30" s="1"/>
  <c r="V12" i="30" s="1"/>
  <c r="U73" i="30"/>
  <c r="U22" i="30" s="1"/>
  <c r="V5" i="30" s="1"/>
  <c r="U97" i="30"/>
  <c r="U71" i="30" s="1"/>
  <c r="U20" i="30" s="1"/>
  <c r="V3" i="30" s="1"/>
  <c r="U81" i="30"/>
  <c r="U30" i="30" s="1"/>
  <c r="V13" i="30" s="1"/>
  <c r="U92" i="30"/>
  <c r="U75" i="30"/>
  <c r="U24" i="30" s="1"/>
  <c r="V7" i="30" s="1"/>
  <c r="AK36" i="30" l="1"/>
  <c r="AL19" i="30" s="1"/>
  <c r="AK104" i="30"/>
  <c r="AK102" i="30"/>
  <c r="AK83" i="30" s="1"/>
  <c r="AK34" i="30"/>
  <c r="AL17" i="30" s="1"/>
  <c r="AJ101" i="30"/>
  <c r="AJ33" i="30"/>
  <c r="AK16" i="30" s="1"/>
  <c r="AJ100" i="30"/>
  <c r="AJ79" i="30" s="1"/>
  <c r="AJ28" i="30" s="1"/>
  <c r="AK11" i="30" s="1"/>
  <c r="AK96" i="30" s="1"/>
  <c r="AJ32" i="30"/>
  <c r="AK15" i="30" s="1"/>
  <c r="AK94" i="30"/>
  <c r="AK26" i="30"/>
  <c r="AL9" i="30" s="1"/>
  <c r="AJ93" i="30"/>
  <c r="AJ25" i="30"/>
  <c r="AK8" i="30" s="1"/>
  <c r="U86" i="30"/>
  <c r="U35" i="30" s="1"/>
  <c r="V18" i="30" s="1"/>
  <c r="V103" i="30" s="1"/>
  <c r="V97" i="30"/>
  <c r="W89" i="30"/>
  <c r="V88" i="30"/>
  <c r="V92" i="30"/>
  <c r="V90" i="30"/>
  <c r="V98" i="30"/>
  <c r="V73" i="30" s="1"/>
  <c r="V22" i="30" s="1"/>
  <c r="W5" i="30" s="1"/>
  <c r="U74" i="30"/>
  <c r="U23" i="30" s="1"/>
  <c r="V6" i="30" s="1"/>
  <c r="V78" i="30"/>
  <c r="V27" i="30" s="1"/>
  <c r="W10" i="30" s="1"/>
  <c r="AL36" i="30" l="1"/>
  <c r="AM19" i="30" s="1"/>
  <c r="AL104" i="30"/>
  <c r="AL102" i="30"/>
  <c r="AL83" i="30" s="1"/>
  <c r="AL34" i="30"/>
  <c r="AM17" i="30" s="1"/>
  <c r="AK101" i="30"/>
  <c r="AK33" i="30"/>
  <c r="AL16" i="30" s="1"/>
  <c r="AK32" i="30"/>
  <c r="AL15" i="30" s="1"/>
  <c r="AK100" i="30"/>
  <c r="AK79" i="30" s="1"/>
  <c r="AK28" i="30" s="1"/>
  <c r="AL11" i="30" s="1"/>
  <c r="AL96" i="30" s="1"/>
  <c r="V71" i="30"/>
  <c r="V20" i="30" s="1"/>
  <c r="W3" i="30" s="1"/>
  <c r="W88" i="30" s="1"/>
  <c r="AL26" i="30"/>
  <c r="AM9" i="30" s="1"/>
  <c r="AL94" i="30"/>
  <c r="AK93" i="30"/>
  <c r="AK25" i="30"/>
  <c r="AL8" i="30" s="1"/>
  <c r="W90" i="30"/>
  <c r="V80" i="30"/>
  <c r="V29" i="30" s="1"/>
  <c r="W12" i="30" s="1"/>
  <c r="V91" i="30"/>
  <c r="V74" i="30"/>
  <c r="V23" i="30" s="1"/>
  <c r="W6" i="30" s="1"/>
  <c r="V81" i="30"/>
  <c r="V30" i="30" s="1"/>
  <c r="W13" i="30" s="1"/>
  <c r="W95" i="30"/>
  <c r="W78" i="30"/>
  <c r="W27" i="30" s="1"/>
  <c r="X10" i="30" s="1"/>
  <c r="AM36" i="30" l="1"/>
  <c r="AN19" i="30" s="1"/>
  <c r="AM104" i="30"/>
  <c r="AM34" i="30"/>
  <c r="AN17" i="30" s="1"/>
  <c r="AM102" i="30"/>
  <c r="AM83" i="30" s="1"/>
  <c r="AL33" i="30"/>
  <c r="AM16" i="30" s="1"/>
  <c r="AL101" i="30"/>
  <c r="AL32" i="30"/>
  <c r="AM15" i="30" s="1"/>
  <c r="AL100" i="30"/>
  <c r="AL79" i="30" s="1"/>
  <c r="AL28" i="30" s="1"/>
  <c r="AM11" i="30" s="1"/>
  <c r="AM96" i="30" s="1"/>
  <c r="AM94" i="30"/>
  <c r="AM26" i="30"/>
  <c r="AN9" i="30" s="1"/>
  <c r="AL93" i="30"/>
  <c r="AL25" i="30"/>
  <c r="AM8" i="30" s="1"/>
  <c r="X95" i="30"/>
  <c r="W91" i="30"/>
  <c r="W75" i="30" s="1"/>
  <c r="V86" i="30"/>
  <c r="V35" i="30" s="1"/>
  <c r="W18" i="30" s="1"/>
  <c r="V82" i="30"/>
  <c r="V31" i="30" s="1"/>
  <c r="W14" i="30" s="1"/>
  <c r="W81" i="30"/>
  <c r="W30" i="30" s="1"/>
  <c r="X13" i="30" s="1"/>
  <c r="W98" i="30"/>
  <c r="V75" i="30"/>
  <c r="V24" i="30" s="1"/>
  <c r="W7" i="30" s="1"/>
  <c r="W97" i="30"/>
  <c r="AN36" i="30" l="1"/>
  <c r="AO19" i="30" s="1"/>
  <c r="AN104" i="30"/>
  <c r="AN102" i="30"/>
  <c r="AN83" i="30" s="1"/>
  <c r="AN34" i="30"/>
  <c r="AO17" i="30" s="1"/>
  <c r="AM101" i="30"/>
  <c r="AM33" i="30"/>
  <c r="AN16" i="30" s="1"/>
  <c r="AM32" i="30"/>
  <c r="AN15" i="30" s="1"/>
  <c r="AM100" i="30"/>
  <c r="AM79" i="30" s="1"/>
  <c r="AM28" i="30" s="1"/>
  <c r="AN11" i="30" s="1"/>
  <c r="AN96" i="30" s="1"/>
  <c r="AN94" i="30"/>
  <c r="AN26" i="30"/>
  <c r="AO9" i="30" s="1"/>
  <c r="AM93" i="30"/>
  <c r="AM25" i="30"/>
  <c r="AN8" i="30" s="1"/>
  <c r="W24" i="30"/>
  <c r="X7" i="30" s="1"/>
  <c r="W71" i="30"/>
  <c r="W20" i="30" s="1"/>
  <c r="X3" i="30" s="1"/>
  <c r="X88" i="30" s="1"/>
  <c r="W92" i="30"/>
  <c r="X98" i="30"/>
  <c r="W99" i="30"/>
  <c r="W72" i="30" s="1"/>
  <c r="W21" i="30" s="1"/>
  <c r="X4" i="30" s="1"/>
  <c r="W82" i="30"/>
  <c r="W31" i="30" s="1"/>
  <c r="X14" i="30" s="1"/>
  <c r="W103" i="30"/>
  <c r="W80" i="30" s="1"/>
  <c r="W29" i="30" s="1"/>
  <c r="X12" i="30" s="1"/>
  <c r="AO104" i="30" l="1"/>
  <c r="AO36" i="30"/>
  <c r="AP19" i="30" s="1"/>
  <c r="G255" i="30" s="1"/>
  <c r="G256" i="30" s="1"/>
  <c r="AO34" i="30"/>
  <c r="AP17" i="30" s="1"/>
  <c r="G245" i="30" s="1"/>
  <c r="G246" i="30" s="1"/>
  <c r="AO102" i="30"/>
  <c r="AO83" i="30" s="1"/>
  <c r="AN101" i="30"/>
  <c r="AN33" i="30"/>
  <c r="AO16" i="30" s="1"/>
  <c r="AN32" i="30"/>
  <c r="AO15" i="30" s="1"/>
  <c r="AN100" i="30"/>
  <c r="AN79" i="30" s="1"/>
  <c r="AN28" i="30" s="1"/>
  <c r="AO11" i="30" s="1"/>
  <c r="AO96" i="30" s="1"/>
  <c r="AO94" i="30"/>
  <c r="AO26" i="30"/>
  <c r="AP9" i="30" s="1"/>
  <c r="G205" i="30" s="1"/>
  <c r="G206" i="30" s="1"/>
  <c r="AN93" i="30"/>
  <c r="AN25" i="30"/>
  <c r="AO8" i="30" s="1"/>
  <c r="W73" i="30"/>
  <c r="W22" i="30" s="1"/>
  <c r="X5" i="30" s="1"/>
  <c r="X90" i="30" s="1"/>
  <c r="X99" i="30"/>
  <c r="X72" i="30" s="1"/>
  <c r="X21" i="30" s="1"/>
  <c r="Y4" i="30" s="1"/>
  <c r="X89" i="30"/>
  <c r="W74" i="30"/>
  <c r="W23" i="30" s="1"/>
  <c r="X6" i="30" s="1"/>
  <c r="X92" i="30"/>
  <c r="X97" i="30"/>
  <c r="W86" i="30"/>
  <c r="W35" i="30" s="1"/>
  <c r="X18" i="30" s="1"/>
  <c r="G294" i="30" l="1"/>
  <c r="AP36" i="30"/>
  <c r="AQ19" i="30" s="1"/>
  <c r="AP104" i="30"/>
  <c r="G292" i="30"/>
  <c r="AP34" i="30"/>
  <c r="AQ17" i="30" s="1"/>
  <c r="AP102" i="30"/>
  <c r="AP83" i="30" s="1"/>
  <c r="AO101" i="30"/>
  <c r="AO33" i="30"/>
  <c r="AP16" i="30" s="1"/>
  <c r="G240" i="30" s="1"/>
  <c r="G241" i="30" s="1"/>
  <c r="AO32" i="30"/>
  <c r="AP15" i="30" s="1"/>
  <c r="G235" i="30" s="1"/>
  <c r="G236" i="30" s="1"/>
  <c r="AO100" i="30"/>
  <c r="AO79" i="30" s="1"/>
  <c r="AO28" i="30" s="1"/>
  <c r="AP11" i="30" s="1"/>
  <c r="G215" i="30" s="1"/>
  <c r="G216" i="30" s="1"/>
  <c r="G284" i="30"/>
  <c r="AP94" i="30"/>
  <c r="AP26" i="30"/>
  <c r="AQ9" i="30" s="1"/>
  <c r="AO25" i="30"/>
  <c r="AP8" i="30" s="1"/>
  <c r="G200" i="30" s="1"/>
  <c r="G201" i="30" s="1"/>
  <c r="AO93" i="30"/>
  <c r="Y89" i="30"/>
  <c r="X103" i="30"/>
  <c r="X80" i="30" s="1"/>
  <c r="X29" i="30" s="1"/>
  <c r="Y12" i="30" s="1"/>
  <c r="X71" i="30"/>
  <c r="X20" i="30" s="1"/>
  <c r="Y3" i="30" s="1"/>
  <c r="X78" i="30"/>
  <c r="X27" i="30" s="1"/>
  <c r="Y10" i="30" s="1"/>
  <c r="X73" i="30"/>
  <c r="X22" i="30" s="1"/>
  <c r="Y5" i="30" s="1"/>
  <c r="X74" i="30"/>
  <c r="X23" i="30" s="1"/>
  <c r="Y6" i="30" s="1"/>
  <c r="X81" i="30"/>
  <c r="X30" i="30" s="1"/>
  <c r="Y13" i="30" s="1"/>
  <c r="X91" i="30"/>
  <c r="AQ104" i="30" l="1"/>
  <c r="AQ36" i="30"/>
  <c r="AR19" i="30" s="1"/>
  <c r="G274" i="30"/>
  <c r="AQ34" i="30"/>
  <c r="AR17" i="30" s="1"/>
  <c r="AQ102" i="30"/>
  <c r="AQ83" i="30" s="1"/>
  <c r="G272" i="30"/>
  <c r="G291" i="30"/>
  <c r="AP33" i="30"/>
  <c r="AQ16" i="30" s="1"/>
  <c r="AP101" i="30"/>
  <c r="G286" i="30"/>
  <c r="AP96" i="30"/>
  <c r="G290" i="30"/>
  <c r="AP32" i="30"/>
  <c r="AQ15" i="30" s="1"/>
  <c r="AP100" i="30"/>
  <c r="AP79" i="30" s="1"/>
  <c r="AP28" i="30" s="1"/>
  <c r="AQ11" i="30" s="1"/>
  <c r="AQ96" i="30" s="1"/>
  <c r="AQ26" i="30"/>
  <c r="AR9" i="30" s="1"/>
  <c r="AQ94" i="30"/>
  <c r="G264" i="30"/>
  <c r="AP93" i="30"/>
  <c r="G283" i="30"/>
  <c r="AP25" i="30"/>
  <c r="AQ8" i="30" s="1"/>
  <c r="Y97" i="30"/>
  <c r="X86" i="30"/>
  <c r="X35" i="30" s="1"/>
  <c r="Y18" i="30" s="1"/>
  <c r="X75" i="30"/>
  <c r="X24" i="30" s="1"/>
  <c r="Y7" i="30" s="1"/>
  <c r="Y90" i="30"/>
  <c r="X82" i="30"/>
  <c r="X31" i="30" s="1"/>
  <c r="Y14" i="30" s="1"/>
  <c r="Y98" i="30"/>
  <c r="Y95" i="30"/>
  <c r="Y91" i="30"/>
  <c r="Y88" i="30"/>
  <c r="Y78" i="30"/>
  <c r="Y27" i="30" s="1"/>
  <c r="Z10" i="30" s="1"/>
  <c r="E210" i="30" s="1"/>
  <c r="E211" i="30" s="1"/>
  <c r="G266" i="30" l="1"/>
  <c r="AR36" i="30"/>
  <c r="AS19" i="30" s="1"/>
  <c r="AR104" i="30"/>
  <c r="AR34" i="30"/>
  <c r="AS17" i="30" s="1"/>
  <c r="AR102" i="30"/>
  <c r="AR83" i="30" s="1"/>
  <c r="AQ101" i="30"/>
  <c r="AQ33" i="30"/>
  <c r="AR16" i="30" s="1"/>
  <c r="G271" i="30"/>
  <c r="AQ32" i="30"/>
  <c r="AR15" i="30" s="1"/>
  <c r="AQ100" i="30"/>
  <c r="AQ79" i="30" s="1"/>
  <c r="AQ28" i="30" s="1"/>
  <c r="AR11" i="30" s="1"/>
  <c r="G270" i="30"/>
  <c r="AR26" i="30"/>
  <c r="AS9" i="30" s="1"/>
  <c r="AR94" i="30"/>
  <c r="AQ25" i="30"/>
  <c r="AR8" i="30" s="1"/>
  <c r="AQ93" i="30"/>
  <c r="G263" i="30"/>
  <c r="Y82" i="30"/>
  <c r="Y31" i="30" s="1"/>
  <c r="Z14" i="30" s="1"/>
  <c r="E230" i="30" s="1"/>
  <c r="E231" i="30" s="1"/>
  <c r="Y71" i="30"/>
  <c r="Y20" i="30" s="1"/>
  <c r="Z3" i="30" s="1"/>
  <c r="E175" i="30" s="1"/>
  <c r="E176" i="30" s="1"/>
  <c r="Y92" i="30"/>
  <c r="Y86" i="30" s="1"/>
  <c r="Y35" i="30" s="1"/>
  <c r="Z18" i="30" s="1"/>
  <c r="E250" i="30" s="1"/>
  <c r="E251" i="30" s="1"/>
  <c r="Y75" i="30"/>
  <c r="Y24" i="30" s="1"/>
  <c r="Z7" i="30" s="1"/>
  <c r="E195" i="30" s="1"/>
  <c r="E196" i="30" s="1"/>
  <c r="E285" i="30"/>
  <c r="Z95" i="30"/>
  <c r="Y103" i="30"/>
  <c r="Y80" i="30" s="1"/>
  <c r="Y29" i="30" s="1"/>
  <c r="Z12" i="30" s="1"/>
  <c r="E220" i="30" s="1"/>
  <c r="E221" i="30" s="1"/>
  <c r="Y99" i="30"/>
  <c r="Y72" i="30" s="1"/>
  <c r="Y21" i="30" s="1"/>
  <c r="Z4" i="30" s="1"/>
  <c r="E180" i="30" s="1"/>
  <c r="E181" i="30" s="1"/>
  <c r="Y81" i="30"/>
  <c r="Y30" i="30" s="1"/>
  <c r="Z13" i="30" s="1"/>
  <c r="E225" i="30" s="1"/>
  <c r="E226" i="30" s="1"/>
  <c r="Z88" i="30" l="1"/>
  <c r="AS104" i="30"/>
  <c r="AS36" i="30"/>
  <c r="AT19" i="30" s="1"/>
  <c r="AS34" i="30"/>
  <c r="AT17" i="30" s="1"/>
  <c r="AS102" i="30"/>
  <c r="AS83" i="30" s="1"/>
  <c r="AR101" i="30"/>
  <c r="AR33" i="30"/>
  <c r="AS16" i="30" s="1"/>
  <c r="AR96" i="30"/>
  <c r="AR100" i="30"/>
  <c r="AR79" i="30" s="1"/>
  <c r="AR28" i="30" s="1"/>
  <c r="AS11" i="30" s="1"/>
  <c r="AR32" i="30"/>
  <c r="AS15" i="30" s="1"/>
  <c r="Y74" i="30"/>
  <c r="Y23" i="30" s="1"/>
  <c r="Z6" i="30" s="1"/>
  <c r="E190" i="30" s="1"/>
  <c r="E191" i="30" s="1"/>
  <c r="AS94" i="30"/>
  <c r="AS26" i="30"/>
  <c r="AT9" i="30" s="1"/>
  <c r="AR93" i="30"/>
  <c r="AR25" i="30"/>
  <c r="AS8" i="30" s="1"/>
  <c r="E278" i="30"/>
  <c r="Y73" i="30"/>
  <c r="Y22" i="30" s="1"/>
  <c r="Z5" i="30" s="1"/>
  <c r="E185" i="30" s="1"/>
  <c r="E186" i="30" s="1"/>
  <c r="E282" i="30"/>
  <c r="Z92" i="30"/>
  <c r="E293" i="30"/>
  <c r="Z103" i="30"/>
  <c r="Z98" i="30"/>
  <c r="E288" i="30"/>
  <c r="Z97" i="30"/>
  <c r="E287" i="30"/>
  <c r="E279" i="30"/>
  <c r="Z89" i="30"/>
  <c r="E289" i="30"/>
  <c r="Z99" i="30"/>
  <c r="Z72" i="30" s="1"/>
  <c r="Z21" i="30" s="1"/>
  <c r="AA4" i="30" s="1"/>
  <c r="E265" i="30"/>
  <c r="Z90" i="30" l="1"/>
  <c r="Z80" i="30" s="1"/>
  <c r="Z29" i="30" s="1"/>
  <c r="AA12" i="30" s="1"/>
  <c r="AA97" i="30" s="1"/>
  <c r="Z91" i="30"/>
  <c r="Z86" i="30" s="1"/>
  <c r="Z35" i="30" s="1"/>
  <c r="AA18" i="30" s="1"/>
  <c r="E281" i="30"/>
  <c r="AT104" i="30"/>
  <c r="AT36" i="30"/>
  <c r="AU19" i="30" s="1"/>
  <c r="AT34" i="30"/>
  <c r="AU17" i="30" s="1"/>
  <c r="AT102" i="30"/>
  <c r="AT83" i="30" s="1"/>
  <c r="AS101" i="30"/>
  <c r="AS33" i="30"/>
  <c r="AT16" i="30" s="1"/>
  <c r="AS100" i="30"/>
  <c r="AS79" i="30" s="1"/>
  <c r="AS28" i="30" s="1"/>
  <c r="AT11" i="30" s="1"/>
  <c r="AT96" i="30" s="1"/>
  <c r="AS32" i="30"/>
  <c r="AT15" i="30" s="1"/>
  <c r="AS96" i="30"/>
  <c r="AT94" i="30"/>
  <c r="AT26" i="30"/>
  <c r="AU9" i="30" s="1"/>
  <c r="AS93" i="30"/>
  <c r="AS25" i="30"/>
  <c r="AT8" i="30" s="1"/>
  <c r="E280" i="30"/>
  <c r="E258" i="30"/>
  <c r="AA89" i="30"/>
  <c r="E269" i="30"/>
  <c r="Z73" i="30"/>
  <c r="Z22" i="30" s="1"/>
  <c r="AA5" i="30" s="1"/>
  <c r="Z78" i="30"/>
  <c r="Z27" i="30" s="1"/>
  <c r="AA10" i="30" s="1"/>
  <c r="E259" i="30"/>
  <c r="E267" i="30"/>
  <c r="E268" i="30"/>
  <c r="E273" i="30"/>
  <c r="E262" i="30"/>
  <c r="E277" i="30" l="1"/>
  <c r="E260" i="30"/>
  <c r="Z81" i="30"/>
  <c r="Z30" i="30" s="1"/>
  <c r="AA13" i="30" s="1"/>
  <c r="AA98" i="30" s="1"/>
  <c r="Z74" i="30"/>
  <c r="Z23" i="30" s="1"/>
  <c r="AA6" i="30" s="1"/>
  <c r="AA91" i="30" s="1"/>
  <c r="Z71" i="30"/>
  <c r="Z20" i="30" s="1"/>
  <c r="AA3" i="30" s="1"/>
  <c r="AA88" i="30" s="1"/>
  <c r="E261" i="30"/>
  <c r="Z82" i="30"/>
  <c r="Z31" i="30" s="1"/>
  <c r="AA14" i="30" s="1"/>
  <c r="AA99" i="30" s="1"/>
  <c r="AA72" i="30" s="1"/>
  <c r="AA21" i="30" s="1"/>
  <c r="AB4" i="30" s="1"/>
  <c r="Z75" i="30"/>
  <c r="Z24" i="30" s="1"/>
  <c r="AA7" i="30" s="1"/>
  <c r="AA92" i="30" s="1"/>
  <c r="AU104" i="30"/>
  <c r="AU36" i="30"/>
  <c r="AV19" i="30" s="1"/>
  <c r="AU34" i="30"/>
  <c r="AV17" i="30" s="1"/>
  <c r="AU102" i="30"/>
  <c r="AU83" i="30" s="1"/>
  <c r="AT101" i="30"/>
  <c r="AT33" i="30"/>
  <c r="AU16" i="30" s="1"/>
  <c r="AT32" i="30"/>
  <c r="AU15" i="30" s="1"/>
  <c r="AT100" i="30"/>
  <c r="AT79" i="30" s="1"/>
  <c r="AT28" i="30" s="1"/>
  <c r="AU11" i="30" s="1"/>
  <c r="AU96" i="30" s="1"/>
  <c r="AU94" i="30"/>
  <c r="AU26" i="30"/>
  <c r="AV9" i="30" s="1"/>
  <c r="AT93" i="30"/>
  <c r="AT25" i="30"/>
  <c r="AU8" i="30" s="1"/>
  <c r="AA95" i="30"/>
  <c r="AA90" i="30"/>
  <c r="AA78" i="30"/>
  <c r="AA27" i="30" s="1"/>
  <c r="AB10" i="30" s="1"/>
  <c r="AA103" i="30"/>
  <c r="E275" i="30" l="1"/>
  <c r="AA73" i="30"/>
  <c r="AA22" i="30" s="1"/>
  <c r="AB5" i="30" s="1"/>
  <c r="AB90" i="30" s="1"/>
  <c r="AV36" i="30"/>
  <c r="AW19" i="30" s="1"/>
  <c r="AV104" i="30"/>
  <c r="AV34" i="30"/>
  <c r="AW17" i="30" s="1"/>
  <c r="AV102" i="30"/>
  <c r="AV83" i="30" s="1"/>
  <c r="AU33" i="30"/>
  <c r="AV16" i="30" s="1"/>
  <c r="AU101" i="30"/>
  <c r="AU100" i="30"/>
  <c r="AU79" i="30" s="1"/>
  <c r="AU28" i="30" s="1"/>
  <c r="AV11" i="30" s="1"/>
  <c r="AV96" i="30" s="1"/>
  <c r="AU32" i="30"/>
  <c r="AV15" i="30" s="1"/>
  <c r="AV26" i="30"/>
  <c r="AW9" i="30" s="1"/>
  <c r="AV94" i="30"/>
  <c r="AU93" i="30"/>
  <c r="AU25" i="30"/>
  <c r="AV8" i="30" s="1"/>
  <c r="AA71" i="30"/>
  <c r="AA20" i="30" s="1"/>
  <c r="AB3" i="30" s="1"/>
  <c r="AB88" i="30" s="1"/>
  <c r="AB95" i="30"/>
  <c r="AA86" i="30"/>
  <c r="AA35" i="30" s="1"/>
  <c r="AB18" i="30" s="1"/>
  <c r="AA80" i="30"/>
  <c r="AA29" i="30" s="1"/>
  <c r="AB12" i="30" s="1"/>
  <c r="AA75" i="30"/>
  <c r="AA24" i="30" s="1"/>
  <c r="AB7" i="30" s="1"/>
  <c r="AA81" i="30"/>
  <c r="AA30" i="30" s="1"/>
  <c r="AB13" i="30" s="1"/>
  <c r="AA74" i="30"/>
  <c r="AA23" i="30" s="1"/>
  <c r="AB6" i="30" s="1"/>
  <c r="AB89" i="30"/>
  <c r="AA82" i="30"/>
  <c r="AA31" i="30" s="1"/>
  <c r="AB14" i="30" s="1"/>
  <c r="AW104" i="30" l="1"/>
  <c r="AW36" i="30"/>
  <c r="AX19" i="30" s="1"/>
  <c r="H255" i="30" s="1"/>
  <c r="H256" i="30" s="1"/>
  <c r="B257" i="30" s="1"/>
  <c r="AW34" i="30"/>
  <c r="AX17" i="30" s="1"/>
  <c r="H245" i="30" s="1"/>
  <c r="H246" i="30" s="1"/>
  <c r="B247" i="30" s="1"/>
  <c r="AW102" i="30"/>
  <c r="AW83" i="30" s="1"/>
  <c r="AV33" i="30"/>
  <c r="AW16" i="30" s="1"/>
  <c r="AV101" i="30"/>
  <c r="AV100" i="30"/>
  <c r="AV79" i="30" s="1"/>
  <c r="AV28" i="30" s="1"/>
  <c r="AW11" i="30" s="1"/>
  <c r="AV32" i="30"/>
  <c r="AW15" i="30" s="1"/>
  <c r="AW94" i="30"/>
  <c r="AW26" i="30"/>
  <c r="AX9" i="30" s="1"/>
  <c r="H205" i="30" s="1"/>
  <c r="H206" i="30" s="1"/>
  <c r="B207" i="30" s="1"/>
  <c r="AV25" i="30"/>
  <c r="AW8" i="30" s="1"/>
  <c r="AV93" i="30"/>
  <c r="AB91" i="30"/>
  <c r="AB103" i="30"/>
  <c r="AB80" i="30" s="1"/>
  <c r="AB29" i="30" s="1"/>
  <c r="AC12" i="30" s="1"/>
  <c r="AB78" i="30"/>
  <c r="AB27" i="30" s="1"/>
  <c r="AC10" i="30" s="1"/>
  <c r="AB98" i="30"/>
  <c r="AB97" i="30"/>
  <c r="AB99" i="30"/>
  <c r="AB72" i="30" s="1"/>
  <c r="AB21" i="30" s="1"/>
  <c r="AC4" i="30" s="1"/>
  <c r="AB92" i="30"/>
  <c r="AB81" i="30"/>
  <c r="AB30" i="30" s="1"/>
  <c r="AC13" i="30" s="1"/>
  <c r="AX104" i="30" l="1"/>
  <c r="H294" i="30"/>
  <c r="R294" i="30" s="1"/>
  <c r="AX36" i="30"/>
  <c r="AY19" i="30" s="1"/>
  <c r="AX102" i="30"/>
  <c r="AX83" i="30" s="1"/>
  <c r="H292" i="30"/>
  <c r="R292" i="30" s="1"/>
  <c r="AX34" i="30"/>
  <c r="AY17" i="30" s="1"/>
  <c r="AW33" i="30"/>
  <c r="AX16" i="30" s="1"/>
  <c r="H240" i="30" s="1"/>
  <c r="H241" i="30" s="1"/>
  <c r="B242" i="30" s="1"/>
  <c r="AW101" i="30"/>
  <c r="AW100" i="30"/>
  <c r="AW79" i="30" s="1"/>
  <c r="AW28" i="30" s="1"/>
  <c r="AX11" i="30" s="1"/>
  <c r="H215" i="30" s="1"/>
  <c r="H216" i="30" s="1"/>
  <c r="B217" i="30" s="1"/>
  <c r="AW32" i="30"/>
  <c r="AX15" i="30" s="1"/>
  <c r="H235" i="30" s="1"/>
  <c r="H236" i="30" s="1"/>
  <c r="B237" i="30" s="1"/>
  <c r="AW96" i="30"/>
  <c r="AX94" i="30"/>
  <c r="H284" i="30"/>
  <c r="R284" i="30" s="1"/>
  <c r="AX26" i="30"/>
  <c r="AY9" i="30" s="1"/>
  <c r="AW25" i="30"/>
  <c r="AX8" i="30" s="1"/>
  <c r="H200" i="30" s="1"/>
  <c r="H201" i="30" s="1"/>
  <c r="B202" i="30" s="1"/>
  <c r="AW93" i="30"/>
  <c r="AB71" i="30"/>
  <c r="AB20" i="30" s="1"/>
  <c r="AC3" i="30" s="1"/>
  <c r="AC88" i="30" s="1"/>
  <c r="AB74" i="30"/>
  <c r="AB23" i="30" s="1"/>
  <c r="AC6" i="30" s="1"/>
  <c r="AC91" i="30" s="1"/>
  <c r="AB73" i="30"/>
  <c r="AB22" i="30" s="1"/>
  <c r="AC5" i="30" s="1"/>
  <c r="AC90" i="30" s="1"/>
  <c r="AC97" i="30"/>
  <c r="AC89" i="30"/>
  <c r="AB82" i="30"/>
  <c r="AB31" i="30" s="1"/>
  <c r="AC14" i="30" s="1"/>
  <c r="AB86" i="30"/>
  <c r="AB35" i="30" s="1"/>
  <c r="AC18" i="30" s="1"/>
  <c r="AC95" i="30"/>
  <c r="AB75" i="30"/>
  <c r="AB24" i="30" s="1"/>
  <c r="AC7" i="30" s="1"/>
  <c r="AC98" i="30"/>
  <c r="AY104" i="30" l="1"/>
  <c r="AY36" i="30"/>
  <c r="AZ19" i="30" s="1"/>
  <c r="H274" i="30"/>
  <c r="I274" i="30" s="1"/>
  <c r="AY102" i="30"/>
  <c r="AY83" i="30" s="1"/>
  <c r="AY34" i="30"/>
  <c r="AZ17" i="30" s="1"/>
  <c r="H272" i="30"/>
  <c r="I272" i="30" s="1"/>
  <c r="H291" i="30"/>
  <c r="R291" i="30" s="1"/>
  <c r="AX101" i="30"/>
  <c r="AX33" i="30"/>
  <c r="AY16" i="30" s="1"/>
  <c r="H286" i="30"/>
  <c r="R286" i="30" s="1"/>
  <c r="AX96" i="30"/>
  <c r="H290" i="30"/>
  <c r="R290" i="30" s="1"/>
  <c r="AX100" i="30"/>
  <c r="AX79" i="30" s="1"/>
  <c r="AX28" i="30" s="1"/>
  <c r="AY11" i="30" s="1"/>
  <c r="AY96" i="30" s="1"/>
  <c r="AX32" i="30"/>
  <c r="AY15" i="30" s="1"/>
  <c r="AY94" i="30"/>
  <c r="AY26" i="30"/>
  <c r="AZ9" i="30" s="1"/>
  <c r="H264" i="30"/>
  <c r="I264" i="30" s="1"/>
  <c r="H283" i="30"/>
  <c r="R283" i="30" s="1"/>
  <c r="AX93" i="30"/>
  <c r="AX25" i="30"/>
  <c r="AY8" i="30" s="1"/>
  <c r="AC99" i="30"/>
  <c r="AC72" i="30" s="1"/>
  <c r="AC21" i="30" s="1"/>
  <c r="AD4" i="30" s="1"/>
  <c r="AC75" i="30"/>
  <c r="AC24" i="30" s="1"/>
  <c r="AD7" i="30" s="1"/>
  <c r="AC103" i="30"/>
  <c r="AC80" i="30" s="1"/>
  <c r="AC29" i="30" s="1"/>
  <c r="AD12" i="30" s="1"/>
  <c r="AC92" i="30"/>
  <c r="AC86" i="30" s="1"/>
  <c r="AC35" i="30" s="1"/>
  <c r="AD18" i="30" s="1"/>
  <c r="AC82" i="30"/>
  <c r="AC31" i="30" s="1"/>
  <c r="AD14" i="30" s="1"/>
  <c r="AC71" i="30"/>
  <c r="AC20" i="30" s="1"/>
  <c r="AD3" i="30" s="1"/>
  <c r="AC78" i="30"/>
  <c r="AC27" i="30" s="1"/>
  <c r="AD10" i="30" s="1"/>
  <c r="AC81" i="30"/>
  <c r="AC30" i="30" s="1"/>
  <c r="AD13" i="30" s="1"/>
  <c r="AC73" i="30" l="1"/>
  <c r="AC22" i="30" s="1"/>
  <c r="AD5" i="30" s="1"/>
  <c r="AD90" i="30" s="1"/>
  <c r="AZ36" i="30"/>
  <c r="BA19" i="30" s="1"/>
  <c r="AZ104" i="30"/>
  <c r="H266" i="30"/>
  <c r="I266" i="30" s="1"/>
  <c r="AZ102" i="30"/>
  <c r="AZ83" i="30" s="1"/>
  <c r="AZ34" i="30"/>
  <c r="BA17" i="30" s="1"/>
  <c r="AY101" i="30"/>
  <c r="AY33" i="30"/>
  <c r="AZ16" i="30" s="1"/>
  <c r="H271" i="30"/>
  <c r="I271" i="30" s="1"/>
  <c r="AY100" i="30"/>
  <c r="AY79" i="30" s="1"/>
  <c r="AY28" i="30" s="1"/>
  <c r="AZ11" i="30" s="1"/>
  <c r="AZ96" i="30" s="1"/>
  <c r="AY32" i="30"/>
  <c r="AZ15" i="30" s="1"/>
  <c r="H270" i="30"/>
  <c r="I270" i="30" s="1"/>
  <c r="AZ94" i="30"/>
  <c r="AZ26" i="30"/>
  <c r="BA9" i="30" s="1"/>
  <c r="AY93" i="30"/>
  <c r="AY25" i="30"/>
  <c r="AZ8" i="30" s="1"/>
  <c r="H263" i="30"/>
  <c r="I263" i="30" s="1"/>
  <c r="AD97" i="30"/>
  <c r="AD92" i="30"/>
  <c r="AD103" i="30"/>
  <c r="AD99" i="30"/>
  <c r="AD72" i="30" s="1"/>
  <c r="AD21" i="30" s="1"/>
  <c r="AE4" i="30" s="1"/>
  <c r="AD95" i="30"/>
  <c r="AC74" i="30"/>
  <c r="AC23" i="30" s="1"/>
  <c r="AD6" i="30" s="1"/>
  <c r="AD98" i="30"/>
  <c r="AD88" i="30"/>
  <c r="AD89" i="30"/>
  <c r="BA36" i="30" l="1"/>
  <c r="BB19" i="30" s="1"/>
  <c r="BA104" i="30"/>
  <c r="BA34" i="30"/>
  <c r="BB17" i="30" s="1"/>
  <c r="BA102" i="30"/>
  <c r="BA83" i="30" s="1"/>
  <c r="AZ101" i="30"/>
  <c r="AZ33" i="30"/>
  <c r="BA16" i="30" s="1"/>
  <c r="AZ100" i="30"/>
  <c r="AZ79" i="30" s="1"/>
  <c r="AZ28" i="30" s="1"/>
  <c r="BA11" i="30" s="1"/>
  <c r="BA96" i="30" s="1"/>
  <c r="AZ32" i="30"/>
  <c r="BA15" i="30" s="1"/>
  <c r="BA94" i="30"/>
  <c r="BA26" i="30"/>
  <c r="BB9" i="30" s="1"/>
  <c r="AZ93" i="30"/>
  <c r="AZ25" i="30"/>
  <c r="BA8" i="30" s="1"/>
  <c r="AD80" i="30"/>
  <c r="AD29" i="30" s="1"/>
  <c r="AE12" i="30" s="1"/>
  <c r="AE89" i="30"/>
  <c r="AD81" i="30"/>
  <c r="AD30" i="30" s="1"/>
  <c r="AE13" i="30" s="1"/>
  <c r="AD74" i="30"/>
  <c r="AD23" i="30" s="1"/>
  <c r="AE6" i="30" s="1"/>
  <c r="AD91" i="30"/>
  <c r="AD86" i="30" s="1"/>
  <c r="AD35" i="30" s="1"/>
  <c r="AE18" i="30" s="1"/>
  <c r="AD78" i="30"/>
  <c r="AD27" i="30" s="1"/>
  <c r="AE10" i="30" s="1"/>
  <c r="AD71" i="30"/>
  <c r="AD20" i="30" s="1"/>
  <c r="AE3" i="30" s="1"/>
  <c r="AD73" i="30"/>
  <c r="AD22" i="30" s="1"/>
  <c r="AE5" i="30" s="1"/>
  <c r="AD82" i="30" l="1"/>
  <c r="AD31" i="30" s="1"/>
  <c r="AE14" i="30" s="1"/>
  <c r="AE99" i="30" s="1"/>
  <c r="AE72" i="30" s="1"/>
  <c r="AE21" i="30" s="1"/>
  <c r="AF4" i="30" s="1"/>
  <c r="BB36" i="30"/>
  <c r="BC19" i="30" s="1"/>
  <c r="BB104" i="30"/>
  <c r="BB102" i="30"/>
  <c r="BB83" i="30" s="1"/>
  <c r="BB34" i="30"/>
  <c r="BC17" i="30" s="1"/>
  <c r="BA33" i="30"/>
  <c r="BB16" i="30" s="1"/>
  <c r="BA101" i="30"/>
  <c r="BA100" i="30"/>
  <c r="BA79" i="30" s="1"/>
  <c r="BA28" i="30" s="1"/>
  <c r="BB11" i="30" s="1"/>
  <c r="BB96" i="30" s="1"/>
  <c r="BA32" i="30"/>
  <c r="BB15" i="30" s="1"/>
  <c r="BB94" i="30"/>
  <c r="BB26" i="30"/>
  <c r="BC9" i="30" s="1"/>
  <c r="BA25" i="30"/>
  <c r="BB8" i="30" s="1"/>
  <c r="BA93" i="30"/>
  <c r="AE91" i="30"/>
  <c r="AE90" i="30"/>
  <c r="AE103" i="30"/>
  <c r="AE78" i="30"/>
  <c r="AE27" i="30" s="1"/>
  <c r="AF10" i="30" s="1"/>
  <c r="AE97" i="30"/>
  <c r="AE88" i="30"/>
  <c r="AE95" i="30"/>
  <c r="AE98" i="30"/>
  <c r="AD75" i="30"/>
  <c r="AD24" i="30" s="1"/>
  <c r="AE7" i="30" s="1"/>
  <c r="BC104" i="30" l="1"/>
  <c r="BC36" i="30"/>
  <c r="BD19" i="30" s="1"/>
  <c r="BC34" i="30"/>
  <c r="BD17" i="30" s="1"/>
  <c r="BC102" i="30"/>
  <c r="BC83" i="30" s="1"/>
  <c r="BB101" i="30"/>
  <c r="BB33" i="30"/>
  <c r="BC16" i="30" s="1"/>
  <c r="BB100" i="30"/>
  <c r="BB79" i="30" s="1"/>
  <c r="BB28" i="30" s="1"/>
  <c r="BC11" i="30" s="1"/>
  <c r="BC96" i="30" s="1"/>
  <c r="BB32" i="30"/>
  <c r="BC15" i="30" s="1"/>
  <c r="BC94" i="30"/>
  <c r="BC26" i="30"/>
  <c r="BD9" i="30" s="1"/>
  <c r="BB93" i="30"/>
  <c r="BB25" i="30"/>
  <c r="BC8" i="30" s="1"/>
  <c r="AE82" i="30"/>
  <c r="AE31" i="30" s="1"/>
  <c r="AF14" i="30" s="1"/>
  <c r="AF99" i="30" s="1"/>
  <c r="AF72" i="30" s="1"/>
  <c r="AF21" i="30" s="1"/>
  <c r="AG4" i="30" s="1"/>
  <c r="AE73" i="30"/>
  <c r="AE22" i="30" s="1"/>
  <c r="AF5" i="30" s="1"/>
  <c r="AF90" i="30" s="1"/>
  <c r="AF95" i="30"/>
  <c r="AF89" i="30"/>
  <c r="AE81" i="30"/>
  <c r="AE30" i="30" s="1"/>
  <c r="AF13" i="30" s="1"/>
  <c r="AE80" i="30"/>
  <c r="AE29" i="30" s="1"/>
  <c r="AF12" i="30" s="1"/>
  <c r="AE75" i="30"/>
  <c r="AE24" i="30" s="1"/>
  <c r="AF7" i="30" s="1"/>
  <c r="AE92" i="30"/>
  <c r="AE74" i="30" s="1"/>
  <c r="AE23" i="30" s="1"/>
  <c r="AF6" i="30" s="1"/>
  <c r="AE71" i="30"/>
  <c r="AE20" i="30" s="1"/>
  <c r="AF3" i="30" s="1"/>
  <c r="AE86" i="30" l="1"/>
  <c r="AE35" i="30" s="1"/>
  <c r="AF18" i="30" s="1"/>
  <c r="AF103" i="30" s="1"/>
  <c r="BD104" i="30"/>
  <c r="BD36" i="30"/>
  <c r="BE19" i="30" s="1"/>
  <c r="BD102" i="30"/>
  <c r="BD83" i="30" s="1"/>
  <c r="BD34" i="30"/>
  <c r="BE17" i="30" s="1"/>
  <c r="BC101" i="30"/>
  <c r="BC33" i="30"/>
  <c r="BD16" i="30" s="1"/>
  <c r="BC100" i="30"/>
  <c r="BC79" i="30" s="1"/>
  <c r="BC28" i="30" s="1"/>
  <c r="BD11" i="30" s="1"/>
  <c r="BD96" i="30" s="1"/>
  <c r="BC32" i="30"/>
  <c r="BD15" i="30" s="1"/>
  <c r="BD94" i="30"/>
  <c r="BD26" i="30"/>
  <c r="BE9" i="30" s="1"/>
  <c r="BC25" i="30"/>
  <c r="BD8" i="30" s="1"/>
  <c r="BC93" i="30"/>
  <c r="AF92" i="30"/>
  <c r="AF74" i="30" s="1"/>
  <c r="AF23" i="30" s="1"/>
  <c r="AG6" i="30" s="1"/>
  <c r="AF91" i="30"/>
  <c r="AF88" i="30"/>
  <c r="AF97" i="30"/>
  <c r="AG89" i="30"/>
  <c r="AF78" i="30"/>
  <c r="AF27" i="30" s="1"/>
  <c r="AG10" i="30" s="1"/>
  <c r="AF98" i="30"/>
  <c r="AF73" i="30" s="1"/>
  <c r="AF22" i="30" s="1"/>
  <c r="AG5" i="30" s="1"/>
  <c r="AF81" i="30"/>
  <c r="AF30" i="30" s="1"/>
  <c r="AG13" i="30" s="1"/>
  <c r="BE104" i="30" l="1"/>
  <c r="BE36" i="30"/>
  <c r="BF19" i="30" s="1"/>
  <c r="I255" i="30" s="1"/>
  <c r="BE34" i="30"/>
  <c r="BF17" i="30" s="1"/>
  <c r="I245" i="30" s="1"/>
  <c r="BE102" i="30"/>
  <c r="BE83" i="30" s="1"/>
  <c r="BD33" i="30"/>
  <c r="BE16" i="30" s="1"/>
  <c r="BD101" i="30"/>
  <c r="BD100" i="30"/>
  <c r="BD79" i="30" s="1"/>
  <c r="BD28" i="30" s="1"/>
  <c r="BE11" i="30" s="1"/>
  <c r="BE96" i="30" s="1"/>
  <c r="BD32" i="30"/>
  <c r="BE15" i="30" s="1"/>
  <c r="BE26" i="30"/>
  <c r="BF9" i="30" s="1"/>
  <c r="I205" i="30" s="1"/>
  <c r="BE94" i="30"/>
  <c r="BD93" i="30"/>
  <c r="BD25" i="30"/>
  <c r="BE8" i="30" s="1"/>
  <c r="AF71" i="30"/>
  <c r="AF20" i="30" s="1"/>
  <c r="AG3" i="30" s="1"/>
  <c r="AG88" i="30" s="1"/>
  <c r="AG90" i="30"/>
  <c r="AG98" i="30"/>
  <c r="AF82" i="30"/>
  <c r="AF31" i="30" s="1"/>
  <c r="AG14" i="30" s="1"/>
  <c r="AF86" i="30"/>
  <c r="AF35" i="30" s="1"/>
  <c r="AG18" i="30" s="1"/>
  <c r="AG91" i="30"/>
  <c r="AG78" i="30"/>
  <c r="AG27" i="30" s="1"/>
  <c r="AH10" i="30" s="1"/>
  <c r="F210" i="30" s="1"/>
  <c r="F211" i="30" s="1"/>
  <c r="AG95" i="30"/>
  <c r="AF75" i="30"/>
  <c r="AF24" i="30" s="1"/>
  <c r="AG7" i="30" s="1"/>
  <c r="AF80" i="30"/>
  <c r="AF29" i="30" s="1"/>
  <c r="AG12" i="30" s="1"/>
  <c r="I294" i="30" l="1"/>
  <c r="BF36" i="30"/>
  <c r="BG19" i="30" s="1"/>
  <c r="BF104" i="30"/>
  <c r="I292" i="30"/>
  <c r="BF102" i="30"/>
  <c r="BF83" i="30" s="1"/>
  <c r="BF34" i="30"/>
  <c r="BG17" i="30" s="1"/>
  <c r="BE101" i="30"/>
  <c r="BE33" i="30"/>
  <c r="BF16" i="30" s="1"/>
  <c r="I240" i="30" s="1"/>
  <c r="BE100" i="30"/>
  <c r="BE79" i="30" s="1"/>
  <c r="BE28" i="30" s="1"/>
  <c r="BF11" i="30" s="1"/>
  <c r="I215" i="30" s="1"/>
  <c r="BE32" i="30"/>
  <c r="BF15" i="30" s="1"/>
  <c r="I235" i="30" s="1"/>
  <c r="AG82" i="30"/>
  <c r="AG31" i="30" s="1"/>
  <c r="AH14" i="30" s="1"/>
  <c r="F230" i="30" s="1"/>
  <c r="F231" i="30" s="1"/>
  <c r="BF94" i="30"/>
  <c r="I284" i="30"/>
  <c r="BF26" i="30"/>
  <c r="BG9" i="30" s="1"/>
  <c r="BE25" i="30"/>
  <c r="BF8" i="30" s="1"/>
  <c r="I200" i="30" s="1"/>
  <c r="BE93" i="30"/>
  <c r="AG99" i="30"/>
  <c r="F285" i="30"/>
  <c r="AH95" i="30"/>
  <c r="AG97" i="30"/>
  <c r="AG71" i="30" s="1"/>
  <c r="AG20" i="30" s="1"/>
  <c r="AH3" i="30" s="1"/>
  <c r="F175" i="30" s="1"/>
  <c r="F176" i="30" s="1"/>
  <c r="AG103" i="30"/>
  <c r="AG80" i="30" s="1"/>
  <c r="AG29" i="30" s="1"/>
  <c r="AH12" i="30" s="1"/>
  <c r="F220" i="30" s="1"/>
  <c r="F221" i="30" s="1"/>
  <c r="AG92" i="30"/>
  <c r="AG75" i="30"/>
  <c r="AG24" i="30" s="1"/>
  <c r="AH7" i="30" s="1"/>
  <c r="F195" i="30" s="1"/>
  <c r="F196" i="30" s="1"/>
  <c r="AG81" i="30"/>
  <c r="AG30" i="30" s="1"/>
  <c r="AH13" i="30" s="1"/>
  <c r="F225" i="30" s="1"/>
  <c r="F226" i="30" s="1"/>
  <c r="AG74" i="30" l="1"/>
  <c r="AG23" i="30" s="1"/>
  <c r="AH6" i="30" s="1"/>
  <c r="F190" i="30" s="1"/>
  <c r="F191" i="30" s="1"/>
  <c r="I286" i="30"/>
  <c r="BG36" i="30"/>
  <c r="BH19" i="30" s="1"/>
  <c r="BG104" i="30"/>
  <c r="BG34" i="30"/>
  <c r="BH17" i="30" s="1"/>
  <c r="BG102" i="30"/>
  <c r="BG83" i="30" s="1"/>
  <c r="BF96" i="30"/>
  <c r="BF33" i="30"/>
  <c r="BG16" i="30" s="1"/>
  <c r="BF101" i="30"/>
  <c r="I291" i="30"/>
  <c r="I290" i="30"/>
  <c r="BF32" i="30"/>
  <c r="BG15" i="30" s="1"/>
  <c r="BF100" i="30"/>
  <c r="BF79" i="30" s="1"/>
  <c r="BF28" i="30" s="1"/>
  <c r="BG11" i="30" s="1"/>
  <c r="BG96" i="30" s="1"/>
  <c r="BG94" i="30"/>
  <c r="BG26" i="30"/>
  <c r="BH9" i="30" s="1"/>
  <c r="BF93" i="30"/>
  <c r="I283" i="30"/>
  <c r="BF25" i="30"/>
  <c r="BG8" i="30" s="1"/>
  <c r="AG86" i="30"/>
  <c r="AG35" i="30" s="1"/>
  <c r="AH18" i="30" s="1"/>
  <c r="F250" i="30" s="1"/>
  <c r="F251" i="30" s="1"/>
  <c r="AH92" i="30"/>
  <c r="F282" i="30"/>
  <c r="AH88" i="30"/>
  <c r="F278" i="30"/>
  <c r="F265" i="30"/>
  <c r="F287" i="30"/>
  <c r="AH97" i="30"/>
  <c r="F289" i="30"/>
  <c r="AH99" i="30"/>
  <c r="AH72" i="30" s="1"/>
  <c r="AH98" i="30"/>
  <c r="F288" i="30"/>
  <c r="AG72" i="30"/>
  <c r="AG21" i="30" s="1"/>
  <c r="AH4" i="30" s="1"/>
  <c r="F180" i="30" s="1"/>
  <c r="F181" i="30" s="1"/>
  <c r="AG73" i="30"/>
  <c r="AG22" i="30" s="1"/>
  <c r="AH5" i="30" s="1"/>
  <c r="F185" i="30" s="1"/>
  <c r="F186" i="30" s="1"/>
  <c r="F281" i="30" l="1"/>
  <c r="AH91" i="30"/>
  <c r="AH86" i="30" s="1"/>
  <c r="AH35" i="30" s="1"/>
  <c r="AI18" i="30" s="1"/>
  <c r="BH104" i="30"/>
  <c r="BH36" i="30"/>
  <c r="BI19" i="30" s="1"/>
  <c r="BH34" i="30"/>
  <c r="BI17" i="30" s="1"/>
  <c r="BH102" i="30"/>
  <c r="BH83" i="30" s="1"/>
  <c r="BG101" i="30"/>
  <c r="BG33" i="30"/>
  <c r="BH16" i="30" s="1"/>
  <c r="BG100" i="30"/>
  <c r="BG79" i="30" s="1"/>
  <c r="BG28" i="30" s="1"/>
  <c r="BH11" i="30" s="1"/>
  <c r="BH96" i="30" s="1"/>
  <c r="BG32" i="30"/>
  <c r="BH15" i="30" s="1"/>
  <c r="BH26" i="30"/>
  <c r="BI9" i="30" s="1"/>
  <c r="BH94" i="30"/>
  <c r="BG25" i="30"/>
  <c r="BH8" i="30" s="1"/>
  <c r="BG93" i="30"/>
  <c r="F293" i="30"/>
  <c r="F258" i="30"/>
  <c r="AH103" i="30"/>
  <c r="F279" i="30"/>
  <c r="AH89" i="30"/>
  <c r="F268" i="30"/>
  <c r="F269" i="30"/>
  <c r="F267" i="30"/>
  <c r="F280" i="30"/>
  <c r="AH90" i="30"/>
  <c r="AH21" i="30"/>
  <c r="AI4" i="30" s="1"/>
  <c r="F262" i="30"/>
  <c r="F277" i="30" l="1"/>
  <c r="F273" i="30"/>
  <c r="F261" i="30"/>
  <c r="BI104" i="30"/>
  <c r="BI36" i="30"/>
  <c r="BJ19" i="30" s="1"/>
  <c r="BI102" i="30"/>
  <c r="BI83" i="30" s="1"/>
  <c r="BI34" i="30"/>
  <c r="BJ17" i="30" s="1"/>
  <c r="BH101" i="30"/>
  <c r="BH33" i="30"/>
  <c r="BI16" i="30" s="1"/>
  <c r="BH100" i="30"/>
  <c r="BH79" i="30" s="1"/>
  <c r="BH28" i="30" s="1"/>
  <c r="BI11" i="30" s="1"/>
  <c r="BI96" i="30" s="1"/>
  <c r="BH32" i="30"/>
  <c r="BI15" i="30" s="1"/>
  <c r="AH75" i="30"/>
  <c r="AH24" i="30" s="1"/>
  <c r="AI7" i="30" s="1"/>
  <c r="AI92" i="30" s="1"/>
  <c r="BI26" i="30"/>
  <c r="BJ9" i="30" s="1"/>
  <c r="BI94" i="30"/>
  <c r="BH25" i="30"/>
  <c r="BI8" i="30" s="1"/>
  <c r="BH93" i="30"/>
  <c r="AI89" i="30"/>
  <c r="AH81" i="30"/>
  <c r="AH30" i="30" s="1"/>
  <c r="AI13" i="30" s="1"/>
  <c r="AH74" i="30"/>
  <c r="AH23" i="30" s="1"/>
  <c r="AI6" i="30" s="1"/>
  <c r="AH71" i="30"/>
  <c r="AH20" i="30" s="1"/>
  <c r="AI3" i="30" s="1"/>
  <c r="AH78" i="30"/>
  <c r="AH27" i="30" s="1"/>
  <c r="AI10" i="30" s="1"/>
  <c r="AH82" i="30"/>
  <c r="AH31" i="30" s="1"/>
  <c r="AI14" i="30" s="1"/>
  <c r="AH73" i="30"/>
  <c r="AH22" i="30" s="1"/>
  <c r="AI5" i="30" s="1"/>
  <c r="AH80" i="30"/>
  <c r="AH29" i="30" s="1"/>
  <c r="AI12" i="30" s="1"/>
  <c r="F260" i="30"/>
  <c r="AI103" i="30"/>
  <c r="F259" i="30"/>
  <c r="F275" i="30" l="1"/>
  <c r="BJ36" i="30"/>
  <c r="BK19" i="30" s="1"/>
  <c r="BJ104" i="30"/>
  <c r="BJ102" i="30"/>
  <c r="BJ83" i="30" s="1"/>
  <c r="BJ34" i="30"/>
  <c r="BK17" i="30" s="1"/>
  <c r="BI101" i="30"/>
  <c r="BI33" i="30"/>
  <c r="BJ16" i="30" s="1"/>
  <c r="BI100" i="30"/>
  <c r="BI79" i="30" s="1"/>
  <c r="BI28" i="30" s="1"/>
  <c r="BJ11" i="30" s="1"/>
  <c r="BJ96" i="30" s="1"/>
  <c r="BI32" i="30"/>
  <c r="BJ15" i="30" s="1"/>
  <c r="BJ26" i="30"/>
  <c r="BK9" i="30" s="1"/>
  <c r="BJ94" i="30"/>
  <c r="BI25" i="30"/>
  <c r="BJ8" i="30" s="1"/>
  <c r="BI93" i="30"/>
  <c r="AI91" i="30"/>
  <c r="AI99" i="30"/>
  <c r="AI72" i="30" s="1"/>
  <c r="AI21" i="30" s="1"/>
  <c r="AJ4" i="30" s="1"/>
  <c r="AI98" i="30"/>
  <c r="AI95" i="30"/>
  <c r="AI90" i="30"/>
  <c r="AI97" i="30"/>
  <c r="AI88" i="30"/>
  <c r="AI78" i="30"/>
  <c r="AI27" i="30" s="1"/>
  <c r="AJ10" i="30" s="1"/>
  <c r="BK104" i="30" l="1"/>
  <c r="BK36" i="30"/>
  <c r="BL19" i="30" s="1"/>
  <c r="AI71" i="30"/>
  <c r="AI20" i="30" s="1"/>
  <c r="AJ3" i="30" s="1"/>
  <c r="AJ88" i="30" s="1"/>
  <c r="BK102" i="30"/>
  <c r="BK83" i="30" s="1"/>
  <c r="BK34" i="30"/>
  <c r="BL17" i="30" s="1"/>
  <c r="BJ33" i="30"/>
  <c r="BK16" i="30" s="1"/>
  <c r="BJ101" i="30"/>
  <c r="BJ100" i="30"/>
  <c r="BJ79" i="30" s="1"/>
  <c r="BJ28" i="30" s="1"/>
  <c r="BK11" i="30" s="1"/>
  <c r="BK96" i="30" s="1"/>
  <c r="BJ32" i="30"/>
  <c r="BK15" i="30" s="1"/>
  <c r="AI73" i="30"/>
  <c r="AI22" i="30" s="1"/>
  <c r="AJ5" i="30" s="1"/>
  <c r="AJ90" i="30" s="1"/>
  <c r="BK26" i="30"/>
  <c r="BL9" i="30" s="1"/>
  <c r="BK94" i="30"/>
  <c r="BJ25" i="30"/>
  <c r="BK8" i="30" s="1"/>
  <c r="BJ93" i="30"/>
  <c r="AI82" i="30"/>
  <c r="AI31" i="30" s="1"/>
  <c r="AJ14" i="30" s="1"/>
  <c r="AJ99" i="30" s="1"/>
  <c r="AJ72" i="30" s="1"/>
  <c r="AJ21" i="30" s="1"/>
  <c r="AK4" i="30" s="1"/>
  <c r="AJ95" i="30"/>
  <c r="AJ89" i="30"/>
  <c r="AI81" i="30"/>
  <c r="AI30" i="30" s="1"/>
  <c r="AJ13" i="30" s="1"/>
  <c r="AI74" i="30"/>
  <c r="AI23" i="30" s="1"/>
  <c r="AJ6" i="30" s="1"/>
  <c r="AI80" i="30"/>
  <c r="AI29" i="30" s="1"/>
  <c r="AJ12" i="30" s="1"/>
  <c r="AI75" i="30"/>
  <c r="AI24" i="30" s="1"/>
  <c r="AJ7" i="30" s="1"/>
  <c r="AI86" i="30"/>
  <c r="AI35" i="30" s="1"/>
  <c r="AJ18" i="30" s="1"/>
  <c r="BL36" i="30" l="1"/>
  <c r="BM19" i="30" s="1"/>
  <c r="BL104" i="30"/>
  <c r="BL102" i="30"/>
  <c r="BL83" i="30" s="1"/>
  <c r="BL34" i="30"/>
  <c r="BM17" i="30" s="1"/>
  <c r="BK101" i="30"/>
  <c r="BK33" i="30"/>
  <c r="BL16" i="30" s="1"/>
  <c r="BK100" i="30"/>
  <c r="BK79" i="30" s="1"/>
  <c r="BK28" i="30" s="1"/>
  <c r="BL11" i="30" s="1"/>
  <c r="BL96" i="30" s="1"/>
  <c r="BK32" i="30"/>
  <c r="BL15" i="30" s="1"/>
  <c r="BL94" i="30"/>
  <c r="BL26" i="30"/>
  <c r="BM9" i="30" s="1"/>
  <c r="BK93" i="30"/>
  <c r="BK25" i="30"/>
  <c r="BL8" i="30" s="1"/>
  <c r="AK89" i="30"/>
  <c r="AJ103" i="30"/>
  <c r="AJ80" i="30" s="1"/>
  <c r="AJ29" i="30" s="1"/>
  <c r="AK12" i="30" s="1"/>
  <c r="AJ81" i="30"/>
  <c r="AJ30" i="30" s="1"/>
  <c r="AK13" i="30" s="1"/>
  <c r="AJ92" i="30"/>
  <c r="AJ74" i="30" s="1"/>
  <c r="AJ23" i="30" s="1"/>
  <c r="AK6" i="30" s="1"/>
  <c r="AJ91" i="30"/>
  <c r="AJ75" i="30" s="1"/>
  <c r="AJ24" i="30" s="1"/>
  <c r="AK7" i="30" s="1"/>
  <c r="AJ98" i="30"/>
  <c r="AJ97" i="30"/>
  <c r="AJ78" i="30"/>
  <c r="AJ27" i="30" s="1"/>
  <c r="AK10" i="30" s="1"/>
  <c r="AJ71" i="30" l="1"/>
  <c r="AJ20" i="30" s="1"/>
  <c r="AK3" i="30" s="1"/>
  <c r="AK88" i="30" s="1"/>
  <c r="BM36" i="30"/>
  <c r="BN19" i="30" s="1"/>
  <c r="J255" i="30" s="1"/>
  <c r="BM104" i="30"/>
  <c r="BM34" i="30"/>
  <c r="BN17" i="30" s="1"/>
  <c r="J245" i="30" s="1"/>
  <c r="BM102" i="30"/>
  <c r="BM83" i="30" s="1"/>
  <c r="BL101" i="30"/>
  <c r="BL33" i="30"/>
  <c r="BM16" i="30" s="1"/>
  <c r="BL100" i="30"/>
  <c r="BL79" i="30" s="1"/>
  <c r="BL28" i="30" s="1"/>
  <c r="BM11" i="30" s="1"/>
  <c r="BM96" i="30" s="1"/>
  <c r="BL32" i="30"/>
  <c r="BM15" i="30" s="1"/>
  <c r="AJ82" i="30"/>
  <c r="AJ31" i="30" s="1"/>
  <c r="AK14" i="30" s="1"/>
  <c r="AK99" i="30" s="1"/>
  <c r="AK72" i="30" s="1"/>
  <c r="AK21" i="30" s="1"/>
  <c r="AL4" i="30" s="1"/>
  <c r="BM26" i="30"/>
  <c r="BN9" i="30" s="1"/>
  <c r="J205" i="30" s="1"/>
  <c r="BM94" i="30"/>
  <c r="BL25" i="30"/>
  <c r="BM8" i="30" s="1"/>
  <c r="BL93" i="30"/>
  <c r="AJ73" i="30"/>
  <c r="AJ22" i="30" s="1"/>
  <c r="AK5" i="30" s="1"/>
  <c r="AK90" i="30" s="1"/>
  <c r="AK97" i="30"/>
  <c r="AK91" i="30"/>
  <c r="AK92" i="30"/>
  <c r="AK98" i="30"/>
  <c r="AK95" i="30"/>
  <c r="AJ86" i="30"/>
  <c r="AJ35" i="30" s="1"/>
  <c r="AK18" i="30" s="1"/>
  <c r="AK78" i="30"/>
  <c r="AK27" i="30" s="1"/>
  <c r="AL10" i="30" s="1"/>
  <c r="J294" i="30" l="1"/>
  <c r="BN104" i="30"/>
  <c r="BN36" i="30"/>
  <c r="BO19" i="30" s="1"/>
  <c r="AK73" i="30"/>
  <c r="AK22" i="30" s="1"/>
  <c r="AL5" i="30" s="1"/>
  <c r="AL90" i="30" s="1"/>
  <c r="J292" i="30"/>
  <c r="BN102" i="30"/>
  <c r="BN83" i="30" s="1"/>
  <c r="BN34" i="30"/>
  <c r="BO17" i="30" s="1"/>
  <c r="BM101" i="30"/>
  <c r="BM33" i="30"/>
  <c r="BN16" i="30" s="1"/>
  <c r="J240" i="30" s="1"/>
  <c r="BM100" i="30"/>
  <c r="BM79" i="30" s="1"/>
  <c r="BM28" i="30" s="1"/>
  <c r="BN11" i="30" s="1"/>
  <c r="J215" i="30" s="1"/>
  <c r="BM32" i="30"/>
  <c r="BN15" i="30" s="1"/>
  <c r="J235" i="30" s="1"/>
  <c r="BN94" i="30"/>
  <c r="BN26" i="30"/>
  <c r="BO9" i="30" s="1"/>
  <c r="J284" i="30"/>
  <c r="BM25" i="30"/>
  <c r="BN8" i="30" s="1"/>
  <c r="J200" i="30" s="1"/>
  <c r="BM93" i="30"/>
  <c r="AK71" i="30"/>
  <c r="AK20" i="30" s="1"/>
  <c r="AL3" i="30" s="1"/>
  <c r="AL88" i="30" s="1"/>
  <c r="AK82" i="30"/>
  <c r="AK31" i="30" s="1"/>
  <c r="AL14" i="30" s="1"/>
  <c r="AL99" i="30" s="1"/>
  <c r="AL72" i="30" s="1"/>
  <c r="AL21" i="30" s="1"/>
  <c r="AM4" i="30" s="1"/>
  <c r="AK86" i="30"/>
  <c r="AK35" i="30" s="1"/>
  <c r="AL18" i="30" s="1"/>
  <c r="AL95" i="30"/>
  <c r="AK75" i="30"/>
  <c r="AK24" i="30" s="1"/>
  <c r="AL7" i="30" s="1"/>
  <c r="AK103" i="30"/>
  <c r="AK80" i="30" s="1"/>
  <c r="AK29" i="30" s="1"/>
  <c r="AL12" i="30" s="1"/>
  <c r="AK81" i="30"/>
  <c r="AK30" i="30" s="1"/>
  <c r="AL13" i="30" s="1"/>
  <c r="AK74" i="30"/>
  <c r="AK23" i="30" s="1"/>
  <c r="AL6" i="30" s="1"/>
  <c r="AL89" i="30"/>
  <c r="J286" i="30" l="1"/>
  <c r="BO104" i="30"/>
  <c r="BO36" i="30"/>
  <c r="BP19" i="30" s="1"/>
  <c r="BN96" i="30"/>
  <c r="BO102" i="30"/>
  <c r="BO83" i="30" s="1"/>
  <c r="BO34" i="30"/>
  <c r="BP17" i="30" s="1"/>
  <c r="J291" i="30"/>
  <c r="BN33" i="30"/>
  <c r="BO16" i="30" s="1"/>
  <c r="BN101" i="30"/>
  <c r="BN100" i="30"/>
  <c r="BN79" i="30" s="1"/>
  <c r="BN28" i="30" s="1"/>
  <c r="BO11" i="30" s="1"/>
  <c r="BO96" i="30" s="1"/>
  <c r="J290" i="30"/>
  <c r="BN32" i="30"/>
  <c r="BO15" i="30" s="1"/>
  <c r="BO26" i="30"/>
  <c r="BP9" i="30" s="1"/>
  <c r="BO94" i="30"/>
  <c r="BN93" i="30"/>
  <c r="J283" i="30"/>
  <c r="BN25" i="30"/>
  <c r="BO8" i="30" s="1"/>
  <c r="AL97" i="30"/>
  <c r="AL103" i="30"/>
  <c r="AL80" i="30" s="1"/>
  <c r="AL29" i="30" s="1"/>
  <c r="AM12" i="30" s="1"/>
  <c r="AM89" i="30"/>
  <c r="AL92" i="30"/>
  <c r="AL74" i="30" s="1"/>
  <c r="AL23" i="30" s="1"/>
  <c r="AM6" i="30" s="1"/>
  <c r="AL98" i="30"/>
  <c r="AL78" i="30"/>
  <c r="AL27" i="30" s="1"/>
  <c r="AM10" i="30" s="1"/>
  <c r="AL91" i="30"/>
  <c r="AL81" i="30"/>
  <c r="AL30" i="30" s="1"/>
  <c r="AM13" i="30" s="1"/>
  <c r="AL71" i="30" l="1"/>
  <c r="AL20" i="30" s="1"/>
  <c r="AM3" i="30" s="1"/>
  <c r="AM88" i="30" s="1"/>
  <c r="AL82" i="30"/>
  <c r="AL31" i="30" s="1"/>
  <c r="AM14" i="30" s="1"/>
  <c r="AM99" i="30" s="1"/>
  <c r="AM72" i="30" s="1"/>
  <c r="AM21" i="30" s="1"/>
  <c r="AN4" i="30" s="1"/>
  <c r="AL73" i="30"/>
  <c r="AL22" i="30" s="1"/>
  <c r="AM5" i="30" s="1"/>
  <c r="AM90" i="30" s="1"/>
  <c r="BP36" i="30"/>
  <c r="BQ19" i="30" s="1"/>
  <c r="BP104" i="30"/>
  <c r="BP34" i="30"/>
  <c r="BQ17" i="30" s="1"/>
  <c r="BP102" i="30"/>
  <c r="BP83" i="30" s="1"/>
  <c r="BO101" i="30"/>
  <c r="BO33" i="30"/>
  <c r="BP16" i="30" s="1"/>
  <c r="BO100" i="30"/>
  <c r="BO79" i="30" s="1"/>
  <c r="BO28" i="30" s="1"/>
  <c r="BP11" i="30" s="1"/>
  <c r="BP96" i="30" s="1"/>
  <c r="BO32" i="30"/>
  <c r="BP15" i="30" s="1"/>
  <c r="BP94" i="30"/>
  <c r="BP26" i="30"/>
  <c r="BQ9" i="30" s="1"/>
  <c r="BO25" i="30"/>
  <c r="BP8" i="30" s="1"/>
  <c r="BO93" i="30"/>
  <c r="AL75" i="30"/>
  <c r="AL24" i="30" s="1"/>
  <c r="AM7" i="30" s="1"/>
  <c r="AM92" i="30" s="1"/>
  <c r="AM98" i="30"/>
  <c r="AM91" i="30"/>
  <c r="AM97" i="30"/>
  <c r="AM95" i="30"/>
  <c r="AL86" i="30"/>
  <c r="AL35" i="30" s="1"/>
  <c r="AM18" i="30" s="1"/>
  <c r="AM78" i="30"/>
  <c r="AM27" i="30" s="1"/>
  <c r="AN10" i="30" s="1"/>
  <c r="AM82" i="30" l="1"/>
  <c r="AM31" i="30" s="1"/>
  <c r="AN14" i="30" s="1"/>
  <c r="AN99" i="30" s="1"/>
  <c r="AN72" i="30" s="1"/>
  <c r="AN21" i="30" s="1"/>
  <c r="AO4" i="30" s="1"/>
  <c r="BQ104" i="30"/>
  <c r="BQ36" i="30"/>
  <c r="BR19" i="30" s="1"/>
  <c r="BQ102" i="30"/>
  <c r="BQ83" i="30" s="1"/>
  <c r="BQ34" i="30"/>
  <c r="BR17" i="30" s="1"/>
  <c r="BP33" i="30"/>
  <c r="BQ16" i="30" s="1"/>
  <c r="BP101" i="30"/>
  <c r="BP100" i="30"/>
  <c r="BP79" i="30" s="1"/>
  <c r="BP28" i="30" s="1"/>
  <c r="BQ11" i="30" s="1"/>
  <c r="BQ96" i="30" s="1"/>
  <c r="BP32" i="30"/>
  <c r="BQ15" i="30" s="1"/>
  <c r="BQ94" i="30"/>
  <c r="BQ26" i="30"/>
  <c r="BR9" i="30" s="1"/>
  <c r="BP93" i="30"/>
  <c r="BP25" i="30"/>
  <c r="BQ8" i="30" s="1"/>
  <c r="AM86" i="30"/>
  <c r="AM35" i="30" s="1"/>
  <c r="AN18" i="30" s="1"/>
  <c r="AN95" i="30"/>
  <c r="AM81" i="30"/>
  <c r="AM30" i="30" s="1"/>
  <c r="AN13" i="30" s="1"/>
  <c r="AM74" i="30"/>
  <c r="AM23" i="30" s="1"/>
  <c r="AN6" i="30" s="1"/>
  <c r="AM75" i="30"/>
  <c r="AM24" i="30" s="1"/>
  <c r="AN7" i="30" s="1"/>
  <c r="AM71" i="30"/>
  <c r="AM20" i="30" s="1"/>
  <c r="AN3" i="30" s="1"/>
  <c r="AN89" i="30"/>
  <c r="AM103" i="30"/>
  <c r="AM80" i="30" s="1"/>
  <c r="AM29" i="30" s="1"/>
  <c r="AN12" i="30" s="1"/>
  <c r="AM73" i="30"/>
  <c r="AM22" i="30" s="1"/>
  <c r="AN5" i="30" s="1"/>
  <c r="BR104" i="30" l="1"/>
  <c r="BR36" i="30"/>
  <c r="BS19" i="30" s="1"/>
  <c r="BR102" i="30"/>
  <c r="BR83" i="30" s="1"/>
  <c r="BR34" i="30"/>
  <c r="BS17" i="30" s="1"/>
  <c r="BQ101" i="30"/>
  <c r="BQ33" i="30"/>
  <c r="BR16" i="30" s="1"/>
  <c r="BQ100" i="30"/>
  <c r="BQ79" i="30" s="1"/>
  <c r="BQ28" i="30" s="1"/>
  <c r="BR11" i="30" s="1"/>
  <c r="BR96" i="30" s="1"/>
  <c r="BQ32" i="30"/>
  <c r="BR15" i="30" s="1"/>
  <c r="BR94" i="30"/>
  <c r="BR26" i="30"/>
  <c r="BS9" i="30" s="1"/>
  <c r="BQ25" i="30"/>
  <c r="BR8" i="30" s="1"/>
  <c r="BQ93" i="30"/>
  <c r="AN92" i="30"/>
  <c r="AO89" i="30"/>
  <c r="AN90" i="30"/>
  <c r="AN78" i="30"/>
  <c r="AN27" i="30" s="1"/>
  <c r="AO10" i="30" s="1"/>
  <c r="AN91" i="30"/>
  <c r="AN103" i="30"/>
  <c r="AN97" i="30"/>
  <c r="AN88" i="30"/>
  <c r="AN98" i="30"/>
  <c r="AN73" i="30" s="1"/>
  <c r="AN22" i="30" s="1"/>
  <c r="AO5" i="30" s="1"/>
  <c r="BS36" i="30" l="1"/>
  <c r="BT19" i="30" s="1"/>
  <c r="BS104" i="30"/>
  <c r="BS102" i="30"/>
  <c r="BS83" i="30" s="1"/>
  <c r="BS34" i="30"/>
  <c r="BT17" i="30" s="1"/>
  <c r="BR33" i="30"/>
  <c r="BS16" i="30" s="1"/>
  <c r="BR101" i="30"/>
  <c r="BR100" i="30"/>
  <c r="BR79" i="30" s="1"/>
  <c r="BR28" i="30" s="1"/>
  <c r="BS11" i="30" s="1"/>
  <c r="BS96" i="30" s="1"/>
  <c r="BR32" i="30"/>
  <c r="BS15" i="30" s="1"/>
  <c r="BS26" i="30"/>
  <c r="BT9" i="30" s="1"/>
  <c r="BS94" i="30"/>
  <c r="AN71" i="30"/>
  <c r="AN20" i="30" s="1"/>
  <c r="AO3" i="30" s="1"/>
  <c r="AO88" i="30" s="1"/>
  <c r="BR93" i="30"/>
  <c r="BR25" i="30"/>
  <c r="BS8" i="30" s="1"/>
  <c r="AO90" i="30"/>
  <c r="AN86" i="30"/>
  <c r="AN35" i="30" s="1"/>
  <c r="AO18" i="30" s="1"/>
  <c r="AO78" i="30"/>
  <c r="AO27" i="30" s="1"/>
  <c r="AP10" i="30" s="1"/>
  <c r="G210" i="30" s="1"/>
  <c r="G211" i="30" s="1"/>
  <c r="AN82" i="30"/>
  <c r="AN31" i="30" s="1"/>
  <c r="AO14" i="30" s="1"/>
  <c r="AN75" i="30"/>
  <c r="AN24" i="30" s="1"/>
  <c r="AO7" i="30" s="1"/>
  <c r="AN80" i="30"/>
  <c r="AN29" i="30" s="1"/>
  <c r="AO12" i="30" s="1"/>
  <c r="AO95" i="30"/>
  <c r="AN81" i="30"/>
  <c r="AN30" i="30" s="1"/>
  <c r="AO13" i="30" s="1"/>
  <c r="AN74" i="30"/>
  <c r="AN23" i="30" s="1"/>
  <c r="AO6" i="30" s="1"/>
  <c r="BT36" i="30" l="1"/>
  <c r="BU19" i="30" s="1"/>
  <c r="BT104" i="30"/>
  <c r="BT34" i="30"/>
  <c r="BU17" i="30" s="1"/>
  <c r="BT102" i="30"/>
  <c r="BT83" i="30" s="1"/>
  <c r="BS101" i="30"/>
  <c r="BS33" i="30"/>
  <c r="BT16" i="30" s="1"/>
  <c r="BS100" i="30"/>
  <c r="BS79" i="30" s="1"/>
  <c r="BS28" i="30" s="1"/>
  <c r="BT11" i="30" s="1"/>
  <c r="BT96" i="30" s="1"/>
  <c r="BS32" i="30"/>
  <c r="BT15" i="30" s="1"/>
  <c r="BT94" i="30"/>
  <c r="BT26" i="30"/>
  <c r="BU9" i="30" s="1"/>
  <c r="BS25" i="30"/>
  <c r="BT8" i="30" s="1"/>
  <c r="BS93" i="30"/>
  <c r="AO91" i="30"/>
  <c r="AO75" i="30" s="1"/>
  <c r="AO24" i="30" s="1"/>
  <c r="AP7" i="30" s="1"/>
  <c r="G195" i="30" s="1"/>
  <c r="G196" i="30" s="1"/>
  <c r="AO92" i="30"/>
  <c r="AO81" i="30"/>
  <c r="AO30" i="30" s="1"/>
  <c r="AP13" i="30" s="1"/>
  <c r="G225" i="30" s="1"/>
  <c r="G226" i="30" s="1"/>
  <c r="AP95" i="30"/>
  <c r="G285" i="30"/>
  <c r="AO99" i="30"/>
  <c r="AO72" i="30" s="1"/>
  <c r="AO21" i="30" s="1"/>
  <c r="AP4" i="30" s="1"/>
  <c r="G180" i="30" s="1"/>
  <c r="G181" i="30" s="1"/>
  <c r="AO97" i="30"/>
  <c r="AO98" i="30"/>
  <c r="AO103" i="30"/>
  <c r="AO80" i="30" s="1"/>
  <c r="AO29" i="30" s="1"/>
  <c r="AP12" i="30" s="1"/>
  <c r="G220" i="30" s="1"/>
  <c r="G221" i="30" s="1"/>
  <c r="BU104" i="30" l="1"/>
  <c r="BU36" i="30"/>
  <c r="BV19" i="30" s="1"/>
  <c r="K255" i="30" s="1"/>
  <c r="BU34" i="30"/>
  <c r="BV17" i="30" s="1"/>
  <c r="K245" i="30" s="1"/>
  <c r="BU102" i="30"/>
  <c r="BU83" i="30" s="1"/>
  <c r="BT101" i="30"/>
  <c r="BT33" i="30"/>
  <c r="BU16" i="30" s="1"/>
  <c r="BT100" i="30"/>
  <c r="BT79" i="30" s="1"/>
  <c r="BT28" i="30" s="1"/>
  <c r="BU11" i="30" s="1"/>
  <c r="BU96" i="30" s="1"/>
  <c r="BT32" i="30"/>
  <c r="BU15" i="30" s="1"/>
  <c r="BU94" i="30"/>
  <c r="BU26" i="30"/>
  <c r="BV9" i="30" s="1"/>
  <c r="K205" i="30" s="1"/>
  <c r="BT25" i="30"/>
  <c r="BU8" i="30" s="1"/>
  <c r="BT93" i="30"/>
  <c r="AO74" i="30"/>
  <c r="AO23" i="30" s="1"/>
  <c r="AP6" i="30" s="1"/>
  <c r="G190" i="30" s="1"/>
  <c r="G191" i="30" s="1"/>
  <c r="AP92" i="30"/>
  <c r="G282" i="30"/>
  <c r="G288" i="30"/>
  <c r="AP98" i="30"/>
  <c r="AP97" i="30"/>
  <c r="G287" i="30"/>
  <c r="AO71" i="30"/>
  <c r="AO20" i="30" s="1"/>
  <c r="AP3" i="30" s="1"/>
  <c r="G175" i="30" s="1"/>
  <c r="G176" i="30" s="1"/>
  <c r="G265" i="30"/>
  <c r="AO73" i="30"/>
  <c r="AO22" i="30" s="1"/>
  <c r="AP5" i="30" s="1"/>
  <c r="G185" i="30" s="1"/>
  <c r="G186" i="30" s="1"/>
  <c r="G279" i="30"/>
  <c r="AP89" i="30"/>
  <c r="AO86" i="30"/>
  <c r="AO35" i="30" s="1"/>
  <c r="AP18" i="30" s="1"/>
  <c r="G250" i="30" s="1"/>
  <c r="G251" i="30" s="1"/>
  <c r="AO82" i="30"/>
  <c r="AO31" i="30" s="1"/>
  <c r="AP14" i="30" s="1"/>
  <c r="G230" i="30" s="1"/>
  <c r="G231" i="30" s="1"/>
  <c r="K294" i="30" l="1"/>
  <c r="BV36" i="30"/>
  <c r="BW19" i="30" s="1"/>
  <c r="BV104" i="30"/>
  <c r="BV34" i="30"/>
  <c r="BW17" i="30" s="1"/>
  <c r="K292" i="30"/>
  <c r="BV102" i="30"/>
  <c r="BV83" i="30" s="1"/>
  <c r="BU33" i="30"/>
  <c r="BV16" i="30" s="1"/>
  <c r="K240" i="30" s="1"/>
  <c r="BU101" i="30"/>
  <c r="BU100" i="30"/>
  <c r="BU79" i="30" s="1"/>
  <c r="BU28" i="30" s="1"/>
  <c r="BV11" i="30" s="1"/>
  <c r="K215" i="30" s="1"/>
  <c r="BU32" i="30"/>
  <c r="BV15" i="30" s="1"/>
  <c r="K235" i="30" s="1"/>
  <c r="G281" i="30"/>
  <c r="BV26" i="30"/>
  <c r="BW9" i="30" s="1"/>
  <c r="K284" i="30"/>
  <c r="BV94" i="30"/>
  <c r="AP91" i="30"/>
  <c r="AP86" i="30" s="1"/>
  <c r="AP35" i="30" s="1"/>
  <c r="AQ18" i="30" s="1"/>
  <c r="BU25" i="30"/>
  <c r="BV8" i="30" s="1"/>
  <c r="K200" i="30" s="1"/>
  <c r="BU93" i="30"/>
  <c r="AP78" i="30"/>
  <c r="AP27" i="30" s="1"/>
  <c r="AQ10" i="30" s="1"/>
  <c r="AP99" i="30"/>
  <c r="AP72" i="30" s="1"/>
  <c r="AP21" i="30" s="1"/>
  <c r="AQ4" i="30" s="1"/>
  <c r="G289" i="30"/>
  <c r="G280" i="30"/>
  <c r="AP90" i="30"/>
  <c r="AP71" i="30" s="1"/>
  <c r="AP20" i="30" s="1"/>
  <c r="AQ3" i="30" s="1"/>
  <c r="G293" i="30"/>
  <c r="AP103" i="30"/>
  <c r="G259" i="30"/>
  <c r="AP88" i="30"/>
  <c r="G278" i="30"/>
  <c r="G267" i="30"/>
  <c r="G268" i="30"/>
  <c r="G262" i="30"/>
  <c r="G277" i="30" l="1"/>
  <c r="K286" i="30"/>
  <c r="G261" i="30"/>
  <c r="AP82" i="30"/>
  <c r="AP31" i="30" s="1"/>
  <c r="AQ14" i="30" s="1"/>
  <c r="AQ99" i="30" s="1"/>
  <c r="AQ72" i="30" s="1"/>
  <c r="AQ21" i="30" s="1"/>
  <c r="AR4" i="30" s="1"/>
  <c r="BW36" i="30"/>
  <c r="BX19" i="30" s="1"/>
  <c r="BW104" i="30"/>
  <c r="BW34" i="30"/>
  <c r="BX17" i="30" s="1"/>
  <c r="BW102" i="30"/>
  <c r="BW83" i="30" s="1"/>
  <c r="BV96" i="30"/>
  <c r="K291" i="30"/>
  <c r="BV101" i="30"/>
  <c r="BV33" i="30"/>
  <c r="BW16" i="30" s="1"/>
  <c r="K290" i="30"/>
  <c r="BV100" i="30"/>
  <c r="BV79" i="30" s="1"/>
  <c r="BV28" i="30" s="1"/>
  <c r="BW11" i="30" s="1"/>
  <c r="BW96" i="30" s="1"/>
  <c r="BV32" i="30"/>
  <c r="BW15" i="30" s="1"/>
  <c r="BW94" i="30"/>
  <c r="BW26" i="30"/>
  <c r="BX9" i="30" s="1"/>
  <c r="BV93" i="30"/>
  <c r="K283" i="30"/>
  <c r="BV25" i="30"/>
  <c r="BW8" i="30" s="1"/>
  <c r="G258" i="30"/>
  <c r="AQ88" i="30"/>
  <c r="G273" i="30"/>
  <c r="AQ89" i="30"/>
  <c r="AQ95" i="30"/>
  <c r="AQ103" i="30"/>
  <c r="AP75" i="30"/>
  <c r="AP24" i="30" s="1"/>
  <c r="AQ7" i="30" s="1"/>
  <c r="AP80" i="30"/>
  <c r="AP29" i="30" s="1"/>
  <c r="AQ12" i="30" s="1"/>
  <c r="G260" i="30"/>
  <c r="AP74" i="30"/>
  <c r="AP23" i="30" s="1"/>
  <c r="AQ6" i="30" s="1"/>
  <c r="AP81" i="30"/>
  <c r="AP30" i="30" s="1"/>
  <c r="AQ13" i="30" s="1"/>
  <c r="G269" i="30"/>
  <c r="AP73" i="30"/>
  <c r="AP22" i="30" s="1"/>
  <c r="AQ5" i="30" s="1"/>
  <c r="BX104" i="30" l="1"/>
  <c r="BX36" i="30"/>
  <c r="BY19" i="30" s="1"/>
  <c r="BX102" i="30"/>
  <c r="BX83" i="30" s="1"/>
  <c r="BX34" i="30"/>
  <c r="BY17" i="30" s="1"/>
  <c r="BW33" i="30"/>
  <c r="BX16" i="30" s="1"/>
  <c r="BW101" i="30"/>
  <c r="BW100" i="30"/>
  <c r="BW79" i="30" s="1"/>
  <c r="BW28" i="30" s="1"/>
  <c r="BX11" i="30" s="1"/>
  <c r="BX96" i="30" s="1"/>
  <c r="BW32" i="30"/>
  <c r="BX15" i="30" s="1"/>
  <c r="BX94" i="30"/>
  <c r="BX26" i="30"/>
  <c r="BY9" i="30" s="1"/>
  <c r="BW25" i="30"/>
  <c r="BX8" i="30" s="1"/>
  <c r="BW93" i="30"/>
  <c r="G275" i="30"/>
  <c r="AQ98" i="30"/>
  <c r="AQ73" i="30" s="1"/>
  <c r="AQ22" i="30" s="1"/>
  <c r="AR5" i="30" s="1"/>
  <c r="AQ97" i="30"/>
  <c r="AQ91" i="30"/>
  <c r="AQ92" i="30"/>
  <c r="AQ78" i="30"/>
  <c r="AQ27" i="30" s="1"/>
  <c r="AR10" i="30" s="1"/>
  <c r="AQ90" i="30"/>
  <c r="AQ80" i="30" s="1"/>
  <c r="AQ29" i="30" s="1"/>
  <c r="AR12" i="30" s="1"/>
  <c r="AR89" i="30"/>
  <c r="BY104" i="30" l="1"/>
  <c r="BY36" i="30"/>
  <c r="BZ19" i="30" s="1"/>
  <c r="BY34" i="30"/>
  <c r="BZ17" i="30" s="1"/>
  <c r="BY102" i="30"/>
  <c r="BY83" i="30" s="1"/>
  <c r="BX101" i="30"/>
  <c r="BX33" i="30"/>
  <c r="BY16" i="30" s="1"/>
  <c r="BX100" i="30"/>
  <c r="BX79" i="30" s="1"/>
  <c r="BX28" i="30" s="1"/>
  <c r="BY11" i="30" s="1"/>
  <c r="BY96" i="30" s="1"/>
  <c r="BX32" i="30"/>
  <c r="BY15" i="30" s="1"/>
  <c r="BY26" i="30"/>
  <c r="BZ9" i="30" s="1"/>
  <c r="BY94" i="30"/>
  <c r="BX93" i="30"/>
  <c r="BX25" i="30"/>
  <c r="BY8" i="30" s="1"/>
  <c r="AR97" i="30"/>
  <c r="AR90" i="30"/>
  <c r="AR95" i="30"/>
  <c r="AQ86" i="30"/>
  <c r="AQ35" i="30" s="1"/>
  <c r="AR18" i="30" s="1"/>
  <c r="AR78" i="30"/>
  <c r="AR27" i="30" s="1"/>
  <c r="AS10" i="30" s="1"/>
  <c r="AQ71" i="30"/>
  <c r="AQ20" i="30" s="1"/>
  <c r="AR3" i="30" s="1"/>
  <c r="AQ74" i="30"/>
  <c r="AQ23" i="30" s="1"/>
  <c r="AR6" i="30" s="1"/>
  <c r="AQ81" i="30"/>
  <c r="AQ30" i="30" s="1"/>
  <c r="AR13" i="30" s="1"/>
  <c r="AQ82" i="30"/>
  <c r="AQ31" i="30" s="1"/>
  <c r="AR14" i="30" s="1"/>
  <c r="AQ75" i="30"/>
  <c r="AQ24" i="30" s="1"/>
  <c r="AR7" i="30" s="1"/>
  <c r="BZ36" i="30" l="1"/>
  <c r="CA19" i="30" s="1"/>
  <c r="BZ104" i="30"/>
  <c r="BZ34" i="30"/>
  <c r="CA17" i="30" s="1"/>
  <c r="BZ102" i="30"/>
  <c r="BZ83" i="30" s="1"/>
  <c r="BY101" i="30"/>
  <c r="BY33" i="30"/>
  <c r="BZ16" i="30" s="1"/>
  <c r="BY100" i="30"/>
  <c r="BY79" i="30" s="1"/>
  <c r="BY28" i="30" s="1"/>
  <c r="BZ11" i="30" s="1"/>
  <c r="BZ96" i="30" s="1"/>
  <c r="BY32" i="30"/>
  <c r="BZ15" i="30" s="1"/>
  <c r="BZ94" i="30"/>
  <c r="BZ26" i="30"/>
  <c r="CA9" i="30" s="1"/>
  <c r="BY25" i="30"/>
  <c r="BZ8" i="30" s="1"/>
  <c r="BY93" i="30"/>
  <c r="AS95" i="30"/>
  <c r="AR88" i="30"/>
  <c r="AR99" i="30"/>
  <c r="AR72" i="30" s="1"/>
  <c r="AR21" i="30" s="1"/>
  <c r="AS4" i="30" s="1"/>
  <c r="AR103" i="30"/>
  <c r="AR81" i="30"/>
  <c r="AR30" i="30" s="1"/>
  <c r="AS13" i="30" s="1"/>
  <c r="AR92" i="30"/>
  <c r="AR98" i="30"/>
  <c r="AR91" i="30"/>
  <c r="AR73" i="30" l="1"/>
  <c r="AR22" i="30" s="1"/>
  <c r="AS5" i="30" s="1"/>
  <c r="AS90" i="30" s="1"/>
  <c r="CA36" i="30"/>
  <c r="CB19" i="30" s="1"/>
  <c r="CA104" i="30"/>
  <c r="CA34" i="30"/>
  <c r="CB17" i="30" s="1"/>
  <c r="CA102" i="30"/>
  <c r="CA83" i="30" s="1"/>
  <c r="BZ101" i="30"/>
  <c r="BZ33" i="30"/>
  <c r="CA16" i="30" s="1"/>
  <c r="BZ100" i="30"/>
  <c r="BZ79" i="30" s="1"/>
  <c r="BZ28" i="30" s="1"/>
  <c r="CA11" i="30" s="1"/>
  <c r="CA96" i="30" s="1"/>
  <c r="BZ32" i="30"/>
  <c r="CA15" i="30" s="1"/>
  <c r="CA94" i="30"/>
  <c r="CA26" i="30"/>
  <c r="CB9" i="30" s="1"/>
  <c r="BZ25" i="30"/>
  <c r="CA8" i="30" s="1"/>
  <c r="BZ93" i="30"/>
  <c r="AR74" i="30"/>
  <c r="AR23" i="30" s="1"/>
  <c r="AS6" i="30" s="1"/>
  <c r="AS91" i="30" s="1"/>
  <c r="AS98" i="30"/>
  <c r="AR86" i="30"/>
  <c r="AR35" i="30" s="1"/>
  <c r="AS18" i="30" s="1"/>
  <c r="AR82" i="30"/>
  <c r="AR31" i="30" s="1"/>
  <c r="AS14" i="30" s="1"/>
  <c r="AR80" i="30"/>
  <c r="AR29" i="30" s="1"/>
  <c r="AS12" i="30" s="1"/>
  <c r="AR75" i="30"/>
  <c r="AR24" i="30" s="1"/>
  <c r="AS7" i="30" s="1"/>
  <c r="AS89" i="30"/>
  <c r="AR71" i="30"/>
  <c r="AR20" i="30" s="1"/>
  <c r="AS3" i="30" s="1"/>
  <c r="CB36" i="30" l="1"/>
  <c r="CC19" i="30" s="1"/>
  <c r="CB104" i="30"/>
  <c r="CB34" i="30"/>
  <c r="CC17" i="30" s="1"/>
  <c r="CB102" i="30"/>
  <c r="CB83" i="30" s="1"/>
  <c r="CA33" i="30"/>
  <c r="CB16" i="30" s="1"/>
  <c r="CA101" i="30"/>
  <c r="CA100" i="30"/>
  <c r="CA79" i="30" s="1"/>
  <c r="CA28" i="30" s="1"/>
  <c r="CB11" i="30" s="1"/>
  <c r="CB96" i="30" s="1"/>
  <c r="CA32" i="30"/>
  <c r="CB15" i="30" s="1"/>
  <c r="CB26" i="30"/>
  <c r="CC9" i="30" s="1"/>
  <c r="CB94" i="30"/>
  <c r="CA93" i="30"/>
  <c r="CA25" i="30"/>
  <c r="CB8" i="30" s="1"/>
  <c r="AS92" i="30"/>
  <c r="AS81" i="30"/>
  <c r="AS30" i="30" s="1"/>
  <c r="AT13" i="30" s="1"/>
  <c r="AS97" i="30"/>
  <c r="AS71" i="30" s="1"/>
  <c r="AS20" i="30" s="1"/>
  <c r="AT3" i="30" s="1"/>
  <c r="AS99" i="30"/>
  <c r="AS72" i="30" s="1"/>
  <c r="AS21" i="30" s="1"/>
  <c r="AT4" i="30" s="1"/>
  <c r="AS88" i="30"/>
  <c r="AS78" i="30"/>
  <c r="AS27" i="30" s="1"/>
  <c r="AT10" i="30" s="1"/>
  <c r="AS82" i="30"/>
  <c r="AS31" i="30" s="1"/>
  <c r="AT14" i="30" s="1"/>
  <c r="AS103" i="30"/>
  <c r="CC104" i="30" l="1"/>
  <c r="CC36" i="30"/>
  <c r="CD19" i="30" s="1"/>
  <c r="L255" i="30" s="1"/>
  <c r="CC102" i="30"/>
  <c r="CC83" i="30" s="1"/>
  <c r="CC34" i="30"/>
  <c r="CD17" i="30" s="1"/>
  <c r="L245" i="30" s="1"/>
  <c r="CB101" i="30"/>
  <c r="CB33" i="30"/>
  <c r="CC16" i="30" s="1"/>
  <c r="CB100" i="30"/>
  <c r="CB79" i="30" s="1"/>
  <c r="CB28" i="30" s="1"/>
  <c r="CC11" i="30" s="1"/>
  <c r="CC96" i="30" s="1"/>
  <c r="CB32" i="30"/>
  <c r="CC15" i="30" s="1"/>
  <c r="CC26" i="30"/>
  <c r="CD9" i="30" s="1"/>
  <c r="L205" i="30" s="1"/>
  <c r="CC94" i="30"/>
  <c r="CB25" i="30"/>
  <c r="CC8" i="30" s="1"/>
  <c r="CB93" i="30"/>
  <c r="AS86" i="30"/>
  <c r="AS35" i="30" s="1"/>
  <c r="AT18" i="30" s="1"/>
  <c r="AT103" i="30" s="1"/>
  <c r="AS74" i="30"/>
  <c r="AS23" i="30" s="1"/>
  <c r="AT6" i="30" s="1"/>
  <c r="AT91" i="30" s="1"/>
  <c r="AT88" i="30"/>
  <c r="AT95" i="30"/>
  <c r="AS73" i="30"/>
  <c r="AS22" i="30" s="1"/>
  <c r="AT5" i="30" s="1"/>
  <c r="AT99" i="30"/>
  <c r="AT72" i="30" s="1"/>
  <c r="AT21" i="30" s="1"/>
  <c r="AU4" i="30" s="1"/>
  <c r="AT98" i="30"/>
  <c r="AT89" i="30"/>
  <c r="AS80" i="30"/>
  <c r="AS29" i="30" s="1"/>
  <c r="AT12" i="30" s="1"/>
  <c r="AS75" i="30"/>
  <c r="AS24" i="30" s="1"/>
  <c r="AT7" i="30" s="1"/>
  <c r="L294" i="30" l="1"/>
  <c r="CD36" i="30"/>
  <c r="CE19" i="30" s="1"/>
  <c r="CD104" i="30"/>
  <c r="CD102" i="30"/>
  <c r="CD83" i="30" s="1"/>
  <c r="L292" i="30"/>
  <c r="CD34" i="30"/>
  <c r="CE17" i="30" s="1"/>
  <c r="CC33" i="30"/>
  <c r="CD16" i="30" s="1"/>
  <c r="L240" i="30" s="1"/>
  <c r="CC101" i="30"/>
  <c r="CC100" i="30"/>
  <c r="CC79" i="30" s="1"/>
  <c r="CC28" i="30" s="1"/>
  <c r="CD11" i="30" s="1"/>
  <c r="L215" i="30" s="1"/>
  <c r="CC32" i="30"/>
  <c r="CD15" i="30" s="1"/>
  <c r="L235" i="30" s="1"/>
  <c r="CD94" i="30"/>
  <c r="CD26" i="30"/>
  <c r="CE9" i="30" s="1"/>
  <c r="L284" i="30"/>
  <c r="CC25" i="30"/>
  <c r="CD8" i="30" s="1"/>
  <c r="L200" i="30" s="1"/>
  <c r="CC93" i="30"/>
  <c r="AU89" i="30"/>
  <c r="AT90" i="30"/>
  <c r="AT75" i="30" s="1"/>
  <c r="AT24" i="30" s="1"/>
  <c r="AU7" i="30" s="1"/>
  <c r="AT97" i="30"/>
  <c r="AT73" i="30"/>
  <c r="AT22" i="30" s="1"/>
  <c r="AU5" i="30" s="1"/>
  <c r="AT82" i="30"/>
  <c r="AT31" i="30" s="1"/>
  <c r="AU14" i="30" s="1"/>
  <c r="AT78" i="30"/>
  <c r="AT27" i="30" s="1"/>
  <c r="AU10" i="30" s="1"/>
  <c r="AT92" i="30"/>
  <c r="L286" i="30" l="1"/>
  <c r="AT86" i="30"/>
  <c r="AT35" i="30" s="1"/>
  <c r="AU18" i="30" s="1"/>
  <c r="AU103" i="30" s="1"/>
  <c r="CE104" i="30"/>
  <c r="CE36" i="30"/>
  <c r="CF19" i="30" s="1"/>
  <c r="CE34" i="30"/>
  <c r="CF17" i="30" s="1"/>
  <c r="CE102" i="30"/>
  <c r="CE83" i="30" s="1"/>
  <c r="CD96" i="30"/>
  <c r="CD101" i="30"/>
  <c r="L291" i="30"/>
  <c r="CD33" i="30"/>
  <c r="CE16" i="30" s="1"/>
  <c r="CD100" i="30"/>
  <c r="CD79" i="30" s="1"/>
  <c r="CD28" i="30" s="1"/>
  <c r="CE11" i="30" s="1"/>
  <c r="CE96" i="30" s="1"/>
  <c r="L290" i="30"/>
  <c r="CD32" i="30"/>
  <c r="CE15" i="30" s="1"/>
  <c r="CE94" i="30"/>
  <c r="CE26" i="30"/>
  <c r="CF9" i="30" s="1"/>
  <c r="CD93" i="30"/>
  <c r="CD25" i="30"/>
  <c r="CE8" i="30" s="1"/>
  <c r="L283" i="30"/>
  <c r="AU92" i="30"/>
  <c r="AU90" i="30"/>
  <c r="AU99" i="30"/>
  <c r="AU72" i="30" s="1"/>
  <c r="AU21" i="30" s="1"/>
  <c r="AV4" i="30" s="1"/>
  <c r="AU95" i="30"/>
  <c r="AT74" i="30"/>
  <c r="AT23" i="30" s="1"/>
  <c r="AU6" i="30" s="1"/>
  <c r="AT81" i="30"/>
  <c r="AT30" i="30" s="1"/>
  <c r="AU13" i="30" s="1"/>
  <c r="AT80" i="30"/>
  <c r="AT29" i="30" s="1"/>
  <c r="AU12" i="30" s="1"/>
  <c r="AT71" i="30"/>
  <c r="AT20" i="30" s="1"/>
  <c r="AU3" i="30" s="1"/>
  <c r="AU78" i="30"/>
  <c r="AU27" i="30" s="1"/>
  <c r="AV10" i="30" s="1"/>
  <c r="CF104" i="30" l="1"/>
  <c r="CF36" i="30"/>
  <c r="CG19" i="30" s="1"/>
  <c r="CF34" i="30"/>
  <c r="CG17" i="30" s="1"/>
  <c r="CF102" i="30"/>
  <c r="CF83" i="30" s="1"/>
  <c r="CE101" i="30"/>
  <c r="CE33" i="30"/>
  <c r="CF16" i="30" s="1"/>
  <c r="CE100" i="30"/>
  <c r="CE79" i="30" s="1"/>
  <c r="CE28" i="30" s="1"/>
  <c r="CF11" i="30" s="1"/>
  <c r="CF96" i="30" s="1"/>
  <c r="CE32" i="30"/>
  <c r="CF15" i="30" s="1"/>
  <c r="CF94" i="30"/>
  <c r="CF26" i="30"/>
  <c r="CG9" i="30" s="1"/>
  <c r="CE93" i="30"/>
  <c r="CE25" i="30"/>
  <c r="CF8" i="30" s="1"/>
  <c r="AU91" i="30"/>
  <c r="AV89" i="30"/>
  <c r="AU74" i="30"/>
  <c r="AU23" i="30" s="1"/>
  <c r="AV6" i="30" s="1"/>
  <c r="AU81" i="30"/>
  <c r="AU30" i="30" s="1"/>
  <c r="AV13" i="30" s="1"/>
  <c r="AU98" i="30"/>
  <c r="AU73" i="30" s="1"/>
  <c r="AU22" i="30" s="1"/>
  <c r="AV5" i="30" s="1"/>
  <c r="AU88" i="30"/>
  <c r="AU97" i="30"/>
  <c r="AV95" i="30"/>
  <c r="AU71" i="30" l="1"/>
  <c r="AU20" i="30" s="1"/>
  <c r="AV3" i="30" s="1"/>
  <c r="AV88" i="30" s="1"/>
  <c r="CG104" i="30"/>
  <c r="CG36" i="30"/>
  <c r="CH19" i="30" s="1"/>
  <c r="CG102" i="30"/>
  <c r="CG83" i="30" s="1"/>
  <c r="CG34" i="30"/>
  <c r="CH17" i="30" s="1"/>
  <c r="CF101" i="30"/>
  <c r="CF33" i="30"/>
  <c r="CG16" i="30" s="1"/>
  <c r="CF100" i="30"/>
  <c r="CF79" i="30" s="1"/>
  <c r="CF28" i="30" s="1"/>
  <c r="CG11" i="30" s="1"/>
  <c r="CG96" i="30" s="1"/>
  <c r="CF32" i="30"/>
  <c r="CG15" i="30" s="1"/>
  <c r="CG94" i="30"/>
  <c r="CG26" i="30"/>
  <c r="CH9" i="30" s="1"/>
  <c r="CF93" i="30"/>
  <c r="CF25" i="30"/>
  <c r="CG8" i="30" s="1"/>
  <c r="AV91" i="30"/>
  <c r="AV98" i="30"/>
  <c r="AV90" i="30"/>
  <c r="AV78" i="30"/>
  <c r="AV27" i="30" s="1"/>
  <c r="AW10" i="30" s="1"/>
  <c r="AU75" i="30"/>
  <c r="AU24" i="30" s="1"/>
  <c r="AV7" i="30" s="1"/>
  <c r="AU80" i="30"/>
  <c r="AU29" i="30" s="1"/>
  <c r="AV12" i="30" s="1"/>
  <c r="AU86" i="30"/>
  <c r="AU35" i="30" s="1"/>
  <c r="AV18" i="30" s="1"/>
  <c r="AU82" i="30"/>
  <c r="AU31" i="30" s="1"/>
  <c r="AV14" i="30" s="1"/>
  <c r="CH36" i="30" l="1"/>
  <c r="CI19" i="30" s="1"/>
  <c r="CH104" i="30"/>
  <c r="CH34" i="30"/>
  <c r="CI17" i="30" s="1"/>
  <c r="CH102" i="30"/>
  <c r="CH83" i="30" s="1"/>
  <c r="CG101" i="30"/>
  <c r="CG33" i="30"/>
  <c r="CH16" i="30" s="1"/>
  <c r="CG100" i="30"/>
  <c r="CG79" i="30" s="1"/>
  <c r="CG28" i="30" s="1"/>
  <c r="CH11" i="30" s="1"/>
  <c r="CH96" i="30" s="1"/>
  <c r="CG32" i="30"/>
  <c r="CH15" i="30" s="1"/>
  <c r="AV82" i="30"/>
  <c r="AV31" i="30" s="1"/>
  <c r="AW14" i="30" s="1"/>
  <c r="CH94" i="30"/>
  <c r="CH26" i="30"/>
  <c r="CI9" i="30" s="1"/>
  <c r="CG25" i="30"/>
  <c r="CH8" i="30" s="1"/>
  <c r="CG93" i="30"/>
  <c r="AV99" i="30"/>
  <c r="AV81" i="30"/>
  <c r="AV30" i="30" s="1"/>
  <c r="AW13" i="30" s="1"/>
  <c r="AV97" i="30"/>
  <c r="AV71" i="30" s="1"/>
  <c r="AV20" i="30" s="1"/>
  <c r="AW3" i="30" s="1"/>
  <c r="AV103" i="30"/>
  <c r="AV80" i="30" s="1"/>
  <c r="AV29" i="30" s="1"/>
  <c r="AW12" i="30" s="1"/>
  <c r="AV92" i="30"/>
  <c r="AW95" i="30"/>
  <c r="AV75" i="30"/>
  <c r="AV24" i="30" s="1"/>
  <c r="AW7" i="30" s="1"/>
  <c r="CI104" i="30" l="1"/>
  <c r="CI36" i="30"/>
  <c r="CJ19" i="30" s="1"/>
  <c r="CI102" i="30"/>
  <c r="CI83" i="30" s="1"/>
  <c r="CI34" i="30"/>
  <c r="CJ17" i="30" s="1"/>
  <c r="CH101" i="30"/>
  <c r="CH33" i="30"/>
  <c r="CI16" i="30" s="1"/>
  <c r="CH100" i="30"/>
  <c r="CH79" i="30" s="1"/>
  <c r="CH28" i="30" s="1"/>
  <c r="CI11" i="30" s="1"/>
  <c r="CI96" i="30" s="1"/>
  <c r="CH32" i="30"/>
  <c r="CI15" i="30" s="1"/>
  <c r="AV86" i="30"/>
  <c r="AV35" i="30" s="1"/>
  <c r="AW18" i="30" s="1"/>
  <c r="AW103" i="30" s="1"/>
  <c r="CI26" i="30"/>
  <c r="CJ9" i="30" s="1"/>
  <c r="CI94" i="30"/>
  <c r="CH25" i="30"/>
  <c r="CI8" i="30" s="1"/>
  <c r="CH93" i="30"/>
  <c r="AW88" i="30"/>
  <c r="AW92" i="30"/>
  <c r="AW99" i="30"/>
  <c r="AW72" i="30" s="1"/>
  <c r="AW97" i="30"/>
  <c r="AV74" i="30"/>
  <c r="AV23" i="30" s="1"/>
  <c r="AW6" i="30" s="1"/>
  <c r="AV72" i="30"/>
  <c r="AV21" i="30" s="1"/>
  <c r="AW4" i="30" s="1"/>
  <c r="AV73" i="30"/>
  <c r="AV22" i="30" s="1"/>
  <c r="AW5" i="30" s="1"/>
  <c r="AW98" i="30"/>
  <c r="CJ36" i="30" l="1"/>
  <c r="CK19" i="30" s="1"/>
  <c r="CJ104" i="30"/>
  <c r="CJ34" i="30"/>
  <c r="CK17" i="30" s="1"/>
  <c r="CJ102" i="30"/>
  <c r="CJ83" i="30" s="1"/>
  <c r="CI101" i="30"/>
  <c r="CI33" i="30"/>
  <c r="CJ16" i="30" s="1"/>
  <c r="CI100" i="30"/>
  <c r="CI79" i="30" s="1"/>
  <c r="CI28" i="30" s="1"/>
  <c r="CJ11" i="30" s="1"/>
  <c r="CJ96" i="30" s="1"/>
  <c r="CI32" i="30"/>
  <c r="CJ15" i="30" s="1"/>
  <c r="CJ26" i="30"/>
  <c r="CK9" i="30" s="1"/>
  <c r="CJ94" i="30"/>
  <c r="CI93" i="30"/>
  <c r="CI25" i="30"/>
  <c r="CJ8" i="30" s="1"/>
  <c r="AW91" i="30"/>
  <c r="AW86" i="30" s="1"/>
  <c r="AW35" i="30" s="1"/>
  <c r="AX18" i="30" s="1"/>
  <c r="H250" i="30" s="1"/>
  <c r="H251" i="30" s="1"/>
  <c r="B252" i="30" s="1"/>
  <c r="AW89" i="30"/>
  <c r="AW90" i="30"/>
  <c r="AW21" i="30"/>
  <c r="AX4" i="30" s="1"/>
  <c r="H180" i="30" s="1"/>
  <c r="H181" i="30" s="1"/>
  <c r="B182" i="30" s="1"/>
  <c r="CK104" i="30" l="1"/>
  <c r="CK36" i="30"/>
  <c r="CL19" i="30" s="1"/>
  <c r="M255" i="30" s="1"/>
  <c r="CK34" i="30"/>
  <c r="CL17" i="30" s="1"/>
  <c r="M245" i="30" s="1"/>
  <c r="CK102" i="30"/>
  <c r="CK83" i="30" s="1"/>
  <c r="CJ33" i="30"/>
  <c r="CK16" i="30" s="1"/>
  <c r="CJ101" i="30"/>
  <c r="CJ100" i="30"/>
  <c r="CJ79" i="30" s="1"/>
  <c r="CJ28" i="30" s="1"/>
  <c r="CK11" i="30" s="1"/>
  <c r="CK96" i="30" s="1"/>
  <c r="CJ32" i="30"/>
  <c r="CK15" i="30" s="1"/>
  <c r="CK94" i="30"/>
  <c r="CK26" i="30"/>
  <c r="CL9" i="30" s="1"/>
  <c r="M205" i="30" s="1"/>
  <c r="CJ25" i="30"/>
  <c r="CK8" i="30" s="1"/>
  <c r="CJ93" i="30"/>
  <c r="AW75" i="30"/>
  <c r="AW24" i="30" s="1"/>
  <c r="AX7" i="30" s="1"/>
  <c r="H195" i="30" s="1"/>
  <c r="H196" i="30" s="1"/>
  <c r="B197" i="30" s="1"/>
  <c r="H279" i="30"/>
  <c r="R279" i="30" s="1"/>
  <c r="AX89" i="30"/>
  <c r="AW80" i="30"/>
  <c r="AW29" i="30" s="1"/>
  <c r="AX12" i="30" s="1"/>
  <c r="H220" i="30" s="1"/>
  <c r="H221" i="30" s="1"/>
  <c r="B222" i="30" s="1"/>
  <c r="AW81" i="30"/>
  <c r="AW30" i="30" s="1"/>
  <c r="AX13" i="30" s="1"/>
  <c r="H225" i="30" s="1"/>
  <c r="H226" i="30" s="1"/>
  <c r="B227" i="30" s="1"/>
  <c r="AW74" i="30"/>
  <c r="AW23" i="30" s="1"/>
  <c r="AX6" i="30" s="1"/>
  <c r="H190" i="30" s="1"/>
  <c r="H191" i="30" s="1"/>
  <c r="B192" i="30" s="1"/>
  <c r="AX103" i="30"/>
  <c r="H293" i="30"/>
  <c r="R293" i="30" s="1"/>
  <c r="AW78" i="30"/>
  <c r="AW27" i="30" s="1"/>
  <c r="AX10" i="30" s="1"/>
  <c r="H210" i="30" s="1"/>
  <c r="H211" i="30" s="1"/>
  <c r="B212" i="30" s="1"/>
  <c r="AW73" i="30"/>
  <c r="AW22" i="30" s="1"/>
  <c r="AX5" i="30" s="1"/>
  <c r="H185" i="30" s="1"/>
  <c r="H186" i="30" s="1"/>
  <c r="B187" i="30" s="1"/>
  <c r="AW82" i="30"/>
  <c r="AW31" i="30" s="1"/>
  <c r="AX14" i="30" s="1"/>
  <c r="H230" i="30" s="1"/>
  <c r="H231" i="30" s="1"/>
  <c r="B232" i="30" s="1"/>
  <c r="AW71" i="30"/>
  <c r="AW20" i="30" s="1"/>
  <c r="AX3" i="30" s="1"/>
  <c r="H175" i="30" s="1"/>
  <c r="H176" i="30" s="1"/>
  <c r="B177" i="30" s="1"/>
  <c r="H282" i="30" l="1"/>
  <c r="R282" i="30" s="1"/>
  <c r="M294" i="30"/>
  <c r="CL104" i="30"/>
  <c r="CL36" i="30"/>
  <c r="CM19" i="30" s="1"/>
  <c r="CL34" i="30"/>
  <c r="CM17" i="30" s="1"/>
  <c r="M292" i="30"/>
  <c r="CL102" i="30"/>
  <c r="CL83" i="30" s="1"/>
  <c r="CK101" i="30"/>
  <c r="CK33" i="30"/>
  <c r="CL16" i="30" s="1"/>
  <c r="M240" i="30" s="1"/>
  <c r="CK100" i="30"/>
  <c r="CK79" i="30" s="1"/>
  <c r="CK28" i="30" s="1"/>
  <c r="CL11" i="30" s="1"/>
  <c r="M215" i="30" s="1"/>
  <c r="CK32" i="30"/>
  <c r="CL15" i="30" s="1"/>
  <c r="M235" i="30" s="1"/>
  <c r="CL94" i="30"/>
  <c r="M284" i="30"/>
  <c r="CL26" i="30"/>
  <c r="CM9" i="30" s="1"/>
  <c r="AX92" i="30"/>
  <c r="CK93" i="30"/>
  <c r="CK25" i="30"/>
  <c r="CL8" i="30" s="1"/>
  <c r="M200" i="30" s="1"/>
  <c r="H289" i="30"/>
  <c r="R289" i="30" s="1"/>
  <c r="AX99" i="30"/>
  <c r="AX72" i="30" s="1"/>
  <c r="AX21" i="30" s="1"/>
  <c r="AY4" i="30" s="1"/>
  <c r="AY89" i="30" s="1"/>
  <c r="H287" i="30"/>
  <c r="R287" i="30" s="1"/>
  <c r="AX97" i="30"/>
  <c r="AX78" i="30"/>
  <c r="AX27" i="30" s="1"/>
  <c r="AY10" i="30" s="1"/>
  <c r="AY95" i="30" s="1"/>
  <c r="H280" i="30"/>
  <c r="R280" i="30" s="1"/>
  <c r="AX90" i="30"/>
  <c r="H273" i="30"/>
  <c r="I273" i="30" s="1"/>
  <c r="H278" i="30"/>
  <c r="AX88" i="30"/>
  <c r="H288" i="30"/>
  <c r="R288" i="30" s="1"/>
  <c r="AX98" i="30"/>
  <c r="AX95" i="30"/>
  <c r="H285" i="30"/>
  <c r="R285" i="30" s="1"/>
  <c r="AX91" i="30"/>
  <c r="H281" i="30"/>
  <c r="R281" i="30" s="1"/>
  <c r="H259" i="30"/>
  <c r="H277" i="30" l="1"/>
  <c r="R277" i="30" s="1"/>
  <c r="M286" i="30"/>
  <c r="H262" i="30"/>
  <c r="I262" i="30" s="1"/>
  <c r="CM36" i="30"/>
  <c r="CN19" i="30" s="1"/>
  <c r="CM104" i="30"/>
  <c r="CM34" i="30"/>
  <c r="CN17" i="30" s="1"/>
  <c r="CM102" i="30"/>
  <c r="CM83" i="30" s="1"/>
  <c r="CL96" i="30"/>
  <c r="CL33" i="30"/>
  <c r="CM16" i="30" s="1"/>
  <c r="CL101" i="30"/>
  <c r="M291" i="30"/>
  <c r="M290" i="30"/>
  <c r="CL100" i="30"/>
  <c r="CL79" i="30" s="1"/>
  <c r="CL28" i="30" s="1"/>
  <c r="CM11" i="30" s="1"/>
  <c r="CM96" i="30" s="1"/>
  <c r="CL32" i="30"/>
  <c r="CM15" i="30" s="1"/>
  <c r="CM26" i="30"/>
  <c r="CN9" i="30" s="1"/>
  <c r="CM94" i="30"/>
  <c r="AX73" i="30"/>
  <c r="AX22" i="30" s="1"/>
  <c r="AY5" i="30" s="1"/>
  <c r="AY90" i="30" s="1"/>
  <c r="AY81" i="30" s="1"/>
  <c r="CL93" i="30"/>
  <c r="M283" i="30"/>
  <c r="CL25" i="30"/>
  <c r="CM8" i="30" s="1"/>
  <c r="AX71" i="30"/>
  <c r="AX20" i="30" s="1"/>
  <c r="AY3" i="30" s="1"/>
  <c r="AY88" i="30" s="1"/>
  <c r="AX86" i="30"/>
  <c r="AX35" i="30" s="1"/>
  <c r="AY18" i="30" s="1"/>
  <c r="AY103" i="30" s="1"/>
  <c r="H265" i="30"/>
  <c r="I265" i="30" s="1"/>
  <c r="AX80" i="30"/>
  <c r="AX29" i="30" s="1"/>
  <c r="AY12" i="30" s="1"/>
  <c r="AY97" i="30" s="1"/>
  <c r="AX75" i="30"/>
  <c r="AX24" i="30" s="1"/>
  <c r="AY7" i="30" s="1"/>
  <c r="AY92" i="30" s="1"/>
  <c r="H261" i="30"/>
  <c r="I261" i="30" s="1"/>
  <c r="R278" i="30"/>
  <c r="AX74" i="30"/>
  <c r="AX23" i="30" s="1"/>
  <c r="AY6" i="30" s="1"/>
  <c r="AY91" i="30" s="1"/>
  <c r="AX81" i="30"/>
  <c r="AX30" i="30" s="1"/>
  <c r="AY13" i="30" s="1"/>
  <c r="AY98" i="30" s="1"/>
  <c r="AX82" i="30"/>
  <c r="AX31" i="30" s="1"/>
  <c r="AY14" i="30" s="1"/>
  <c r="AY99" i="30" s="1"/>
  <c r="AY72" i="30" s="1"/>
  <c r="AY21" i="30" s="1"/>
  <c r="AZ4" i="30" s="1"/>
  <c r="AZ89" i="30" s="1"/>
  <c r="H269" i="30"/>
  <c r="I269" i="30" s="1"/>
  <c r="I259" i="30"/>
  <c r="H258" i="30"/>
  <c r="H267" i="30"/>
  <c r="I267" i="30" s="1"/>
  <c r="H268" i="30"/>
  <c r="I268" i="30" s="1"/>
  <c r="H260" i="30"/>
  <c r="I260" i="30" s="1"/>
  <c r="AY78" i="30"/>
  <c r="AY27" i="30" s="1"/>
  <c r="AZ10" i="30" s="1"/>
  <c r="AZ95" i="30" s="1"/>
  <c r="I258" i="30" l="1"/>
  <c r="J258" i="30" s="1"/>
  <c r="H275" i="30"/>
  <c r="AY82" i="30"/>
  <c r="AY31" i="30" s="1"/>
  <c r="AZ14" i="30" s="1"/>
  <c r="AZ99" i="30" s="1"/>
  <c r="AZ72" i="30" s="1"/>
  <c r="AZ21" i="30" s="1"/>
  <c r="BA4" i="30" s="1"/>
  <c r="BA89" i="30" s="1"/>
  <c r="BA78" i="30" s="1"/>
  <c r="CN104" i="30"/>
  <c r="CN36" i="30"/>
  <c r="CO19" i="30" s="1"/>
  <c r="AY75" i="30"/>
  <c r="AY24" i="30" s="1"/>
  <c r="AZ7" i="30" s="1"/>
  <c r="AZ92" i="30" s="1"/>
  <c r="CN34" i="30"/>
  <c r="CO17" i="30" s="1"/>
  <c r="CN102" i="30"/>
  <c r="CN83" i="30" s="1"/>
  <c r="CM33" i="30"/>
  <c r="CN16" i="30" s="1"/>
  <c r="CM101" i="30"/>
  <c r="CM100" i="30"/>
  <c r="CM79" i="30" s="1"/>
  <c r="CM28" i="30" s="1"/>
  <c r="CN11" i="30" s="1"/>
  <c r="CN96" i="30" s="1"/>
  <c r="CM32" i="30"/>
  <c r="CN15" i="30" s="1"/>
  <c r="AY80" i="30"/>
  <c r="AY29" i="30" s="1"/>
  <c r="AZ12" i="30" s="1"/>
  <c r="AZ97" i="30" s="1"/>
  <c r="CN94" i="30"/>
  <c r="CN26" i="30"/>
  <c r="CO9" i="30" s="1"/>
  <c r="CM25" i="30"/>
  <c r="CN8" i="30" s="1"/>
  <c r="CM93" i="30"/>
  <c r="AY74" i="30"/>
  <c r="AY23" i="30" s="1"/>
  <c r="AZ6" i="30" s="1"/>
  <c r="AZ91" i="30" s="1"/>
  <c r="AY73" i="30"/>
  <c r="AY22" i="30" s="1"/>
  <c r="AZ5" i="30" s="1"/>
  <c r="AZ90" i="30" s="1"/>
  <c r="AY86" i="30"/>
  <c r="AY35" i="30" s="1"/>
  <c r="AZ18" i="30" s="1"/>
  <c r="AZ103" i="30" s="1"/>
  <c r="AY71" i="30"/>
  <c r="AY20" i="30" s="1"/>
  <c r="AZ3" i="30" s="1"/>
  <c r="AZ88" i="30" s="1"/>
  <c r="AZ78" i="30"/>
  <c r="AZ27" i="30" s="1"/>
  <c r="BA10" i="30" s="1"/>
  <c r="BA95" i="30" s="1"/>
  <c r="AY30" i="30"/>
  <c r="AZ13" i="30" s="1"/>
  <c r="AZ98" i="30" s="1"/>
  <c r="AZ74" i="30" l="1"/>
  <c r="AZ23" i="30" s="1"/>
  <c r="BA6" i="30" s="1"/>
  <c r="BA91" i="30" s="1"/>
  <c r="CO36" i="30"/>
  <c r="CP19" i="30" s="1"/>
  <c r="CO104" i="30"/>
  <c r="CO102" i="30"/>
  <c r="CO83" i="30" s="1"/>
  <c r="CO34" i="30"/>
  <c r="CP17" i="30" s="1"/>
  <c r="CN33" i="30"/>
  <c r="CO16" i="30" s="1"/>
  <c r="CN101" i="30"/>
  <c r="AZ81" i="30"/>
  <c r="AZ30" i="30" s="1"/>
  <c r="BA13" i="30" s="1"/>
  <c r="BA98" i="30" s="1"/>
  <c r="CN100" i="30"/>
  <c r="CN79" i="30" s="1"/>
  <c r="CN28" i="30" s="1"/>
  <c r="CO11" i="30" s="1"/>
  <c r="CO96" i="30" s="1"/>
  <c r="CN32" i="30"/>
  <c r="CO15" i="30" s="1"/>
  <c r="CO94" i="30"/>
  <c r="CO26" i="30"/>
  <c r="CP9" i="30" s="1"/>
  <c r="CN25" i="30"/>
  <c r="CO8" i="30" s="1"/>
  <c r="CN93" i="30"/>
  <c r="AZ80" i="30"/>
  <c r="AZ29" i="30" s="1"/>
  <c r="BA12" i="30" s="1"/>
  <c r="BA97" i="30" s="1"/>
  <c r="AZ75" i="30"/>
  <c r="AZ24" i="30" s="1"/>
  <c r="BA7" i="30" s="1"/>
  <c r="BA92" i="30" s="1"/>
  <c r="AZ86" i="30"/>
  <c r="AZ35" i="30" s="1"/>
  <c r="BA18" i="30" s="1"/>
  <c r="BA103" i="30" s="1"/>
  <c r="BA27" i="30"/>
  <c r="BB10" i="30" s="1"/>
  <c r="BB95" i="30" s="1"/>
  <c r="AZ71" i="30"/>
  <c r="AZ20" i="30" s="1"/>
  <c r="BA3" i="30" s="1"/>
  <c r="BA88" i="30" s="1"/>
  <c r="AZ73" i="30"/>
  <c r="AZ22" i="30" s="1"/>
  <c r="BA5" i="30" s="1"/>
  <c r="BA90" i="30" s="1"/>
  <c r="AZ82" i="30"/>
  <c r="AZ31" i="30" s="1"/>
  <c r="BA14" i="30" s="1"/>
  <c r="BA99" i="30" s="1"/>
  <c r="BA72" i="30" s="1"/>
  <c r="BA21" i="30" s="1"/>
  <c r="BB4" i="30" s="1"/>
  <c r="BB89" i="30" s="1"/>
  <c r="CP104" i="30" l="1"/>
  <c r="CP36" i="30"/>
  <c r="CQ19" i="30" s="1"/>
  <c r="CP102" i="30"/>
  <c r="CP83" i="30" s="1"/>
  <c r="CP34" i="30"/>
  <c r="CQ17" i="30" s="1"/>
  <c r="CO33" i="30"/>
  <c r="CP16" i="30" s="1"/>
  <c r="CO101" i="30"/>
  <c r="CO100" i="30"/>
  <c r="CO79" i="30" s="1"/>
  <c r="CO28" i="30" s="1"/>
  <c r="CP11" i="30" s="1"/>
  <c r="CP96" i="30" s="1"/>
  <c r="CO32" i="30"/>
  <c r="CP15" i="30" s="1"/>
  <c r="CP94" i="30"/>
  <c r="CP26" i="30"/>
  <c r="CQ9" i="30" s="1"/>
  <c r="CO93" i="30"/>
  <c r="CO25" i="30"/>
  <c r="CP8" i="30" s="1"/>
  <c r="BB78" i="30"/>
  <c r="BB27" i="30" s="1"/>
  <c r="BC10" i="30" s="1"/>
  <c r="BC95" i="30" s="1"/>
  <c r="BA81" i="30"/>
  <c r="BA30" i="30" s="1"/>
  <c r="BB13" i="30" s="1"/>
  <c r="BB98" i="30" s="1"/>
  <c r="BA74" i="30"/>
  <c r="BA23" i="30" s="1"/>
  <c r="BB6" i="30" s="1"/>
  <c r="BB91" i="30" s="1"/>
  <c r="BA71" i="30"/>
  <c r="BA20" i="30" s="1"/>
  <c r="BB3" i="30" s="1"/>
  <c r="BB88" i="30" s="1"/>
  <c r="BA73" i="30"/>
  <c r="BA22" i="30" s="1"/>
  <c r="BB5" i="30" s="1"/>
  <c r="BB90" i="30" s="1"/>
  <c r="BB81" i="30" s="1"/>
  <c r="BA82" i="30"/>
  <c r="BA31" i="30" s="1"/>
  <c r="BB14" i="30" s="1"/>
  <c r="BB99" i="30" s="1"/>
  <c r="BA80" i="30"/>
  <c r="BA29" i="30" s="1"/>
  <c r="BB12" i="30" s="1"/>
  <c r="BB97" i="30" s="1"/>
  <c r="BA75" i="30"/>
  <c r="BA24" i="30" s="1"/>
  <c r="BB7" i="30" s="1"/>
  <c r="BB92" i="30" s="1"/>
  <c r="BA86" i="30"/>
  <c r="BA35" i="30" s="1"/>
  <c r="BB18" i="30" s="1"/>
  <c r="BB103" i="30" s="1"/>
  <c r="BB80" i="30" l="1"/>
  <c r="BB29" i="30" s="1"/>
  <c r="BC12" i="30" s="1"/>
  <c r="BC97" i="30" s="1"/>
  <c r="CQ104" i="30"/>
  <c r="CQ36" i="30"/>
  <c r="CR19" i="30" s="1"/>
  <c r="CQ34" i="30"/>
  <c r="CR17" i="30" s="1"/>
  <c r="CQ102" i="30"/>
  <c r="CQ83" i="30" s="1"/>
  <c r="CP33" i="30"/>
  <c r="CQ16" i="30" s="1"/>
  <c r="CP101" i="30"/>
  <c r="CP100" i="30"/>
  <c r="CP79" i="30" s="1"/>
  <c r="CP28" i="30" s="1"/>
  <c r="CQ11" i="30" s="1"/>
  <c r="CQ96" i="30" s="1"/>
  <c r="CP32" i="30"/>
  <c r="CQ15" i="30" s="1"/>
  <c r="CQ26" i="30"/>
  <c r="CR9" i="30" s="1"/>
  <c r="CQ94" i="30"/>
  <c r="CP93" i="30"/>
  <c r="CP25" i="30"/>
  <c r="CQ8" i="30" s="1"/>
  <c r="BB75" i="30"/>
  <c r="BB24" i="30" s="1"/>
  <c r="BC7" i="30" s="1"/>
  <c r="BC92" i="30" s="1"/>
  <c r="BB73" i="30"/>
  <c r="BB22" i="30" s="1"/>
  <c r="BC5" i="30" s="1"/>
  <c r="BC90" i="30" s="1"/>
  <c r="BC81" i="30" s="1"/>
  <c r="BB30" i="30"/>
  <c r="BC13" i="30" s="1"/>
  <c r="BC98" i="30" s="1"/>
  <c r="BB71" i="30"/>
  <c r="BB20" i="30" s="1"/>
  <c r="BC3" i="30" s="1"/>
  <c r="BC88" i="30" s="1"/>
  <c r="BB86" i="30"/>
  <c r="BB35" i="30" s="1"/>
  <c r="BC18" i="30" s="1"/>
  <c r="BC103" i="30" s="1"/>
  <c r="BB82" i="30"/>
  <c r="BB31" i="30" s="1"/>
  <c r="BC14" i="30" s="1"/>
  <c r="BC99" i="30" s="1"/>
  <c r="BC72" i="30" s="1"/>
  <c r="BB74" i="30"/>
  <c r="BB23" i="30" s="1"/>
  <c r="BC6" i="30" s="1"/>
  <c r="BC91" i="30" s="1"/>
  <c r="BB72" i="30"/>
  <c r="BB21" i="30" s="1"/>
  <c r="BC4" i="30" s="1"/>
  <c r="BC89" i="30" s="1"/>
  <c r="CR104" i="30" l="1"/>
  <c r="CR36" i="30"/>
  <c r="CS19" i="30" s="1"/>
  <c r="CR34" i="30"/>
  <c r="CS17" i="30" s="1"/>
  <c r="CR102" i="30"/>
  <c r="CR83" i="30" s="1"/>
  <c r="CQ101" i="30"/>
  <c r="CQ33" i="30"/>
  <c r="CR16" i="30" s="1"/>
  <c r="CQ100" i="30"/>
  <c r="CQ79" i="30" s="1"/>
  <c r="CQ28" i="30" s="1"/>
  <c r="CR11" i="30" s="1"/>
  <c r="CR96" i="30" s="1"/>
  <c r="CQ32" i="30"/>
  <c r="CR15" i="30" s="1"/>
  <c r="BC30" i="30"/>
  <c r="BD13" i="30" s="1"/>
  <c r="BD98" i="30" s="1"/>
  <c r="CR94" i="30"/>
  <c r="CR26" i="30"/>
  <c r="CS9" i="30" s="1"/>
  <c r="BC86" i="30"/>
  <c r="BC35" i="30" s="1"/>
  <c r="BD18" i="30" s="1"/>
  <c r="BD103" i="30" s="1"/>
  <c r="CQ93" i="30"/>
  <c r="CQ25" i="30"/>
  <c r="CR8" i="30" s="1"/>
  <c r="BC74" i="30"/>
  <c r="BC23" i="30" s="1"/>
  <c r="BD6" i="30" s="1"/>
  <c r="BD91" i="30" s="1"/>
  <c r="BC78" i="30"/>
  <c r="BC27" i="30" s="1"/>
  <c r="BD10" i="30" s="1"/>
  <c r="BD95" i="30" s="1"/>
  <c r="BC71" i="30"/>
  <c r="BC20" i="30" s="1"/>
  <c r="BD3" i="30" s="1"/>
  <c r="BD88" i="30" s="1"/>
  <c r="BC82" i="30"/>
  <c r="BC31" i="30" s="1"/>
  <c r="BD14" i="30" s="1"/>
  <c r="BD99" i="30" s="1"/>
  <c r="BD72" i="30" s="1"/>
  <c r="BC73" i="30"/>
  <c r="BC22" i="30" s="1"/>
  <c r="BD5" i="30" s="1"/>
  <c r="BD90" i="30" s="1"/>
  <c r="BC75" i="30"/>
  <c r="BC24" i="30" s="1"/>
  <c r="BD7" i="30" s="1"/>
  <c r="BD92" i="30" s="1"/>
  <c r="BC80" i="30"/>
  <c r="BC29" i="30" s="1"/>
  <c r="BD12" i="30" s="1"/>
  <c r="BD97" i="30" s="1"/>
  <c r="BC21" i="30"/>
  <c r="BD4" i="30" s="1"/>
  <c r="BD89" i="30" s="1"/>
  <c r="CS36" i="30" l="1"/>
  <c r="CT19" i="30" s="1"/>
  <c r="CS104" i="30"/>
  <c r="CS102" i="30"/>
  <c r="CS83" i="30" s="1"/>
  <c r="CS34" i="30"/>
  <c r="CT17" i="30" s="1"/>
  <c r="CR101" i="30"/>
  <c r="CR33" i="30"/>
  <c r="CS16" i="30" s="1"/>
  <c r="CR100" i="30"/>
  <c r="CR79" i="30" s="1"/>
  <c r="CR28" i="30" s="1"/>
  <c r="CS11" i="30" s="1"/>
  <c r="CS96" i="30" s="1"/>
  <c r="CR32" i="30"/>
  <c r="CS15" i="30" s="1"/>
  <c r="CS26" i="30"/>
  <c r="CT9" i="30" s="1"/>
  <c r="CS94" i="30"/>
  <c r="CR93" i="30"/>
  <c r="CR25" i="30"/>
  <c r="CS8" i="30" s="1"/>
  <c r="BD86" i="30"/>
  <c r="BD35" i="30" s="1"/>
  <c r="BE18" i="30" s="1"/>
  <c r="BE103" i="30" s="1"/>
  <c r="BD78" i="30"/>
  <c r="BD27" i="30" s="1"/>
  <c r="BE10" i="30" s="1"/>
  <c r="BE95" i="30" s="1"/>
  <c r="BD71" i="30"/>
  <c r="BD20" i="30" s="1"/>
  <c r="BE3" i="30" s="1"/>
  <c r="BE88" i="30" s="1"/>
  <c r="BD73" i="30"/>
  <c r="BD22" i="30" s="1"/>
  <c r="BE5" i="30" s="1"/>
  <c r="BE90" i="30" s="1"/>
  <c r="BD82" i="30"/>
  <c r="BD31" i="30" s="1"/>
  <c r="BE14" i="30" s="1"/>
  <c r="BE99" i="30" s="1"/>
  <c r="BE72" i="30" s="1"/>
  <c r="BD21" i="30"/>
  <c r="BE4" i="30" s="1"/>
  <c r="BE89" i="30" s="1"/>
  <c r="BD75" i="30"/>
  <c r="BD24" i="30" s="1"/>
  <c r="BE7" i="30" s="1"/>
  <c r="BE92" i="30" s="1"/>
  <c r="BD80" i="30"/>
  <c r="BD29" i="30" s="1"/>
  <c r="BE12" i="30" s="1"/>
  <c r="BE97" i="30" s="1"/>
  <c r="BD81" i="30"/>
  <c r="BD30" i="30" s="1"/>
  <c r="BE13" i="30" s="1"/>
  <c r="BE98" i="30" s="1"/>
  <c r="BD74" i="30"/>
  <c r="BD23" i="30" s="1"/>
  <c r="BE6" i="30" s="1"/>
  <c r="BE91" i="30" s="1"/>
  <c r="CT104" i="30" l="1"/>
  <c r="N294" i="30"/>
  <c r="CT36" i="30"/>
  <c r="CU19" i="30" s="1"/>
  <c r="N292" i="30"/>
  <c r="CT34" i="30"/>
  <c r="CU17" i="30" s="1"/>
  <c r="CT102" i="30"/>
  <c r="CT83" i="30" s="1"/>
  <c r="CS33" i="30"/>
  <c r="CT16" i="30" s="1"/>
  <c r="CS101" i="30"/>
  <c r="CS100" i="30"/>
  <c r="CS79" i="30" s="1"/>
  <c r="CS28" i="30" s="1"/>
  <c r="CT11" i="30" s="1"/>
  <c r="N286" i="30" s="1"/>
  <c r="CS32" i="30"/>
  <c r="CT15" i="30" s="1"/>
  <c r="CT94" i="30"/>
  <c r="CT26" i="30"/>
  <c r="CU9" i="30" s="1"/>
  <c r="N284" i="30"/>
  <c r="CS25" i="30"/>
  <c r="CT8" i="30" s="1"/>
  <c r="CS93" i="30"/>
  <c r="BE21" i="30"/>
  <c r="BF4" i="30" s="1"/>
  <c r="I180" i="30" s="1"/>
  <c r="BE81" i="30"/>
  <c r="BE30" i="30" s="1"/>
  <c r="BF13" i="30" s="1"/>
  <c r="I225" i="30" s="1"/>
  <c r="BE74" i="30"/>
  <c r="BE23" i="30" s="1"/>
  <c r="BF6" i="30" s="1"/>
  <c r="I190" i="30" s="1"/>
  <c r="BE75" i="30"/>
  <c r="BE24" i="30" s="1"/>
  <c r="BF7" i="30" s="1"/>
  <c r="I195" i="30" s="1"/>
  <c r="BE80" i="30"/>
  <c r="BE29" i="30" s="1"/>
  <c r="BF12" i="30" s="1"/>
  <c r="I220" i="30" s="1"/>
  <c r="BE86" i="30"/>
  <c r="BE35" i="30" s="1"/>
  <c r="BF18" i="30" s="1"/>
  <c r="I250" i="30" s="1"/>
  <c r="BE78" i="30"/>
  <c r="BE27" i="30" s="1"/>
  <c r="BF10" i="30" s="1"/>
  <c r="I210" i="30" s="1"/>
  <c r="BE82" i="30"/>
  <c r="BE31" i="30" s="1"/>
  <c r="BF14" i="30" s="1"/>
  <c r="I230" i="30" s="1"/>
  <c r="BE71" i="30"/>
  <c r="BE20" i="30" s="1"/>
  <c r="BF3" i="30" s="1"/>
  <c r="I175" i="30" s="1"/>
  <c r="BE73" i="30"/>
  <c r="BE22" i="30" s="1"/>
  <c r="BF5" i="30" s="1"/>
  <c r="I185" i="30" s="1"/>
  <c r="I279" i="30" l="1"/>
  <c r="CU104" i="30"/>
  <c r="CU36" i="30"/>
  <c r="CV19" i="30" s="1"/>
  <c r="N255" i="30" s="1"/>
  <c r="CU34" i="30"/>
  <c r="CV17" i="30" s="1"/>
  <c r="N245" i="30" s="1"/>
  <c r="CU102" i="30"/>
  <c r="CU83" i="30" s="1"/>
  <c r="CT33" i="30"/>
  <c r="CU16" i="30" s="1"/>
  <c r="N291" i="30"/>
  <c r="CT101" i="30"/>
  <c r="CT96" i="30"/>
  <c r="CT100" i="30"/>
  <c r="CT79" i="30" s="1"/>
  <c r="CT28" i="30" s="1"/>
  <c r="CU11" i="30" s="1"/>
  <c r="CU96" i="30" s="1"/>
  <c r="N290" i="30"/>
  <c r="CT32" i="30"/>
  <c r="CU15" i="30" s="1"/>
  <c r="CU94" i="30"/>
  <c r="CU26" i="30"/>
  <c r="CV9" i="30" s="1"/>
  <c r="N205" i="30" s="1"/>
  <c r="BF89" i="30"/>
  <c r="BF78" i="30" s="1"/>
  <c r="BF27" i="30" s="1"/>
  <c r="BG10" i="30" s="1"/>
  <c r="BG95" i="30" s="1"/>
  <c r="N283" i="30"/>
  <c r="CT93" i="30"/>
  <c r="CT25" i="30"/>
  <c r="CU8" i="30" s="1"/>
  <c r="BF90" i="30"/>
  <c r="I280" i="30"/>
  <c r="BF98" i="30"/>
  <c r="I288" i="30"/>
  <c r="BF88" i="30"/>
  <c r="I278" i="30"/>
  <c r="BF97" i="30"/>
  <c r="I287" i="30"/>
  <c r="BF99" i="30"/>
  <c r="BF72" i="30" s="1"/>
  <c r="BF21" i="30" s="1"/>
  <c r="BG4" i="30" s="1"/>
  <c r="BG89" i="30" s="1"/>
  <c r="I289" i="30"/>
  <c r="I282" i="30"/>
  <c r="BF92" i="30"/>
  <c r="I293" i="30"/>
  <c r="BF103" i="30"/>
  <c r="BF95" i="30"/>
  <c r="I285" i="30"/>
  <c r="I281" i="30"/>
  <c r="BF91" i="30"/>
  <c r="I277" i="30" l="1"/>
  <c r="CV104" i="30"/>
  <c r="CV36" i="30"/>
  <c r="CW19" i="30" s="1"/>
  <c r="CV102" i="30"/>
  <c r="CV83" i="30" s="1"/>
  <c r="CV34" i="30"/>
  <c r="CW17" i="30" s="1"/>
  <c r="CU101" i="30"/>
  <c r="CU33" i="30"/>
  <c r="CV16" i="30" s="1"/>
  <c r="N240" i="30" s="1"/>
  <c r="CU100" i="30"/>
  <c r="CU79" i="30" s="1"/>
  <c r="CU28" i="30" s="1"/>
  <c r="CV11" i="30" s="1"/>
  <c r="N215" i="30" s="1"/>
  <c r="CU32" i="30"/>
  <c r="CV15" i="30" s="1"/>
  <c r="N235" i="30" s="1"/>
  <c r="BF71" i="30"/>
  <c r="BF20" i="30" s="1"/>
  <c r="BG3" i="30" s="1"/>
  <c r="BG88" i="30" s="1"/>
  <c r="CV94" i="30"/>
  <c r="CV26" i="30"/>
  <c r="CW9" i="30" s="1"/>
  <c r="CU93" i="30"/>
  <c r="CU25" i="30"/>
  <c r="CV8" i="30" s="1"/>
  <c r="N200" i="30" s="1"/>
  <c r="BF80" i="30"/>
  <c r="BF29" i="30" s="1"/>
  <c r="BG12" i="30" s="1"/>
  <c r="BG97" i="30" s="1"/>
  <c r="BF75" i="30"/>
  <c r="BF24" i="30" s="1"/>
  <c r="BG7" i="30" s="1"/>
  <c r="BG92" i="30" s="1"/>
  <c r="BF86" i="30"/>
  <c r="BF35" i="30" s="1"/>
  <c r="BG18" i="30" s="1"/>
  <c r="BG103" i="30" s="1"/>
  <c r="BF82" i="30"/>
  <c r="BF31" i="30" s="1"/>
  <c r="BG14" i="30" s="1"/>
  <c r="BG99" i="30" s="1"/>
  <c r="BG72" i="30" s="1"/>
  <c r="BG21" i="30" s="1"/>
  <c r="BH4" i="30" s="1"/>
  <c r="BH89" i="30" s="1"/>
  <c r="BG78" i="30"/>
  <c r="BG27" i="30" s="1"/>
  <c r="BH10" i="30" s="1"/>
  <c r="BH95" i="30" s="1"/>
  <c r="BF73" i="30"/>
  <c r="BF22" i="30" s="1"/>
  <c r="BG5" i="30" s="1"/>
  <c r="BG90" i="30" s="1"/>
  <c r="BF81" i="30"/>
  <c r="BF30" i="30" s="1"/>
  <c r="BG13" i="30" s="1"/>
  <c r="BG98" i="30" s="1"/>
  <c r="BF74" i="30"/>
  <c r="BF23" i="30" s="1"/>
  <c r="BG6" i="30" s="1"/>
  <c r="BG91" i="30" s="1"/>
  <c r="CV96" i="30" l="1"/>
  <c r="CW36" i="30"/>
  <c r="CX19" i="30" s="1"/>
  <c r="CW104" i="30"/>
  <c r="CW34" i="30"/>
  <c r="CX17" i="30" s="1"/>
  <c r="CW102" i="30"/>
  <c r="CW83" i="30" s="1"/>
  <c r="CV101" i="30"/>
  <c r="CV33" i="30"/>
  <c r="CW16" i="30" s="1"/>
  <c r="CV100" i="30"/>
  <c r="CV79" i="30" s="1"/>
  <c r="CV28" i="30" s="1"/>
  <c r="CW11" i="30" s="1"/>
  <c r="CW96" i="30" s="1"/>
  <c r="CV32" i="30"/>
  <c r="CW15" i="30" s="1"/>
  <c r="CW26" i="30"/>
  <c r="CX9" i="30" s="1"/>
  <c r="CW94" i="30"/>
  <c r="CV93" i="30"/>
  <c r="CV25" i="30"/>
  <c r="CW8" i="30" s="1"/>
  <c r="BG73" i="30"/>
  <c r="BG22" i="30" s="1"/>
  <c r="BH5" i="30" s="1"/>
  <c r="BH90" i="30" s="1"/>
  <c r="BH81" i="30" s="1"/>
  <c r="BG75" i="30"/>
  <c r="BG24" i="30" s="1"/>
  <c r="BH7" i="30" s="1"/>
  <c r="BH92" i="30" s="1"/>
  <c r="BG86" i="30"/>
  <c r="BG35" i="30" s="1"/>
  <c r="BH18" i="30" s="1"/>
  <c r="BH103" i="30" s="1"/>
  <c r="BG82" i="30"/>
  <c r="BG31" i="30" s="1"/>
  <c r="BH14" i="30" s="1"/>
  <c r="BH99" i="30" s="1"/>
  <c r="BH72" i="30" s="1"/>
  <c r="BH21" i="30" s="1"/>
  <c r="BI4" i="30" s="1"/>
  <c r="BI89" i="30" s="1"/>
  <c r="BG81" i="30"/>
  <c r="BG30" i="30" s="1"/>
  <c r="BH13" i="30" s="1"/>
  <c r="BH98" i="30" s="1"/>
  <c r="BG74" i="30"/>
  <c r="BG23" i="30" s="1"/>
  <c r="BH6" i="30" s="1"/>
  <c r="BH91" i="30" s="1"/>
  <c r="BG71" i="30"/>
  <c r="BG20" i="30" s="1"/>
  <c r="BH3" i="30" s="1"/>
  <c r="BH88" i="30" s="1"/>
  <c r="BH78" i="30"/>
  <c r="BH27" i="30" s="1"/>
  <c r="BI10" i="30" s="1"/>
  <c r="BI95" i="30" s="1"/>
  <c r="BG80" i="30"/>
  <c r="BG29" i="30" s="1"/>
  <c r="BH12" i="30" s="1"/>
  <c r="BH97" i="30" s="1"/>
  <c r="BH71" i="30" l="1"/>
  <c r="BH20" i="30" s="1"/>
  <c r="BI3" i="30" s="1"/>
  <c r="BI88" i="30" s="1"/>
  <c r="CX36" i="30"/>
  <c r="CY19" i="30" s="1"/>
  <c r="CX104" i="30"/>
  <c r="CX34" i="30"/>
  <c r="CY17" i="30" s="1"/>
  <c r="CX102" i="30"/>
  <c r="CX83" i="30" s="1"/>
  <c r="CW101" i="30"/>
  <c r="CW33" i="30"/>
  <c r="CX16" i="30" s="1"/>
  <c r="CW100" i="30"/>
  <c r="CW79" i="30" s="1"/>
  <c r="CW28" i="30" s="1"/>
  <c r="CX11" i="30" s="1"/>
  <c r="CX96" i="30" s="1"/>
  <c r="CW32" i="30"/>
  <c r="CX15" i="30" s="1"/>
  <c r="BH73" i="30"/>
  <c r="BH22" i="30" s="1"/>
  <c r="BI5" i="30" s="1"/>
  <c r="BI90" i="30" s="1"/>
  <c r="BI81" i="30" s="1"/>
  <c r="CX26" i="30"/>
  <c r="CY9" i="30" s="1"/>
  <c r="CX94" i="30"/>
  <c r="CW25" i="30"/>
  <c r="CX8" i="30" s="1"/>
  <c r="CW93" i="30"/>
  <c r="BH82" i="30"/>
  <c r="BH31" i="30" s="1"/>
  <c r="BI14" i="30" s="1"/>
  <c r="BI99" i="30" s="1"/>
  <c r="BI72" i="30" s="1"/>
  <c r="BI21" i="30" s="1"/>
  <c r="BJ4" i="30" s="1"/>
  <c r="BJ89" i="30" s="1"/>
  <c r="BJ78" i="30" s="1"/>
  <c r="BH74" i="30"/>
  <c r="BH23" i="30" s="1"/>
  <c r="BI6" i="30" s="1"/>
  <c r="BI91" i="30" s="1"/>
  <c r="BH75" i="30"/>
  <c r="BH24" i="30" s="1"/>
  <c r="BI7" i="30" s="1"/>
  <c r="BI92" i="30" s="1"/>
  <c r="BH80" i="30"/>
  <c r="BH29" i="30" s="1"/>
  <c r="BI12" i="30" s="1"/>
  <c r="BI97" i="30" s="1"/>
  <c r="BH86" i="30"/>
  <c r="BH35" i="30" s="1"/>
  <c r="BI18" i="30" s="1"/>
  <c r="BI103" i="30" s="1"/>
  <c r="BI78" i="30"/>
  <c r="BI27" i="30" s="1"/>
  <c r="BJ10" i="30" s="1"/>
  <c r="BJ95" i="30" s="1"/>
  <c r="BH30" i="30"/>
  <c r="BI13" i="30" s="1"/>
  <c r="BI98" i="30" s="1"/>
  <c r="BI80" i="30" l="1"/>
  <c r="BI29" i="30" s="1"/>
  <c r="BJ12" i="30" s="1"/>
  <c r="BJ97" i="30" s="1"/>
  <c r="BI73" i="30"/>
  <c r="BI22" i="30" s="1"/>
  <c r="BJ5" i="30" s="1"/>
  <c r="BJ90" i="30" s="1"/>
  <c r="BJ81" i="30" s="1"/>
  <c r="CY104" i="30"/>
  <c r="CY36" i="30"/>
  <c r="CZ19" i="30" s="1"/>
  <c r="BI75" i="30"/>
  <c r="BI24" i="30" s="1"/>
  <c r="BJ7" i="30" s="1"/>
  <c r="BJ92" i="30" s="1"/>
  <c r="CY34" i="30"/>
  <c r="CZ17" i="30" s="1"/>
  <c r="CY102" i="30"/>
  <c r="CY83" i="30" s="1"/>
  <c r="CX101" i="30"/>
  <c r="CX33" i="30"/>
  <c r="CY16" i="30" s="1"/>
  <c r="CX100" i="30"/>
  <c r="CX79" i="30" s="1"/>
  <c r="CX28" i="30" s="1"/>
  <c r="CY11" i="30" s="1"/>
  <c r="CY96" i="30" s="1"/>
  <c r="CX32" i="30"/>
  <c r="CY15" i="30" s="1"/>
  <c r="CY94" i="30"/>
  <c r="CY26" i="30"/>
  <c r="CZ9" i="30" s="1"/>
  <c r="BI74" i="30"/>
  <c r="BI23" i="30" s="1"/>
  <c r="BJ6" i="30" s="1"/>
  <c r="BJ91" i="30" s="1"/>
  <c r="CX25" i="30"/>
  <c r="CY8" i="30" s="1"/>
  <c r="CX93" i="30"/>
  <c r="BI86" i="30"/>
  <c r="BI35" i="30" s="1"/>
  <c r="BJ18" i="30" s="1"/>
  <c r="BJ103" i="30" s="1"/>
  <c r="BI71" i="30"/>
  <c r="BI20" i="30" s="1"/>
  <c r="BJ3" i="30" s="1"/>
  <c r="BJ88" i="30" s="1"/>
  <c r="BI82" i="30"/>
  <c r="BI31" i="30" s="1"/>
  <c r="BJ14" i="30" s="1"/>
  <c r="BJ99" i="30" s="1"/>
  <c r="BJ72" i="30" s="1"/>
  <c r="BJ21" i="30" s="1"/>
  <c r="BK4" i="30" s="1"/>
  <c r="BK89" i="30" s="1"/>
  <c r="BJ27" i="30"/>
  <c r="BK10" i="30" s="1"/>
  <c r="BK95" i="30" s="1"/>
  <c r="BI30" i="30"/>
  <c r="BJ13" i="30" s="1"/>
  <c r="BJ98" i="30" s="1"/>
  <c r="BJ71" i="30" l="1"/>
  <c r="BJ20" i="30" s="1"/>
  <c r="BK3" i="30" s="1"/>
  <c r="BK88" i="30" s="1"/>
  <c r="CZ36" i="30"/>
  <c r="DA19" i="30" s="1"/>
  <c r="CZ104" i="30"/>
  <c r="CZ34" i="30"/>
  <c r="DA17" i="30" s="1"/>
  <c r="CZ102" i="30"/>
  <c r="CZ83" i="30" s="1"/>
  <c r="CY101" i="30"/>
  <c r="CY33" i="30"/>
  <c r="CZ16" i="30" s="1"/>
  <c r="CY100" i="30"/>
  <c r="CY79" i="30" s="1"/>
  <c r="CY28" i="30" s="1"/>
  <c r="CZ11" i="30" s="1"/>
  <c r="CZ96" i="30" s="1"/>
  <c r="CY32" i="30"/>
  <c r="CZ15" i="30" s="1"/>
  <c r="CZ94" i="30"/>
  <c r="CZ26" i="30"/>
  <c r="DA9" i="30" s="1"/>
  <c r="CY25" i="30"/>
  <c r="CZ8" i="30" s="1"/>
  <c r="CY93" i="30"/>
  <c r="BJ86" i="30"/>
  <c r="BJ35" i="30" s="1"/>
  <c r="BK18" i="30" s="1"/>
  <c r="BK103" i="30" s="1"/>
  <c r="BJ82" i="30"/>
  <c r="BJ31" i="30" s="1"/>
  <c r="BK14" i="30" s="1"/>
  <c r="BK99" i="30" s="1"/>
  <c r="BK72" i="30" s="1"/>
  <c r="BK21" i="30" s="1"/>
  <c r="BL4" i="30" s="1"/>
  <c r="BL89" i="30" s="1"/>
  <c r="BJ74" i="30"/>
  <c r="BJ23" i="30" s="1"/>
  <c r="BK6" i="30" s="1"/>
  <c r="BK91" i="30" s="1"/>
  <c r="BJ75" i="30"/>
  <c r="BJ24" i="30" s="1"/>
  <c r="BK7" i="30" s="1"/>
  <c r="BK92" i="30" s="1"/>
  <c r="BJ80" i="30"/>
  <c r="BJ29" i="30" s="1"/>
  <c r="BK12" i="30" s="1"/>
  <c r="BK97" i="30" s="1"/>
  <c r="BK78" i="30"/>
  <c r="BK27" i="30" s="1"/>
  <c r="BL10" i="30" s="1"/>
  <c r="BL95" i="30" s="1"/>
  <c r="BJ73" i="30"/>
  <c r="BJ22" i="30" s="1"/>
  <c r="BK5" i="30" s="1"/>
  <c r="BK90" i="30" s="1"/>
  <c r="BJ30" i="30"/>
  <c r="BK13" i="30" s="1"/>
  <c r="BK98" i="30" s="1"/>
  <c r="DA104" i="30" l="1"/>
  <c r="DA36" i="30"/>
  <c r="DB19" i="30" s="1"/>
  <c r="DA102" i="30"/>
  <c r="DA83" i="30" s="1"/>
  <c r="DA34" i="30"/>
  <c r="DB17" i="30" s="1"/>
  <c r="CZ101" i="30"/>
  <c r="CZ33" i="30"/>
  <c r="DA16" i="30" s="1"/>
  <c r="CZ100" i="30"/>
  <c r="CZ79" i="30" s="1"/>
  <c r="CZ28" i="30" s="1"/>
  <c r="DA11" i="30" s="1"/>
  <c r="DA96" i="30" s="1"/>
  <c r="CZ32" i="30"/>
  <c r="DA15" i="30" s="1"/>
  <c r="DA94" i="30"/>
  <c r="DA26" i="30"/>
  <c r="DB9" i="30" s="1"/>
  <c r="CZ93" i="30"/>
  <c r="CZ25" i="30"/>
  <c r="DA8" i="30" s="1"/>
  <c r="BK73" i="30"/>
  <c r="BK22" i="30" s="1"/>
  <c r="BL5" i="30" s="1"/>
  <c r="BL90" i="30" s="1"/>
  <c r="BL81" i="30" s="1"/>
  <c r="BK82" i="30"/>
  <c r="BK31" i="30" s="1"/>
  <c r="BL14" i="30" s="1"/>
  <c r="BL99" i="30" s="1"/>
  <c r="BL72" i="30" s="1"/>
  <c r="BL21" i="30" s="1"/>
  <c r="BM4" i="30" s="1"/>
  <c r="BM89" i="30" s="1"/>
  <c r="BK86" i="30"/>
  <c r="BK35" i="30" s="1"/>
  <c r="BL18" i="30" s="1"/>
  <c r="BL103" i="30" s="1"/>
  <c r="BL78" i="30"/>
  <c r="BL27" i="30" s="1"/>
  <c r="BM10" i="30" s="1"/>
  <c r="BM95" i="30" s="1"/>
  <c r="BK81" i="30"/>
  <c r="BK30" i="30" s="1"/>
  <c r="BL13" i="30" s="1"/>
  <c r="BL98" i="30" s="1"/>
  <c r="BK74" i="30"/>
  <c r="BK23" i="30" s="1"/>
  <c r="BL6" i="30" s="1"/>
  <c r="BL91" i="30" s="1"/>
  <c r="BK71" i="30"/>
  <c r="BK20" i="30" s="1"/>
  <c r="BL3" i="30" s="1"/>
  <c r="BL88" i="30" s="1"/>
  <c r="BK80" i="30"/>
  <c r="BK29" i="30" s="1"/>
  <c r="BL12" i="30" s="1"/>
  <c r="BL97" i="30" s="1"/>
  <c r="BK75" i="30"/>
  <c r="BK24" i="30" s="1"/>
  <c r="BL7" i="30" s="1"/>
  <c r="BL92" i="30" s="1"/>
  <c r="O245" i="30" l="1"/>
  <c r="B170" i="30"/>
  <c r="K170" i="30" s="1"/>
  <c r="O205" i="30"/>
  <c r="B162" i="30"/>
  <c r="K162" i="30" s="1"/>
  <c r="O255" i="30"/>
  <c r="B172" i="30"/>
  <c r="K172" i="30" s="1"/>
  <c r="BL74" i="30"/>
  <c r="BL23" i="30" s="1"/>
  <c r="BM6" i="30" s="1"/>
  <c r="BM91" i="30" s="1"/>
  <c r="DB104" i="30"/>
  <c r="O294" i="30"/>
  <c r="S294" i="30" s="1"/>
  <c r="DB36" i="30"/>
  <c r="DC19" i="30" s="1"/>
  <c r="DB34" i="30"/>
  <c r="DC17" i="30" s="1"/>
  <c r="O292" i="30"/>
  <c r="S292" i="30" s="1"/>
  <c r="DB102" i="30"/>
  <c r="DB83" i="30" s="1"/>
  <c r="DA101" i="30"/>
  <c r="DA33" i="30"/>
  <c r="DB16" i="30" s="1"/>
  <c r="DA100" i="30"/>
  <c r="DA79" i="30" s="1"/>
  <c r="DA28" i="30" s="1"/>
  <c r="DB11" i="30" s="1"/>
  <c r="DA32" i="30"/>
  <c r="DB15" i="30" s="1"/>
  <c r="DB94" i="30"/>
  <c r="O284" i="30"/>
  <c r="S284" i="30" s="1"/>
  <c r="DB26" i="30"/>
  <c r="DC9" i="30" s="1"/>
  <c r="DA93" i="30"/>
  <c r="DA25" i="30"/>
  <c r="DB8" i="30" s="1"/>
  <c r="BL73" i="30"/>
  <c r="BL22" i="30" s="1"/>
  <c r="BM5" i="30" s="1"/>
  <c r="BM90" i="30" s="1"/>
  <c r="BM81" i="30" s="1"/>
  <c r="BL86" i="30"/>
  <c r="BL35" i="30" s="1"/>
  <c r="BM18" i="30" s="1"/>
  <c r="BM103" i="30" s="1"/>
  <c r="BL71" i="30"/>
  <c r="BL20" i="30" s="1"/>
  <c r="BM3" i="30" s="1"/>
  <c r="BM88" i="30" s="1"/>
  <c r="BL82" i="30"/>
  <c r="BL31" i="30" s="1"/>
  <c r="BM14" i="30" s="1"/>
  <c r="BM99" i="30" s="1"/>
  <c r="BM72" i="30" s="1"/>
  <c r="BM21" i="30" s="1"/>
  <c r="BN4" i="30" s="1"/>
  <c r="J180" i="30" s="1"/>
  <c r="BL80" i="30"/>
  <c r="BL29" i="30" s="1"/>
  <c r="BM12" i="30" s="1"/>
  <c r="BM97" i="30" s="1"/>
  <c r="BL75" i="30"/>
  <c r="BL24" i="30" s="1"/>
  <c r="BM7" i="30" s="1"/>
  <c r="BM92" i="30" s="1"/>
  <c r="BM78" i="30"/>
  <c r="BM27" i="30" s="1"/>
  <c r="BN10" i="30" s="1"/>
  <c r="J210" i="30" s="1"/>
  <c r="BL30" i="30"/>
  <c r="BM13" i="30" s="1"/>
  <c r="BM98" i="30" s="1"/>
  <c r="O235" i="30" l="1"/>
  <c r="B168" i="30"/>
  <c r="K168" i="30" s="1"/>
  <c r="O215" i="30"/>
  <c r="B164" i="30"/>
  <c r="K164" i="30" s="1"/>
  <c r="O200" i="30"/>
  <c r="B161" i="30"/>
  <c r="K161" i="30" s="1"/>
  <c r="O240" i="30"/>
  <c r="B169" i="30"/>
  <c r="K169" i="30" s="1"/>
  <c r="O286" i="30"/>
  <c r="S286" i="30" s="1"/>
  <c r="DC104" i="30"/>
  <c r="DC36" i="30"/>
  <c r="DD19" i="30" s="1"/>
  <c r="DC34" i="30"/>
  <c r="DD17" i="30" s="1"/>
  <c r="DC102" i="30"/>
  <c r="DC83" i="30" s="1"/>
  <c r="DB101" i="30"/>
  <c r="DB33" i="30"/>
  <c r="DC16" i="30" s="1"/>
  <c r="O291" i="30"/>
  <c r="S291" i="30" s="1"/>
  <c r="DB96" i="30"/>
  <c r="O290" i="30"/>
  <c r="S290" i="30" s="1"/>
  <c r="DB100" i="30"/>
  <c r="DB79" i="30" s="1"/>
  <c r="DB28" i="30" s="1"/>
  <c r="DC11" i="30" s="1"/>
  <c r="DC96" i="30" s="1"/>
  <c r="DB32" i="30"/>
  <c r="DC15" i="30" s="1"/>
  <c r="BM75" i="30"/>
  <c r="BM24" i="30" s="1"/>
  <c r="BN7" i="30" s="1"/>
  <c r="J195" i="30" s="1"/>
  <c r="BM82" i="30"/>
  <c r="BM31" i="30" s="1"/>
  <c r="BN14" i="30" s="1"/>
  <c r="J230" i="30" s="1"/>
  <c r="DC94" i="30"/>
  <c r="DC26" i="30"/>
  <c r="DD9" i="30" s="1"/>
  <c r="O283" i="30"/>
  <c r="S283" i="30" s="1"/>
  <c r="DB25" i="30"/>
  <c r="DC8" i="30" s="1"/>
  <c r="DB93" i="30"/>
  <c r="BM71" i="30"/>
  <c r="BM20" i="30" s="1"/>
  <c r="BN3" i="30" s="1"/>
  <c r="J175" i="30" s="1"/>
  <c r="BM30" i="30"/>
  <c r="BN13" i="30" s="1"/>
  <c r="J225" i="30" s="1"/>
  <c r="BM80" i="30"/>
  <c r="BM29" i="30" s="1"/>
  <c r="BN12" i="30" s="1"/>
  <c r="J220" i="30" s="1"/>
  <c r="BM86" i="30"/>
  <c r="BM35" i="30" s="1"/>
  <c r="BN18" i="30" s="1"/>
  <c r="J250" i="30" s="1"/>
  <c r="J279" i="30"/>
  <c r="BN89" i="30"/>
  <c r="BM73" i="30"/>
  <c r="BM22" i="30" s="1"/>
  <c r="BN5" i="30" s="1"/>
  <c r="J185" i="30" s="1"/>
  <c r="BM74" i="30"/>
  <c r="BM23" i="30" s="1"/>
  <c r="BN6" i="30" s="1"/>
  <c r="J190" i="30" s="1"/>
  <c r="BN95" i="30"/>
  <c r="J285" i="30"/>
  <c r="J289" i="30" l="1"/>
  <c r="J278" i="30"/>
  <c r="BN103" i="30"/>
  <c r="BN98" i="30"/>
  <c r="J288" i="30"/>
  <c r="DD104" i="30"/>
  <c r="DD36" i="30"/>
  <c r="DE19" i="30" s="1"/>
  <c r="DD34" i="30"/>
  <c r="DE17" i="30" s="1"/>
  <c r="DD102" i="30"/>
  <c r="DD83" i="30" s="1"/>
  <c r="DC101" i="30"/>
  <c r="DC33" i="30"/>
  <c r="DD16" i="30" s="1"/>
  <c r="DC100" i="30"/>
  <c r="DC79" i="30" s="1"/>
  <c r="DC28" i="30" s="1"/>
  <c r="DD11" i="30" s="1"/>
  <c r="DD96" i="30" s="1"/>
  <c r="DC32" i="30"/>
  <c r="DD15" i="30" s="1"/>
  <c r="BN88" i="30"/>
  <c r="BN99" i="30"/>
  <c r="BN72" i="30" s="1"/>
  <c r="BN21" i="30" s="1"/>
  <c r="BO4" i="30" s="1"/>
  <c r="BO89" i="30" s="1"/>
  <c r="BO78" i="30" s="1"/>
  <c r="DD94" i="30"/>
  <c r="DD26" i="30"/>
  <c r="DE9" i="30" s="1"/>
  <c r="DC25" i="30"/>
  <c r="DD8" i="30" s="1"/>
  <c r="DC93" i="30"/>
  <c r="J293" i="30"/>
  <c r="J280" i="30"/>
  <c r="BN90" i="30"/>
  <c r="BN78" i="30"/>
  <c r="BN27" i="30" s="1"/>
  <c r="BO10" i="30" s="1"/>
  <c r="BO95" i="30" s="1"/>
  <c r="J282" i="30"/>
  <c r="BN92" i="30"/>
  <c r="BN97" i="30"/>
  <c r="J287" i="30"/>
  <c r="J281" i="30"/>
  <c r="BN91" i="30"/>
  <c r="J277" i="30" l="1"/>
  <c r="BN73" i="30"/>
  <c r="BN22" i="30" s="1"/>
  <c r="BO5" i="30" s="1"/>
  <c r="BO90" i="30" s="1"/>
  <c r="BO81" i="30" s="1"/>
  <c r="BN80" i="30"/>
  <c r="BN29" i="30" s="1"/>
  <c r="BO12" i="30" s="1"/>
  <c r="BO97" i="30" s="1"/>
  <c r="DE104" i="30"/>
  <c r="DE36" i="30"/>
  <c r="DF19" i="30" s="1"/>
  <c r="DE102" i="30"/>
  <c r="DE83" i="30" s="1"/>
  <c r="DE34" i="30"/>
  <c r="DF17" i="30" s="1"/>
  <c r="DD101" i="30"/>
  <c r="DD33" i="30"/>
  <c r="DE16" i="30" s="1"/>
  <c r="DD100" i="30"/>
  <c r="DD79" i="30" s="1"/>
  <c r="DD28" i="30" s="1"/>
  <c r="DE11" i="30" s="1"/>
  <c r="DE96" i="30" s="1"/>
  <c r="DD32" i="30"/>
  <c r="DE15" i="30" s="1"/>
  <c r="DE94" i="30"/>
  <c r="DE26" i="30"/>
  <c r="DF9" i="30" s="1"/>
  <c r="BO27" i="30"/>
  <c r="BP10" i="30" s="1"/>
  <c r="BP95" i="30" s="1"/>
  <c r="DD25" i="30"/>
  <c r="DE8" i="30" s="1"/>
  <c r="DD93" i="30"/>
  <c r="BN86" i="30"/>
  <c r="BN35" i="30" s="1"/>
  <c r="BO18" i="30" s="1"/>
  <c r="BO103" i="30" s="1"/>
  <c r="BN75" i="30"/>
  <c r="BN24" i="30" s="1"/>
  <c r="BO7" i="30" s="1"/>
  <c r="BO92" i="30" s="1"/>
  <c r="BN82" i="30"/>
  <c r="BN31" i="30" s="1"/>
  <c r="BO14" i="30" s="1"/>
  <c r="BO99" i="30" s="1"/>
  <c r="BO72" i="30" s="1"/>
  <c r="BO21" i="30" s="1"/>
  <c r="BP4" i="30" s="1"/>
  <c r="BP89" i="30" s="1"/>
  <c r="BN74" i="30"/>
  <c r="BN23" i="30" s="1"/>
  <c r="BO6" i="30" s="1"/>
  <c r="BO91" i="30" s="1"/>
  <c r="BN81" i="30"/>
  <c r="BN30" i="30" s="1"/>
  <c r="BO13" i="30" s="1"/>
  <c r="BO98" i="30" s="1"/>
  <c r="BN71" i="30"/>
  <c r="BN20" i="30" s="1"/>
  <c r="BO3" i="30" s="1"/>
  <c r="BO88" i="30" s="1"/>
  <c r="BO73" i="30" l="1"/>
  <c r="BO22" i="30" s="1"/>
  <c r="BP5" i="30" s="1"/>
  <c r="BP90" i="30" s="1"/>
  <c r="BP81" i="30" s="1"/>
  <c r="BO74" i="30"/>
  <c r="BO23" i="30" s="1"/>
  <c r="BP6" i="30" s="1"/>
  <c r="BP91" i="30" s="1"/>
  <c r="DF104" i="30"/>
  <c r="DF36" i="30"/>
  <c r="DG19" i="30" s="1"/>
  <c r="DF34" i="30"/>
  <c r="DG17" i="30" s="1"/>
  <c r="DF102" i="30"/>
  <c r="DF83" i="30" s="1"/>
  <c r="DE101" i="30"/>
  <c r="DE33" i="30"/>
  <c r="DF16" i="30" s="1"/>
  <c r="DE100" i="30"/>
  <c r="DE79" i="30" s="1"/>
  <c r="DE28" i="30" s="1"/>
  <c r="DF11" i="30" s="1"/>
  <c r="DF96" i="30" s="1"/>
  <c r="DE32" i="30"/>
  <c r="DF15" i="30" s="1"/>
  <c r="DF94" i="30"/>
  <c r="DF26" i="30"/>
  <c r="DG9" i="30" s="1"/>
  <c r="DE93" i="30"/>
  <c r="DE25" i="30"/>
  <c r="DF8" i="30" s="1"/>
  <c r="BO30" i="30"/>
  <c r="BP13" i="30" s="1"/>
  <c r="BP98" i="30" s="1"/>
  <c r="BO75" i="30"/>
  <c r="BO24" i="30" s="1"/>
  <c r="BP7" i="30" s="1"/>
  <c r="BP92" i="30" s="1"/>
  <c r="BO80" i="30"/>
  <c r="BO29" i="30" s="1"/>
  <c r="BP12" i="30" s="1"/>
  <c r="BP97" i="30" s="1"/>
  <c r="BO86" i="30"/>
  <c r="BO35" i="30" s="1"/>
  <c r="BP18" i="30" s="1"/>
  <c r="BP103" i="30" s="1"/>
  <c r="BO82" i="30"/>
  <c r="BO31" i="30" s="1"/>
  <c r="BP14" i="30" s="1"/>
  <c r="BP99" i="30" s="1"/>
  <c r="BP72" i="30" s="1"/>
  <c r="BP21" i="30" s="1"/>
  <c r="BQ4" i="30" s="1"/>
  <c r="BQ89" i="30" s="1"/>
  <c r="BP78" i="30"/>
  <c r="BP27" i="30" s="1"/>
  <c r="BQ10" i="30" s="1"/>
  <c r="BQ95" i="30" s="1"/>
  <c r="BO71" i="30"/>
  <c r="BO20" i="30" s="1"/>
  <c r="BP3" i="30" s="1"/>
  <c r="BP88" i="30" s="1"/>
  <c r="BP30" i="30" l="1"/>
  <c r="BQ13" i="30" s="1"/>
  <c r="BQ98" i="30" s="1"/>
  <c r="BP80" i="30"/>
  <c r="BP29" i="30" s="1"/>
  <c r="BQ12" i="30" s="1"/>
  <c r="BQ97" i="30" s="1"/>
  <c r="BP82" i="30"/>
  <c r="BP31" i="30" s="1"/>
  <c r="BQ14" i="30" s="1"/>
  <c r="BQ99" i="30" s="1"/>
  <c r="BQ72" i="30" s="1"/>
  <c r="BQ21" i="30" s="1"/>
  <c r="BR4" i="30" s="1"/>
  <c r="BR89" i="30" s="1"/>
  <c r="BR78" i="30" s="1"/>
  <c r="DG104" i="30"/>
  <c r="DG36" i="30"/>
  <c r="DH19" i="30" s="1"/>
  <c r="DG34" i="30"/>
  <c r="DH17" i="30" s="1"/>
  <c r="DG102" i="30"/>
  <c r="DG83" i="30" s="1"/>
  <c r="DF101" i="30"/>
  <c r="DF33" i="30"/>
  <c r="DG16" i="30" s="1"/>
  <c r="DF100" i="30"/>
  <c r="DF79" i="30" s="1"/>
  <c r="DF28" i="30" s="1"/>
  <c r="DG11" i="30" s="1"/>
  <c r="DG96" i="30" s="1"/>
  <c r="DF32" i="30"/>
  <c r="DG15" i="30" s="1"/>
  <c r="BP74" i="30"/>
  <c r="BP23" i="30" s="1"/>
  <c r="BQ6" i="30" s="1"/>
  <c r="BQ91" i="30" s="1"/>
  <c r="DG26" i="30"/>
  <c r="DH9" i="30" s="1"/>
  <c r="DG94" i="30"/>
  <c r="DF25" i="30"/>
  <c r="DG8" i="30" s="1"/>
  <c r="DF93" i="30"/>
  <c r="BP86" i="30"/>
  <c r="BP35" i="30" s="1"/>
  <c r="BQ18" i="30" s="1"/>
  <c r="BQ103" i="30" s="1"/>
  <c r="BP71" i="30"/>
  <c r="BP20" i="30" s="1"/>
  <c r="BQ3" i="30" s="1"/>
  <c r="BQ88" i="30" s="1"/>
  <c r="BP73" i="30"/>
  <c r="BP22" i="30" s="1"/>
  <c r="BQ5" i="30" s="1"/>
  <c r="BQ90" i="30" s="1"/>
  <c r="BQ78" i="30"/>
  <c r="BQ27" i="30" s="1"/>
  <c r="BR10" i="30" s="1"/>
  <c r="BR95" i="30" s="1"/>
  <c r="BP75" i="30"/>
  <c r="BP24" i="30" s="1"/>
  <c r="BQ7" i="30" s="1"/>
  <c r="BQ92" i="30" s="1"/>
  <c r="BQ82" i="30" l="1"/>
  <c r="BQ31" i="30" s="1"/>
  <c r="BR14" i="30" s="1"/>
  <c r="BR99" i="30" s="1"/>
  <c r="BR72" i="30" s="1"/>
  <c r="BR21" i="30" s="1"/>
  <c r="BS4" i="30" s="1"/>
  <c r="BS89" i="30" s="1"/>
  <c r="BS78" i="30" s="1"/>
  <c r="BQ71" i="30"/>
  <c r="BQ20" i="30" s="1"/>
  <c r="BR3" i="30" s="1"/>
  <c r="BR88" i="30" s="1"/>
  <c r="BQ73" i="30"/>
  <c r="BQ22" i="30" s="1"/>
  <c r="BR5" i="30" s="1"/>
  <c r="BR90" i="30" s="1"/>
  <c r="BR81" i="30" s="1"/>
  <c r="BQ86" i="30"/>
  <c r="BQ35" i="30" s="1"/>
  <c r="BR18" i="30" s="1"/>
  <c r="BR103" i="30" s="1"/>
  <c r="DH36" i="30"/>
  <c r="DI19" i="30" s="1"/>
  <c r="DH104" i="30"/>
  <c r="DH102" i="30"/>
  <c r="DH83" i="30" s="1"/>
  <c r="DH34" i="30"/>
  <c r="DI17" i="30" s="1"/>
  <c r="DG33" i="30"/>
  <c r="DH16" i="30" s="1"/>
  <c r="DG101" i="30"/>
  <c r="DG100" i="30"/>
  <c r="DG79" i="30" s="1"/>
  <c r="DG28" i="30" s="1"/>
  <c r="DH11" i="30" s="1"/>
  <c r="DH96" i="30" s="1"/>
  <c r="DG32" i="30"/>
  <c r="DH15" i="30" s="1"/>
  <c r="BR27" i="30"/>
  <c r="BS10" i="30" s="1"/>
  <c r="BS95" i="30" s="1"/>
  <c r="DH26" i="30"/>
  <c r="DI9" i="30" s="1"/>
  <c r="DH94" i="30"/>
  <c r="DG93" i="30"/>
  <c r="DG25" i="30"/>
  <c r="DH8" i="30" s="1"/>
  <c r="BQ81" i="30"/>
  <c r="BQ30" i="30" s="1"/>
  <c r="BR13" i="30" s="1"/>
  <c r="BR98" i="30" s="1"/>
  <c r="BQ75" i="30"/>
  <c r="BQ24" i="30" s="1"/>
  <c r="BR7" i="30" s="1"/>
  <c r="BR92" i="30" s="1"/>
  <c r="BQ80" i="30"/>
  <c r="BQ29" i="30" s="1"/>
  <c r="BR12" i="30" s="1"/>
  <c r="BR97" i="30" s="1"/>
  <c r="BQ74" i="30"/>
  <c r="BQ23" i="30" s="1"/>
  <c r="BR6" i="30" s="1"/>
  <c r="BR91" i="30" s="1"/>
  <c r="BR73" i="30" l="1"/>
  <c r="BR22" i="30" s="1"/>
  <c r="BS5" i="30" s="1"/>
  <c r="BS90" i="30" s="1"/>
  <c r="BS81" i="30" s="1"/>
  <c r="BS27" i="30"/>
  <c r="BT10" i="30" s="1"/>
  <c r="BT95" i="30" s="1"/>
  <c r="BR30" i="30"/>
  <c r="BS13" i="30" s="1"/>
  <c r="BS98" i="30" s="1"/>
  <c r="DI104" i="30"/>
  <c r="DI36" i="30"/>
  <c r="DJ19" i="30" s="1"/>
  <c r="P255" i="30" s="1"/>
  <c r="BR74" i="30"/>
  <c r="BR23" i="30" s="1"/>
  <c r="BS6" i="30" s="1"/>
  <c r="BS91" i="30" s="1"/>
  <c r="DI102" i="30"/>
  <c r="DI83" i="30" s="1"/>
  <c r="DI34" i="30"/>
  <c r="DJ17" i="30" s="1"/>
  <c r="P245" i="30" s="1"/>
  <c r="DH101" i="30"/>
  <c r="DH33" i="30"/>
  <c r="DI16" i="30" s="1"/>
  <c r="DH100" i="30"/>
  <c r="DH79" i="30" s="1"/>
  <c r="DH28" i="30" s="1"/>
  <c r="DI11" i="30" s="1"/>
  <c r="DI96" i="30" s="1"/>
  <c r="DH32" i="30"/>
  <c r="DI15" i="30" s="1"/>
  <c r="BR71" i="30"/>
  <c r="BR20" i="30" s="1"/>
  <c r="BS3" i="30" s="1"/>
  <c r="BS88" i="30" s="1"/>
  <c r="DI94" i="30"/>
  <c r="DI26" i="30"/>
  <c r="DJ9" i="30" s="1"/>
  <c r="P205" i="30" s="1"/>
  <c r="DH25" i="30"/>
  <c r="DI8" i="30" s="1"/>
  <c r="DH93" i="30"/>
  <c r="BR86" i="30"/>
  <c r="BR35" i="30" s="1"/>
  <c r="BS18" i="30" s="1"/>
  <c r="BS103" i="30" s="1"/>
  <c r="BR82" i="30"/>
  <c r="BR31" i="30" s="1"/>
  <c r="BS14" i="30" s="1"/>
  <c r="BS99" i="30" s="1"/>
  <c r="BS72" i="30" s="1"/>
  <c r="BS21" i="30" s="1"/>
  <c r="BT4" i="30" s="1"/>
  <c r="BT89" i="30" s="1"/>
  <c r="BR80" i="30"/>
  <c r="BR29" i="30" s="1"/>
  <c r="BS12" i="30" s="1"/>
  <c r="BS97" i="30" s="1"/>
  <c r="BR75" i="30"/>
  <c r="BR24" i="30" s="1"/>
  <c r="BS7" i="30" s="1"/>
  <c r="BS92" i="30" s="1"/>
  <c r="BS30" i="30" l="1"/>
  <c r="BT13" i="30" s="1"/>
  <c r="BT98" i="30" s="1"/>
  <c r="BS82" i="30"/>
  <c r="BS31" i="30" s="1"/>
  <c r="BT14" i="30" s="1"/>
  <c r="BT99" i="30" s="1"/>
  <c r="BT72" i="30" s="1"/>
  <c r="BT21" i="30" s="1"/>
  <c r="BU4" i="30" s="1"/>
  <c r="BU89" i="30" s="1"/>
  <c r="BU78" i="30" s="1"/>
  <c r="BS71" i="30"/>
  <c r="BS20" i="30" s="1"/>
  <c r="BT3" i="30" s="1"/>
  <c r="BT88" i="30" s="1"/>
  <c r="DJ36" i="30"/>
  <c r="DK19" i="30" s="1"/>
  <c r="DJ104" i="30"/>
  <c r="DJ102" i="30"/>
  <c r="DJ83" i="30" s="1"/>
  <c r="DJ34" i="30"/>
  <c r="DK17" i="30" s="1"/>
  <c r="DI101" i="30"/>
  <c r="DI33" i="30"/>
  <c r="DJ16" i="30" s="1"/>
  <c r="P240" i="30" s="1"/>
  <c r="DI100" i="30"/>
  <c r="DI79" i="30" s="1"/>
  <c r="DI28" i="30" s="1"/>
  <c r="DJ11" i="30" s="1"/>
  <c r="P215" i="30" s="1"/>
  <c r="DI32" i="30"/>
  <c r="DJ15" i="30" s="1"/>
  <c r="P235" i="30" s="1"/>
  <c r="BS80" i="30"/>
  <c r="BS29" i="30" s="1"/>
  <c r="BT12" i="30" s="1"/>
  <c r="BT97" i="30" s="1"/>
  <c r="BS75" i="30"/>
  <c r="BS24" i="30" s="1"/>
  <c r="BT7" i="30" s="1"/>
  <c r="BT92" i="30" s="1"/>
  <c r="BS86" i="30"/>
  <c r="BS35" i="30" s="1"/>
  <c r="BT18" i="30" s="1"/>
  <c r="BT103" i="30" s="1"/>
  <c r="DJ94" i="30"/>
  <c r="DJ26" i="30"/>
  <c r="DK9" i="30" s="1"/>
  <c r="DI93" i="30"/>
  <c r="DI25" i="30"/>
  <c r="DJ8" i="30" s="1"/>
  <c r="P200" i="30" s="1"/>
  <c r="BT78" i="30"/>
  <c r="BT27" i="30" s="1"/>
  <c r="BU10" i="30" s="1"/>
  <c r="BU95" i="30" s="1"/>
  <c r="BS74" i="30"/>
  <c r="BS23" i="30" s="1"/>
  <c r="BT6" i="30" s="1"/>
  <c r="BT91" i="30" s="1"/>
  <c r="BS73" i="30"/>
  <c r="BS22" i="30" s="1"/>
  <c r="BT5" i="30" s="1"/>
  <c r="BT90" i="30" s="1"/>
  <c r="BT73" i="30" l="1"/>
  <c r="BT22" i="30" s="1"/>
  <c r="BU5" i="30" s="1"/>
  <c r="BU90" i="30" s="1"/>
  <c r="DK104" i="30"/>
  <c r="DK36" i="30"/>
  <c r="DL19" i="30" s="1"/>
  <c r="DK102" i="30"/>
  <c r="DK83" i="30" s="1"/>
  <c r="DK34" i="30"/>
  <c r="DL17" i="30" s="1"/>
  <c r="DJ96" i="30"/>
  <c r="DJ33" i="30"/>
  <c r="DK16" i="30" s="1"/>
  <c r="DJ101" i="30"/>
  <c r="DJ100" i="30"/>
  <c r="DJ79" i="30" s="1"/>
  <c r="DJ28" i="30" s="1"/>
  <c r="DK11" i="30" s="1"/>
  <c r="DK96" i="30" s="1"/>
  <c r="DJ32" i="30"/>
  <c r="DK15" i="30" s="1"/>
  <c r="BT86" i="30"/>
  <c r="BT35" i="30" s="1"/>
  <c r="BU18" i="30" s="1"/>
  <c r="BU103" i="30" s="1"/>
  <c r="DK94" i="30"/>
  <c r="DK26" i="30"/>
  <c r="DL9" i="30" s="1"/>
  <c r="DJ25" i="30"/>
  <c r="DK8" i="30" s="1"/>
  <c r="DJ93" i="30"/>
  <c r="BT81" i="30"/>
  <c r="BT30" i="30" s="1"/>
  <c r="BU13" i="30" s="1"/>
  <c r="BU98" i="30" s="1"/>
  <c r="BT74" i="30"/>
  <c r="BT23" i="30" s="1"/>
  <c r="BU6" i="30" s="1"/>
  <c r="BU91" i="30" s="1"/>
  <c r="BT71" i="30"/>
  <c r="BT20" i="30" s="1"/>
  <c r="BU3" i="30" s="1"/>
  <c r="BU88" i="30" s="1"/>
  <c r="BT82" i="30"/>
  <c r="BT31" i="30" s="1"/>
  <c r="BU14" i="30" s="1"/>
  <c r="BU99" i="30" s="1"/>
  <c r="BU72" i="30" s="1"/>
  <c r="BU21" i="30" s="1"/>
  <c r="BV4" i="30" s="1"/>
  <c r="K180" i="30" s="1"/>
  <c r="BT75" i="30"/>
  <c r="BT24" i="30" s="1"/>
  <c r="BU7" i="30" s="1"/>
  <c r="BU92" i="30" s="1"/>
  <c r="BT80" i="30"/>
  <c r="BT29" i="30" s="1"/>
  <c r="BU12" i="30" s="1"/>
  <c r="BU97" i="30" s="1"/>
  <c r="BU27" i="30"/>
  <c r="BV10" i="30" s="1"/>
  <c r="K210" i="30" s="1"/>
  <c r="DL36" i="30" l="1"/>
  <c r="DM19" i="30" s="1"/>
  <c r="DL104" i="30"/>
  <c r="DL34" i="30"/>
  <c r="DM17" i="30" s="1"/>
  <c r="DL102" i="30"/>
  <c r="DL83" i="30" s="1"/>
  <c r="DK33" i="30"/>
  <c r="DL16" i="30" s="1"/>
  <c r="DK101" i="30"/>
  <c r="DK100" i="30"/>
  <c r="DK79" i="30" s="1"/>
  <c r="DK28" i="30" s="1"/>
  <c r="DL11" i="30" s="1"/>
  <c r="DL96" i="30" s="1"/>
  <c r="DK32" i="30"/>
  <c r="DL15" i="30" s="1"/>
  <c r="BU82" i="30"/>
  <c r="BU31" i="30" s="1"/>
  <c r="BV14" i="30" s="1"/>
  <c r="K230" i="30" s="1"/>
  <c r="DL26" i="30"/>
  <c r="DM9" i="30" s="1"/>
  <c r="DL94" i="30"/>
  <c r="DK93" i="30"/>
  <c r="DK25" i="30"/>
  <c r="DL8" i="30" s="1"/>
  <c r="K285" i="30"/>
  <c r="BV95" i="30"/>
  <c r="K279" i="30"/>
  <c r="BV89" i="30"/>
  <c r="BU75" i="30"/>
  <c r="BU24" i="30" s="1"/>
  <c r="BV7" i="30" s="1"/>
  <c r="K195" i="30" s="1"/>
  <c r="BU80" i="30"/>
  <c r="BU29" i="30" s="1"/>
  <c r="BV12" i="30" s="1"/>
  <c r="K220" i="30" s="1"/>
  <c r="BU74" i="30"/>
  <c r="BU23" i="30" s="1"/>
  <c r="BV6" i="30" s="1"/>
  <c r="K190" i="30" s="1"/>
  <c r="BU81" i="30"/>
  <c r="BU30" i="30" s="1"/>
  <c r="BV13" i="30" s="1"/>
  <c r="K225" i="30" s="1"/>
  <c r="BU71" i="30"/>
  <c r="BU20" i="30" s="1"/>
  <c r="BV3" i="30" s="1"/>
  <c r="K175" i="30" s="1"/>
  <c r="BU86" i="30"/>
  <c r="BU35" i="30" s="1"/>
  <c r="BV18" i="30" s="1"/>
  <c r="K250" i="30" s="1"/>
  <c r="BU73" i="30"/>
  <c r="BU22" i="30" s="1"/>
  <c r="BV5" i="30" s="1"/>
  <c r="K185" i="30" s="1"/>
  <c r="DM104" i="30" l="1"/>
  <c r="DM36" i="30"/>
  <c r="DN19" i="30" s="1"/>
  <c r="DM34" i="30"/>
  <c r="DN17" i="30" s="1"/>
  <c r="DM102" i="30"/>
  <c r="DM83" i="30" s="1"/>
  <c r="DL101" i="30"/>
  <c r="DL33" i="30"/>
  <c r="DM16" i="30" s="1"/>
  <c r="DL100" i="30"/>
  <c r="DL79" i="30" s="1"/>
  <c r="DL28" i="30" s="1"/>
  <c r="DM11" i="30" s="1"/>
  <c r="DM96" i="30" s="1"/>
  <c r="DL32" i="30"/>
  <c r="DM15" i="30" s="1"/>
  <c r="K289" i="30"/>
  <c r="BV99" i="30"/>
  <c r="BV72" i="30" s="1"/>
  <c r="BV21" i="30" s="1"/>
  <c r="BW4" i="30" s="1"/>
  <c r="BW89" i="30" s="1"/>
  <c r="BW78" i="30" s="1"/>
  <c r="DM94" i="30"/>
  <c r="DM26" i="30"/>
  <c r="DN9" i="30" s="1"/>
  <c r="DL25" i="30"/>
  <c r="DM8" i="30" s="1"/>
  <c r="DL93" i="30"/>
  <c r="BV90" i="30"/>
  <c r="K280" i="30"/>
  <c r="BV97" i="30"/>
  <c r="K287" i="30"/>
  <c r="BV103" i="30"/>
  <c r="K293" i="30"/>
  <c r="BV88" i="30"/>
  <c r="K278" i="30"/>
  <c r="BV92" i="30"/>
  <c r="K282" i="30"/>
  <c r="K288" i="30"/>
  <c r="BV98" i="30"/>
  <c r="BV78" i="30"/>
  <c r="BV27" i="30" s="1"/>
  <c r="BW10" i="30" s="1"/>
  <c r="BW95" i="30" s="1"/>
  <c r="K281" i="30"/>
  <c r="BV91" i="30"/>
  <c r="K277" i="30" l="1"/>
  <c r="BV73" i="30"/>
  <c r="BV22" i="30" s="1"/>
  <c r="BW5" i="30" s="1"/>
  <c r="BW90" i="30" s="1"/>
  <c r="BW81" i="30" s="1"/>
  <c r="BV86" i="30"/>
  <c r="BV35" i="30" s="1"/>
  <c r="BW18" i="30" s="1"/>
  <c r="BW103" i="30" s="1"/>
  <c r="DN104" i="30"/>
  <c r="DN36" i="30"/>
  <c r="DO19" i="30" s="1"/>
  <c r="DN34" i="30"/>
  <c r="DO17" i="30" s="1"/>
  <c r="DN102" i="30"/>
  <c r="DN83" i="30" s="1"/>
  <c r="DM101" i="30"/>
  <c r="DM33" i="30"/>
  <c r="DN16" i="30" s="1"/>
  <c r="DM100" i="30"/>
  <c r="DM79" i="30" s="1"/>
  <c r="DM28" i="30" s="1"/>
  <c r="DN11" i="30" s="1"/>
  <c r="DN96" i="30" s="1"/>
  <c r="DM32" i="30"/>
  <c r="DN15" i="30" s="1"/>
  <c r="DN26" i="30"/>
  <c r="DO9" i="30" s="1"/>
  <c r="DN94" i="30"/>
  <c r="DM25" i="30"/>
  <c r="DN8" i="30" s="1"/>
  <c r="DM93" i="30"/>
  <c r="BV71" i="30"/>
  <c r="BV20" i="30" s="1"/>
  <c r="BW3" i="30" s="1"/>
  <c r="BW88" i="30" s="1"/>
  <c r="BV82" i="30"/>
  <c r="BV31" i="30" s="1"/>
  <c r="BW14" i="30" s="1"/>
  <c r="BW99" i="30" s="1"/>
  <c r="BW72" i="30" s="1"/>
  <c r="BW21" i="30" s="1"/>
  <c r="BX4" i="30" s="1"/>
  <c r="BX89" i="30" s="1"/>
  <c r="BW27" i="30"/>
  <c r="BX10" i="30" s="1"/>
  <c r="BX95" i="30" s="1"/>
  <c r="BV75" i="30"/>
  <c r="BV24" i="30" s="1"/>
  <c r="BW7" i="30" s="1"/>
  <c r="BW92" i="30" s="1"/>
  <c r="BV80" i="30"/>
  <c r="BV29" i="30" s="1"/>
  <c r="BW12" i="30" s="1"/>
  <c r="BW97" i="30" s="1"/>
  <c r="BV74" i="30"/>
  <c r="BV23" i="30" s="1"/>
  <c r="BW6" i="30" s="1"/>
  <c r="BW91" i="30" s="1"/>
  <c r="BV81" i="30"/>
  <c r="BV30" i="30" s="1"/>
  <c r="BW13" i="30" s="1"/>
  <c r="BW98" i="30" s="1"/>
  <c r="BW74" i="30" l="1"/>
  <c r="BW23" i="30" s="1"/>
  <c r="BX6" i="30" s="1"/>
  <c r="BX91" i="30" s="1"/>
  <c r="BW75" i="30"/>
  <c r="BW24" i="30" s="1"/>
  <c r="BX7" i="30" s="1"/>
  <c r="BX92" i="30" s="1"/>
  <c r="BW80" i="30"/>
  <c r="BW29" i="30" s="1"/>
  <c r="BX12" i="30" s="1"/>
  <c r="BX97" i="30" s="1"/>
  <c r="BW73" i="30"/>
  <c r="BW22" i="30" s="1"/>
  <c r="BX5" i="30" s="1"/>
  <c r="BX90" i="30" s="1"/>
  <c r="BX81" i="30" s="1"/>
  <c r="DO104" i="30"/>
  <c r="DO36" i="30"/>
  <c r="DP19" i="30" s="1"/>
  <c r="DO34" i="30"/>
  <c r="DP17" i="30" s="1"/>
  <c r="DO102" i="30"/>
  <c r="DO83" i="30" s="1"/>
  <c r="DN101" i="30"/>
  <c r="DN33" i="30"/>
  <c r="DO16" i="30" s="1"/>
  <c r="DN100" i="30"/>
  <c r="DN79" i="30" s="1"/>
  <c r="DN28" i="30" s="1"/>
  <c r="DO11" i="30" s="1"/>
  <c r="DO96" i="30" s="1"/>
  <c r="DN32" i="30"/>
  <c r="DO15" i="30" s="1"/>
  <c r="DO26" i="30"/>
  <c r="DP9" i="30" s="1"/>
  <c r="DO94" i="30"/>
  <c r="DN93" i="30"/>
  <c r="DN25" i="30"/>
  <c r="DO8" i="30" s="1"/>
  <c r="BW71" i="30"/>
  <c r="BW20" i="30" s="1"/>
  <c r="BX3" i="30" s="1"/>
  <c r="BX88" i="30" s="1"/>
  <c r="BW30" i="30"/>
  <c r="BX13" i="30" s="1"/>
  <c r="BX98" i="30" s="1"/>
  <c r="BX78" i="30"/>
  <c r="BX27" i="30" s="1"/>
  <c r="BY10" i="30" s="1"/>
  <c r="BY95" i="30" s="1"/>
  <c r="BW86" i="30"/>
  <c r="BW35" i="30" s="1"/>
  <c r="BX18" i="30" s="1"/>
  <c r="BX103" i="30" s="1"/>
  <c r="BW82" i="30"/>
  <c r="BW31" i="30" s="1"/>
  <c r="BX14" i="30" s="1"/>
  <c r="BX99" i="30" s="1"/>
  <c r="BX72" i="30" s="1"/>
  <c r="BX21" i="30" s="1"/>
  <c r="BY4" i="30" s="1"/>
  <c r="BY89" i="30" s="1"/>
  <c r="BX82" i="30" l="1"/>
  <c r="BX31" i="30" s="1"/>
  <c r="BY14" i="30" s="1"/>
  <c r="BY99" i="30" s="1"/>
  <c r="BY72" i="30" s="1"/>
  <c r="BY21" i="30" s="1"/>
  <c r="BZ4" i="30" s="1"/>
  <c r="BZ89" i="30" s="1"/>
  <c r="BX80" i="30"/>
  <c r="BX29" i="30" s="1"/>
  <c r="BY12" i="30" s="1"/>
  <c r="BY97" i="30" s="1"/>
  <c r="BX86" i="30"/>
  <c r="BX35" i="30" s="1"/>
  <c r="BY18" i="30" s="1"/>
  <c r="BY103" i="30" s="1"/>
  <c r="DP36" i="30"/>
  <c r="DQ19" i="30" s="1"/>
  <c r="DP104" i="30"/>
  <c r="DP102" i="30"/>
  <c r="DP83" i="30" s="1"/>
  <c r="DP34" i="30"/>
  <c r="DQ17" i="30" s="1"/>
  <c r="DO101" i="30"/>
  <c r="DO33" i="30"/>
  <c r="DP16" i="30" s="1"/>
  <c r="DO100" i="30"/>
  <c r="DO79" i="30" s="1"/>
  <c r="DO28" i="30" s="1"/>
  <c r="DP11" i="30" s="1"/>
  <c r="DP96" i="30" s="1"/>
  <c r="DO32" i="30"/>
  <c r="DP15" i="30" s="1"/>
  <c r="BX75" i="30"/>
  <c r="BX24" i="30" s="1"/>
  <c r="BY7" i="30" s="1"/>
  <c r="BY92" i="30" s="1"/>
  <c r="DP94" i="30"/>
  <c r="DP26" i="30"/>
  <c r="DQ9" i="30" s="1"/>
  <c r="BX30" i="30"/>
  <c r="BY13" i="30" s="1"/>
  <c r="BY98" i="30" s="1"/>
  <c r="DO25" i="30"/>
  <c r="DP8" i="30" s="1"/>
  <c r="DO93" i="30"/>
  <c r="BX71" i="30"/>
  <c r="BX20" i="30" s="1"/>
  <c r="BY3" i="30" s="1"/>
  <c r="BY88" i="30" s="1"/>
  <c r="BY78" i="30"/>
  <c r="BY27" i="30" s="1"/>
  <c r="BZ10" i="30" s="1"/>
  <c r="BZ95" i="30" s="1"/>
  <c r="BX73" i="30"/>
  <c r="BX22" i="30" s="1"/>
  <c r="BY5" i="30" s="1"/>
  <c r="BY90" i="30" s="1"/>
  <c r="BY81" i="30" s="1"/>
  <c r="BX74" i="30"/>
  <c r="BX23" i="30" s="1"/>
  <c r="BY6" i="30" s="1"/>
  <c r="BY91" i="30" s="1"/>
  <c r="BY30" i="30" l="1"/>
  <c r="BZ13" i="30" s="1"/>
  <c r="BZ98" i="30" s="1"/>
  <c r="DQ104" i="30"/>
  <c r="DQ36" i="30"/>
  <c r="DR19" i="30" s="1"/>
  <c r="Q255" i="30" s="1"/>
  <c r="DQ102" i="30"/>
  <c r="DQ83" i="30" s="1"/>
  <c r="DQ34" i="30"/>
  <c r="DR17" i="30" s="1"/>
  <c r="Q245" i="30" s="1"/>
  <c r="DP101" i="30"/>
  <c r="DP33" i="30"/>
  <c r="DQ16" i="30" s="1"/>
  <c r="DP100" i="30"/>
  <c r="DP79" i="30" s="1"/>
  <c r="DP28" i="30" s="1"/>
  <c r="DQ11" i="30" s="1"/>
  <c r="DQ96" i="30" s="1"/>
  <c r="DP32" i="30"/>
  <c r="DQ15" i="30" s="1"/>
  <c r="BY86" i="30"/>
  <c r="BY35" i="30" s="1"/>
  <c r="BZ18" i="30" s="1"/>
  <c r="BZ103" i="30" s="1"/>
  <c r="DQ94" i="30"/>
  <c r="DQ26" i="30"/>
  <c r="DR9" i="30" s="1"/>
  <c r="Q205" i="30" s="1"/>
  <c r="DP25" i="30"/>
  <c r="DQ8" i="30" s="1"/>
  <c r="DP93" i="30"/>
  <c r="BY73" i="30"/>
  <c r="BY22" i="30" s="1"/>
  <c r="BZ5" i="30" s="1"/>
  <c r="BZ90" i="30" s="1"/>
  <c r="BZ81" i="30" s="1"/>
  <c r="BZ78" i="30"/>
  <c r="BZ27" i="30" s="1"/>
  <c r="CA10" i="30" s="1"/>
  <c r="CA95" i="30" s="1"/>
  <c r="BY71" i="30"/>
  <c r="BY20" i="30" s="1"/>
  <c r="BZ3" i="30" s="1"/>
  <c r="BZ88" i="30" s="1"/>
  <c r="BY74" i="30"/>
  <c r="BY23" i="30" s="1"/>
  <c r="BZ6" i="30" s="1"/>
  <c r="BZ91" i="30" s="1"/>
  <c r="BY82" i="30"/>
  <c r="BY31" i="30" s="1"/>
  <c r="BZ14" i="30" s="1"/>
  <c r="BZ99" i="30" s="1"/>
  <c r="BZ72" i="30" s="1"/>
  <c r="BZ21" i="30" s="1"/>
  <c r="CA4" i="30" s="1"/>
  <c r="CA89" i="30" s="1"/>
  <c r="BY75" i="30"/>
  <c r="BY24" i="30" s="1"/>
  <c r="BZ7" i="30" s="1"/>
  <c r="BZ92" i="30" s="1"/>
  <c r="BY80" i="30"/>
  <c r="BY29" i="30" s="1"/>
  <c r="BZ12" i="30" s="1"/>
  <c r="BZ97" i="30" s="1"/>
  <c r="BZ30" i="30" l="1"/>
  <c r="CA13" i="30" s="1"/>
  <c r="CA98" i="30" s="1"/>
  <c r="BZ71" i="30"/>
  <c r="BZ20" i="30" s="1"/>
  <c r="CA3" i="30" s="1"/>
  <c r="CA88" i="30" s="1"/>
  <c r="DR36" i="30"/>
  <c r="DS19" i="30" s="1"/>
  <c r="DR104" i="30"/>
  <c r="DR102" i="30"/>
  <c r="DR83" i="30" s="1"/>
  <c r="DR34" i="30"/>
  <c r="DS17" i="30" s="1"/>
  <c r="DQ33" i="30"/>
  <c r="DR16" i="30" s="1"/>
  <c r="Q240" i="30" s="1"/>
  <c r="DQ101" i="30"/>
  <c r="DQ100" i="30"/>
  <c r="DQ79" i="30" s="1"/>
  <c r="DQ28" i="30" s="1"/>
  <c r="DR11" i="30" s="1"/>
  <c r="Q215" i="30" s="1"/>
  <c r="DQ32" i="30"/>
  <c r="DR15" i="30" s="1"/>
  <c r="Q235" i="30" s="1"/>
  <c r="DR94" i="30"/>
  <c r="DR26" i="30"/>
  <c r="DS9" i="30" s="1"/>
  <c r="DQ93" i="30"/>
  <c r="DQ25" i="30"/>
  <c r="DR8" i="30" s="1"/>
  <c r="Q200" i="30" s="1"/>
  <c r="BZ74" i="30"/>
  <c r="BZ23" i="30" s="1"/>
  <c r="CA6" i="30" s="1"/>
  <c r="CA91" i="30" s="1"/>
  <c r="CA78" i="30"/>
  <c r="CA27" i="30" s="1"/>
  <c r="CB10" i="30" s="1"/>
  <c r="CB95" i="30" s="1"/>
  <c r="BZ80" i="30"/>
  <c r="BZ29" i="30" s="1"/>
  <c r="CA12" i="30" s="1"/>
  <c r="CA97" i="30" s="1"/>
  <c r="BZ75" i="30"/>
  <c r="BZ24" i="30" s="1"/>
  <c r="CA7" i="30" s="1"/>
  <c r="CA92" i="30" s="1"/>
  <c r="BZ86" i="30"/>
  <c r="BZ35" i="30" s="1"/>
  <c r="CA18" i="30" s="1"/>
  <c r="CA103" i="30" s="1"/>
  <c r="BZ73" i="30"/>
  <c r="BZ22" i="30" s="1"/>
  <c r="CA5" i="30" s="1"/>
  <c r="CA90" i="30" s="1"/>
  <c r="BZ82" i="30"/>
  <c r="BZ31" i="30" s="1"/>
  <c r="CA14" i="30" s="1"/>
  <c r="CA99" i="30" s="1"/>
  <c r="CA72" i="30" s="1"/>
  <c r="CA21" i="30" s="1"/>
  <c r="CB4" i="30" s="1"/>
  <c r="CB89" i="30" s="1"/>
  <c r="DR96" i="30" l="1"/>
  <c r="CA82" i="30"/>
  <c r="CA31" i="30" s="1"/>
  <c r="CB14" i="30" s="1"/>
  <c r="CB99" i="30" s="1"/>
  <c r="CB72" i="30" s="1"/>
  <c r="CB21" i="30" s="1"/>
  <c r="CC4" i="30" s="1"/>
  <c r="CC89" i="30" s="1"/>
  <c r="CA75" i="30"/>
  <c r="CA24" i="30" s="1"/>
  <c r="CB7" i="30" s="1"/>
  <c r="CB92" i="30" s="1"/>
  <c r="DS104" i="30"/>
  <c r="DS36" i="30"/>
  <c r="DT19" i="30" s="1"/>
  <c r="DS34" i="30"/>
  <c r="DT17" i="30" s="1"/>
  <c r="DS102" i="30"/>
  <c r="DS83" i="30" s="1"/>
  <c r="DR101" i="30"/>
  <c r="DR33" i="30"/>
  <c r="DS16" i="30" s="1"/>
  <c r="DR100" i="30"/>
  <c r="DR79" i="30" s="1"/>
  <c r="DR28" i="30" s="1"/>
  <c r="DS11" i="30" s="1"/>
  <c r="DS96" i="30" s="1"/>
  <c r="DR32" i="30"/>
  <c r="DS15" i="30" s="1"/>
  <c r="DS26" i="30"/>
  <c r="DT9" i="30" s="1"/>
  <c r="DS94" i="30"/>
  <c r="DR93" i="30"/>
  <c r="DR25" i="30"/>
  <c r="DS8" i="30" s="1"/>
  <c r="CA86" i="30"/>
  <c r="CA35" i="30" s="1"/>
  <c r="CB18" i="30" s="1"/>
  <c r="CB103" i="30" s="1"/>
  <c r="CA73" i="30"/>
  <c r="CA22" i="30" s="1"/>
  <c r="CB5" i="30" s="1"/>
  <c r="CB90" i="30" s="1"/>
  <c r="CB78" i="30"/>
  <c r="CB27" i="30" s="1"/>
  <c r="CC10" i="30" s="1"/>
  <c r="CC95" i="30" s="1"/>
  <c r="CA80" i="30"/>
  <c r="CA29" i="30" s="1"/>
  <c r="CB12" i="30" s="1"/>
  <c r="CB97" i="30" s="1"/>
  <c r="CA74" i="30"/>
  <c r="CA23" i="30" s="1"/>
  <c r="CB6" i="30" s="1"/>
  <c r="CB91" i="30" s="1"/>
  <c r="CA81" i="30"/>
  <c r="CA30" i="30" s="1"/>
  <c r="CB13" i="30" s="1"/>
  <c r="CB98" i="30" s="1"/>
  <c r="CA71" i="30"/>
  <c r="CA20" i="30" s="1"/>
  <c r="CB3" i="30" s="1"/>
  <c r="CB88" i="30" s="1"/>
  <c r="DT104" i="30" l="1"/>
  <c r="DT36" i="30"/>
  <c r="DU19" i="30" s="1"/>
  <c r="DT102" i="30"/>
  <c r="DT83" i="30" s="1"/>
  <c r="DT34" i="30"/>
  <c r="DU17" i="30" s="1"/>
  <c r="DS101" i="30"/>
  <c r="DS33" i="30"/>
  <c r="DT16" i="30" s="1"/>
  <c r="DS100" i="30"/>
  <c r="DS79" i="30" s="1"/>
  <c r="DS28" i="30" s="1"/>
  <c r="DT11" i="30" s="1"/>
  <c r="DT96" i="30" s="1"/>
  <c r="DS32" i="30"/>
  <c r="DT15" i="30" s="1"/>
  <c r="CB73" i="30"/>
  <c r="CB22" i="30" s="1"/>
  <c r="CC5" i="30" s="1"/>
  <c r="CC90" i="30" s="1"/>
  <c r="CC81" i="30" s="1"/>
  <c r="DT94" i="30"/>
  <c r="DT26" i="30"/>
  <c r="DU9" i="30" s="1"/>
  <c r="DS25" i="30"/>
  <c r="DT8" i="30" s="1"/>
  <c r="DS93" i="30"/>
  <c r="CB86" i="30"/>
  <c r="CB35" i="30" s="1"/>
  <c r="CC18" i="30" s="1"/>
  <c r="CC103" i="30" s="1"/>
  <c r="CB71" i="30"/>
  <c r="CB20" i="30" s="1"/>
  <c r="CC3" i="30" s="1"/>
  <c r="CC88" i="30" s="1"/>
  <c r="CB82" i="30"/>
  <c r="CB31" i="30" s="1"/>
  <c r="CC14" i="30" s="1"/>
  <c r="CC99" i="30" s="1"/>
  <c r="CC72" i="30" s="1"/>
  <c r="CC21" i="30" s="1"/>
  <c r="CD4" i="30" s="1"/>
  <c r="L180" i="30" s="1"/>
  <c r="CB80" i="30"/>
  <c r="CB29" i="30" s="1"/>
  <c r="CC12" i="30" s="1"/>
  <c r="CC97" i="30" s="1"/>
  <c r="CB75" i="30"/>
  <c r="CB24" i="30" s="1"/>
  <c r="CC7" i="30" s="1"/>
  <c r="CC92" i="30" s="1"/>
  <c r="CC78" i="30"/>
  <c r="CC27" i="30" s="1"/>
  <c r="CD10" i="30" s="1"/>
  <c r="L210" i="30" s="1"/>
  <c r="CB81" i="30"/>
  <c r="CB30" i="30" s="1"/>
  <c r="CC13" i="30" s="1"/>
  <c r="CC98" i="30" s="1"/>
  <c r="CB74" i="30"/>
  <c r="CB23" i="30" s="1"/>
  <c r="CC6" i="30" s="1"/>
  <c r="CC91" i="30" s="1"/>
  <c r="DU36" i="30" l="1"/>
  <c r="DV19" i="30" s="1"/>
  <c r="DU104" i="30"/>
  <c r="DU34" i="30"/>
  <c r="DV17" i="30" s="1"/>
  <c r="DU102" i="30"/>
  <c r="DU83" i="30" s="1"/>
  <c r="DT33" i="30"/>
  <c r="DU16" i="30" s="1"/>
  <c r="DT101" i="30"/>
  <c r="CC74" i="30"/>
  <c r="CC23" i="30" s="1"/>
  <c r="CD6" i="30" s="1"/>
  <c r="L190" i="30" s="1"/>
  <c r="DT100" i="30"/>
  <c r="DT79" i="30" s="1"/>
  <c r="DT28" i="30" s="1"/>
  <c r="DU11" i="30" s="1"/>
  <c r="DU96" i="30" s="1"/>
  <c r="DT32" i="30"/>
  <c r="DU15" i="30" s="1"/>
  <c r="DU94" i="30"/>
  <c r="DU26" i="30"/>
  <c r="DV9" i="30" s="1"/>
  <c r="DT93" i="30"/>
  <c r="DT25" i="30"/>
  <c r="DU8" i="30" s="1"/>
  <c r="CC80" i="30"/>
  <c r="CC29" i="30" s="1"/>
  <c r="CD12" i="30" s="1"/>
  <c r="L220" i="30" s="1"/>
  <c r="CC82" i="30"/>
  <c r="CC31" i="30" s="1"/>
  <c r="CD14" i="30" s="1"/>
  <c r="L230" i="30" s="1"/>
  <c r="CC86" i="30"/>
  <c r="CC35" i="30" s="1"/>
  <c r="CD18" i="30" s="1"/>
  <c r="L250" i="30" s="1"/>
  <c r="L285" i="30"/>
  <c r="CD95" i="30"/>
  <c r="CC30" i="30"/>
  <c r="CD13" i="30" s="1"/>
  <c r="L225" i="30" s="1"/>
  <c r="CC73" i="30"/>
  <c r="CC22" i="30" s="1"/>
  <c r="CD5" i="30" s="1"/>
  <c r="L185" i="30" s="1"/>
  <c r="CC71" i="30"/>
  <c r="CC20" i="30" s="1"/>
  <c r="CD3" i="30" s="1"/>
  <c r="L175" i="30" s="1"/>
  <c r="CC75" i="30"/>
  <c r="CC24" i="30" s="1"/>
  <c r="CD7" i="30" s="1"/>
  <c r="L195" i="30" s="1"/>
  <c r="CD89" i="30"/>
  <c r="L279" i="30"/>
  <c r="DV36" i="30" l="1"/>
  <c r="DW19" i="30" s="1"/>
  <c r="DV104" i="30"/>
  <c r="DV102" i="30"/>
  <c r="DV83" i="30" s="1"/>
  <c r="DV34" i="30"/>
  <c r="DW17" i="30" s="1"/>
  <c r="DU101" i="30"/>
  <c r="DU33" i="30"/>
  <c r="DV16" i="30" s="1"/>
  <c r="DU100" i="30"/>
  <c r="DU79" i="30" s="1"/>
  <c r="DU28" i="30" s="1"/>
  <c r="DV11" i="30" s="1"/>
  <c r="DV96" i="30" s="1"/>
  <c r="DU32" i="30"/>
  <c r="DV15" i="30" s="1"/>
  <c r="DV26" i="30"/>
  <c r="DW9" i="30" s="1"/>
  <c r="DV94" i="30"/>
  <c r="DU93" i="30"/>
  <c r="DU25" i="30"/>
  <c r="DV8" i="30" s="1"/>
  <c r="L289" i="30"/>
  <c r="CD91" i="30"/>
  <c r="L281" i="30"/>
  <c r="CD99" i="30"/>
  <c r="CD72" i="30" s="1"/>
  <c r="CD21" i="30" s="1"/>
  <c r="CE4" i="30" s="1"/>
  <c r="CE89" i="30" s="1"/>
  <c r="CE78" i="30" s="1"/>
  <c r="CD78" i="30"/>
  <c r="CD27" i="30" s="1"/>
  <c r="CE10" i="30" s="1"/>
  <c r="CE95" i="30" s="1"/>
  <c r="L280" i="30"/>
  <c r="CD90" i="30"/>
  <c r="CD98" i="30"/>
  <c r="L288" i="30"/>
  <c r="L293" i="30"/>
  <c r="CD103" i="30"/>
  <c r="CD92" i="30"/>
  <c r="L282" i="30"/>
  <c r="L287" i="30"/>
  <c r="CD97" i="30"/>
  <c r="L278" i="30"/>
  <c r="CD88" i="30"/>
  <c r="L277" i="30" l="1"/>
  <c r="CE27" i="30"/>
  <c r="CF10" i="30" s="1"/>
  <c r="CF95" i="30" s="1"/>
  <c r="DW36" i="30"/>
  <c r="DX19" i="30" s="1"/>
  <c r="DW104" i="30"/>
  <c r="DW34" i="30"/>
  <c r="DX17" i="30" s="1"/>
  <c r="DW102" i="30"/>
  <c r="DW83" i="30" s="1"/>
  <c r="DV101" i="30"/>
  <c r="DV33" i="30"/>
  <c r="DW16" i="30" s="1"/>
  <c r="DV100" i="30"/>
  <c r="DV79" i="30" s="1"/>
  <c r="DV28" i="30" s="1"/>
  <c r="DW11" i="30" s="1"/>
  <c r="DW96" i="30" s="1"/>
  <c r="DV32" i="30"/>
  <c r="DW15" i="30" s="1"/>
  <c r="CD73" i="30"/>
  <c r="CD22" i="30" s="1"/>
  <c r="CE5" i="30" s="1"/>
  <c r="CE90" i="30" s="1"/>
  <c r="CE81" i="30" s="1"/>
  <c r="DW26" i="30"/>
  <c r="DX9" i="30" s="1"/>
  <c r="DW94" i="30"/>
  <c r="DV25" i="30"/>
  <c r="DW8" i="30" s="1"/>
  <c r="DV93" i="30"/>
  <c r="CD86" i="30"/>
  <c r="CD35" i="30" s="1"/>
  <c r="CE18" i="30" s="1"/>
  <c r="CE103" i="30" s="1"/>
  <c r="CD82" i="30"/>
  <c r="CD31" i="30" s="1"/>
  <c r="CE14" i="30" s="1"/>
  <c r="CE99" i="30" s="1"/>
  <c r="CE72" i="30" s="1"/>
  <c r="CE21" i="30" s="1"/>
  <c r="CF4" i="30" s="1"/>
  <c r="CF89" i="30" s="1"/>
  <c r="CF78" i="30" s="1"/>
  <c r="CD71" i="30"/>
  <c r="CD20" i="30" s="1"/>
  <c r="CE3" i="30" s="1"/>
  <c r="CE88" i="30" s="1"/>
  <c r="CD74" i="30"/>
  <c r="CD23" i="30" s="1"/>
  <c r="CE6" i="30" s="1"/>
  <c r="CE91" i="30" s="1"/>
  <c r="CD81" i="30"/>
  <c r="CD30" i="30" s="1"/>
  <c r="CE13" i="30" s="1"/>
  <c r="CE98" i="30" s="1"/>
  <c r="CD80" i="30"/>
  <c r="CD29" i="30" s="1"/>
  <c r="CE12" i="30" s="1"/>
  <c r="CE97" i="30" s="1"/>
  <c r="CD75" i="30"/>
  <c r="CD24" i="30" s="1"/>
  <c r="CE7" i="30" s="1"/>
  <c r="CE92" i="30" s="1"/>
  <c r="CF27" i="30" l="1"/>
  <c r="CG10" i="30" s="1"/>
  <c r="CG95" i="30" s="1"/>
  <c r="CE73" i="30"/>
  <c r="CE22" i="30" s="1"/>
  <c r="CF5" i="30" s="1"/>
  <c r="CF90" i="30" s="1"/>
  <c r="CF81" i="30" s="1"/>
  <c r="DX104" i="30"/>
  <c r="DX36" i="30"/>
  <c r="DY19" i="30" s="1"/>
  <c r="DX102" i="30"/>
  <c r="DX83" i="30" s="1"/>
  <c r="DX34" i="30"/>
  <c r="DY17" i="30" s="1"/>
  <c r="DW33" i="30"/>
  <c r="DX16" i="30" s="1"/>
  <c r="DW101" i="30"/>
  <c r="DW100" i="30"/>
  <c r="DW79" i="30" s="1"/>
  <c r="DW28" i="30" s="1"/>
  <c r="DX11" i="30" s="1"/>
  <c r="DX96" i="30" s="1"/>
  <c r="DW32" i="30"/>
  <c r="DX15" i="30" s="1"/>
  <c r="CE80" i="30"/>
  <c r="CE29" i="30" s="1"/>
  <c r="CF12" i="30" s="1"/>
  <c r="CF97" i="30" s="1"/>
  <c r="DX94" i="30"/>
  <c r="DX26" i="30"/>
  <c r="DY9" i="30" s="1"/>
  <c r="DW25" i="30"/>
  <c r="DX8" i="30" s="1"/>
  <c r="DW93" i="30"/>
  <c r="CE74" i="30"/>
  <c r="CE23" i="30" s="1"/>
  <c r="CF6" i="30" s="1"/>
  <c r="CF91" i="30" s="1"/>
  <c r="CE71" i="30"/>
  <c r="CE20" i="30" s="1"/>
  <c r="CF3" i="30" s="1"/>
  <c r="CF88" i="30" s="1"/>
  <c r="CE86" i="30"/>
  <c r="CE35" i="30" s="1"/>
  <c r="CF18" i="30" s="1"/>
  <c r="CF103" i="30" s="1"/>
  <c r="CE82" i="30"/>
  <c r="CE31" i="30" s="1"/>
  <c r="CF14" i="30" s="1"/>
  <c r="CF99" i="30" s="1"/>
  <c r="CF72" i="30" s="1"/>
  <c r="CF21" i="30" s="1"/>
  <c r="CG4" i="30" s="1"/>
  <c r="CG89" i="30" s="1"/>
  <c r="CE75" i="30"/>
  <c r="CE24" i="30" s="1"/>
  <c r="CF7" i="30" s="1"/>
  <c r="CF92" i="30" s="1"/>
  <c r="CE30" i="30"/>
  <c r="CF13" i="30" s="1"/>
  <c r="CF98" i="30" s="1"/>
  <c r="DY104" i="30" l="1"/>
  <c r="DY36" i="30"/>
  <c r="DZ19" i="30" s="1"/>
  <c r="R255" i="30" s="1"/>
  <c r="DY34" i="30"/>
  <c r="DZ17" i="30" s="1"/>
  <c r="R245" i="30" s="1"/>
  <c r="DY102" i="30"/>
  <c r="DY83" i="30" s="1"/>
  <c r="DX101" i="30"/>
  <c r="DX33" i="30"/>
  <c r="DY16" i="30" s="1"/>
  <c r="DX100" i="30"/>
  <c r="DX79" i="30" s="1"/>
  <c r="DX28" i="30" s="1"/>
  <c r="DY11" i="30" s="1"/>
  <c r="DY96" i="30" s="1"/>
  <c r="DX32" i="30"/>
  <c r="DY15" i="30" s="1"/>
  <c r="CF86" i="30"/>
  <c r="CF35" i="30" s="1"/>
  <c r="CG18" i="30" s="1"/>
  <c r="CG103" i="30" s="1"/>
  <c r="DY94" i="30"/>
  <c r="DY26" i="30"/>
  <c r="DZ9" i="30" s="1"/>
  <c r="R205" i="30" s="1"/>
  <c r="CF75" i="30"/>
  <c r="CF24" i="30" s="1"/>
  <c r="CG7" i="30" s="1"/>
  <c r="CG92" i="30" s="1"/>
  <c r="DX25" i="30"/>
  <c r="DY8" i="30" s="1"/>
  <c r="DX93" i="30"/>
  <c r="CF80" i="30"/>
  <c r="CF29" i="30" s="1"/>
  <c r="CG12" i="30" s="1"/>
  <c r="CG97" i="30" s="1"/>
  <c r="CF73" i="30"/>
  <c r="CF22" i="30" s="1"/>
  <c r="CG5" i="30" s="1"/>
  <c r="CG90" i="30" s="1"/>
  <c r="CG81" i="30" s="1"/>
  <c r="CF71" i="30"/>
  <c r="CF20" i="30" s="1"/>
  <c r="CG3" i="30" s="1"/>
  <c r="CG88" i="30" s="1"/>
  <c r="CF30" i="30"/>
  <c r="CG13" i="30" s="1"/>
  <c r="CG98" i="30" s="1"/>
  <c r="CF74" i="30"/>
  <c r="CF23" i="30" s="1"/>
  <c r="CG6" i="30" s="1"/>
  <c r="CG91" i="30" s="1"/>
  <c r="CG78" i="30"/>
  <c r="CG27" i="30" s="1"/>
  <c r="CH10" i="30" s="1"/>
  <c r="CH95" i="30" s="1"/>
  <c r="CF82" i="30"/>
  <c r="CF31" i="30" s="1"/>
  <c r="CG14" i="30" s="1"/>
  <c r="CG99" i="30" s="1"/>
  <c r="CG72" i="30" s="1"/>
  <c r="CG21" i="30" s="1"/>
  <c r="CH4" i="30" s="1"/>
  <c r="CH89" i="30" s="1"/>
  <c r="CG82" i="30" l="1"/>
  <c r="CG31" i="30" s="1"/>
  <c r="CH14" i="30" s="1"/>
  <c r="CH99" i="30" s="1"/>
  <c r="CG30" i="30"/>
  <c r="CH13" i="30" s="1"/>
  <c r="CH98" i="30" s="1"/>
  <c r="DZ36" i="30"/>
  <c r="EA19" i="30" s="1"/>
  <c r="DZ104" i="30"/>
  <c r="DZ102" i="30"/>
  <c r="DZ83" i="30" s="1"/>
  <c r="DZ34" i="30"/>
  <c r="EA17" i="30" s="1"/>
  <c r="DY101" i="30"/>
  <c r="DY33" i="30"/>
  <c r="DZ16" i="30" s="1"/>
  <c r="R240" i="30" s="1"/>
  <c r="DY100" i="30"/>
  <c r="DY79" i="30" s="1"/>
  <c r="DY28" i="30" s="1"/>
  <c r="DZ11" i="30" s="1"/>
  <c r="R215" i="30" s="1"/>
  <c r="DY32" i="30"/>
  <c r="DZ15" i="30" s="1"/>
  <c r="R235" i="30" s="1"/>
  <c r="DZ94" i="30"/>
  <c r="DZ26" i="30"/>
  <c r="EA9" i="30" s="1"/>
  <c r="CG80" i="30"/>
  <c r="CG29" i="30" s="1"/>
  <c r="CH12" i="30" s="1"/>
  <c r="CH97" i="30" s="1"/>
  <c r="DY25" i="30"/>
  <c r="DZ8" i="30" s="1"/>
  <c r="R200" i="30" s="1"/>
  <c r="DY93" i="30"/>
  <c r="CG71" i="30"/>
  <c r="CG20" i="30" s="1"/>
  <c r="CH3" i="30" s="1"/>
  <c r="CH88" i="30" s="1"/>
  <c r="CG86" i="30"/>
  <c r="CG35" i="30" s="1"/>
  <c r="CH18" i="30" s="1"/>
  <c r="CH103" i="30" s="1"/>
  <c r="CG74" i="30"/>
  <c r="CG23" i="30" s="1"/>
  <c r="CH6" i="30" s="1"/>
  <c r="CH91" i="30" s="1"/>
  <c r="CH78" i="30"/>
  <c r="CH27" i="30" s="1"/>
  <c r="CI10" i="30" s="1"/>
  <c r="CI95" i="30" s="1"/>
  <c r="CG73" i="30"/>
  <c r="CG22" i="30" s="1"/>
  <c r="CH5" i="30" s="1"/>
  <c r="CH90" i="30" s="1"/>
  <c r="CG75" i="30"/>
  <c r="CG24" i="30" s="1"/>
  <c r="CH7" i="30" s="1"/>
  <c r="CH92" i="30" s="1"/>
  <c r="DZ96" i="30" l="1"/>
  <c r="CH71" i="30"/>
  <c r="CH20" i="30" s="1"/>
  <c r="CI3" i="30" s="1"/>
  <c r="CI88" i="30" s="1"/>
  <c r="CH72" i="30"/>
  <c r="CH21" i="30" s="1"/>
  <c r="CI4" i="30" s="1"/>
  <c r="CI89" i="30" s="1"/>
  <c r="CI78" i="30" s="1"/>
  <c r="CI27" i="30" s="1"/>
  <c r="CJ10" i="30" s="1"/>
  <c r="CJ95" i="30" s="1"/>
  <c r="CH73" i="30"/>
  <c r="CH22" i="30" s="1"/>
  <c r="CI5" i="30" s="1"/>
  <c r="CI90" i="30" s="1"/>
  <c r="CH82" i="30"/>
  <c r="CH31" i="30" s="1"/>
  <c r="CI14" i="30" s="1"/>
  <c r="CI99" i="30" s="1"/>
  <c r="CI72" i="30" s="1"/>
  <c r="EA104" i="30"/>
  <c r="EA36" i="30"/>
  <c r="EB19" i="30" s="1"/>
  <c r="EA34" i="30"/>
  <c r="EB17" i="30" s="1"/>
  <c r="EA102" i="30"/>
  <c r="EA83" i="30" s="1"/>
  <c r="DZ33" i="30"/>
  <c r="EA16" i="30" s="1"/>
  <c r="DZ101" i="30"/>
  <c r="DZ100" i="30"/>
  <c r="DZ79" i="30" s="1"/>
  <c r="DZ28" i="30" s="1"/>
  <c r="EA11" i="30" s="1"/>
  <c r="EA96" i="30" s="1"/>
  <c r="DZ32" i="30"/>
  <c r="EA15" i="30" s="1"/>
  <c r="EA94" i="30"/>
  <c r="EA26" i="30"/>
  <c r="EB9" i="30" s="1"/>
  <c r="DZ25" i="30"/>
  <c r="EA8" i="30" s="1"/>
  <c r="DZ93" i="30"/>
  <c r="CH86" i="30"/>
  <c r="CH35" i="30" s="1"/>
  <c r="CI18" i="30" s="1"/>
  <c r="CI103" i="30" s="1"/>
  <c r="CH80" i="30"/>
  <c r="CH29" i="30" s="1"/>
  <c r="CI12" i="30" s="1"/>
  <c r="CI97" i="30" s="1"/>
  <c r="CH75" i="30"/>
  <c r="CH24" i="30" s="1"/>
  <c r="CI7" i="30" s="1"/>
  <c r="CI92" i="30" s="1"/>
  <c r="CH81" i="30"/>
  <c r="CH30" i="30" s="1"/>
  <c r="CI13" i="30" s="1"/>
  <c r="CI98" i="30" s="1"/>
  <c r="CH74" i="30"/>
  <c r="CH23" i="30" s="1"/>
  <c r="CI6" i="30" s="1"/>
  <c r="CI91" i="30" s="1"/>
  <c r="CI21" i="30" l="1"/>
  <c r="CJ4" i="30" s="1"/>
  <c r="CJ89" i="30" s="1"/>
  <c r="CJ78" i="30" s="1"/>
  <c r="CJ27" i="30" s="1"/>
  <c r="CK10" i="30" s="1"/>
  <c r="CK95" i="30" s="1"/>
  <c r="CI73" i="30"/>
  <c r="CI22" i="30" s="1"/>
  <c r="CJ5" i="30" s="1"/>
  <c r="CJ90" i="30" s="1"/>
  <c r="CJ81" i="30" s="1"/>
  <c r="EB36" i="30"/>
  <c r="EC19" i="30" s="1"/>
  <c r="EB104" i="30"/>
  <c r="EB34" i="30"/>
  <c r="EC17" i="30" s="1"/>
  <c r="EB102" i="30"/>
  <c r="EB83" i="30" s="1"/>
  <c r="EA33" i="30"/>
  <c r="EB16" i="30" s="1"/>
  <c r="EA101" i="30"/>
  <c r="EA100" i="30"/>
  <c r="EA79" i="30" s="1"/>
  <c r="EA28" i="30" s="1"/>
  <c r="EB11" i="30" s="1"/>
  <c r="EB96" i="30" s="1"/>
  <c r="EA32" i="30"/>
  <c r="EB15" i="30" s="1"/>
  <c r="EB94" i="30"/>
  <c r="EB26" i="30"/>
  <c r="EC9" i="30" s="1"/>
  <c r="EA25" i="30"/>
  <c r="EB8" i="30" s="1"/>
  <c r="EA93" i="30"/>
  <c r="CI81" i="30"/>
  <c r="CI30" i="30" s="1"/>
  <c r="CJ13" i="30" s="1"/>
  <c r="CJ98" i="30" s="1"/>
  <c r="CI74" i="30"/>
  <c r="CI23" i="30" s="1"/>
  <c r="CJ6" i="30" s="1"/>
  <c r="CJ91" i="30" s="1"/>
  <c r="CI71" i="30"/>
  <c r="CI20" i="30" s="1"/>
  <c r="CJ3" i="30" s="1"/>
  <c r="CJ88" i="30" s="1"/>
  <c r="CI75" i="30"/>
  <c r="CI24" i="30" s="1"/>
  <c r="CJ7" i="30" s="1"/>
  <c r="CJ92" i="30" s="1"/>
  <c r="CI86" i="30"/>
  <c r="CI35" i="30" s="1"/>
  <c r="CJ18" i="30" s="1"/>
  <c r="CJ103" i="30" s="1"/>
  <c r="CI82" i="30"/>
  <c r="CI31" i="30" s="1"/>
  <c r="CJ14" i="30" s="1"/>
  <c r="CJ99" i="30" s="1"/>
  <c r="CJ72" i="30" s="1"/>
  <c r="CI80" i="30"/>
  <c r="CI29" i="30" s="1"/>
  <c r="CJ12" i="30" s="1"/>
  <c r="CJ97" i="30" s="1"/>
  <c r="CJ21" i="30" l="1"/>
  <c r="CK4" i="30" s="1"/>
  <c r="CK89" i="30" s="1"/>
  <c r="CK78" i="30" s="1"/>
  <c r="CK27" i="30" s="1"/>
  <c r="CL10" i="30" s="1"/>
  <c r="M210" i="30" s="1"/>
  <c r="CJ71" i="30"/>
  <c r="CJ20" i="30" s="1"/>
  <c r="CK3" i="30" s="1"/>
  <c r="CK88" i="30" s="1"/>
  <c r="EC104" i="30"/>
  <c r="EC36" i="30"/>
  <c r="ED19" i="30" s="1"/>
  <c r="CJ75" i="30"/>
  <c r="CJ24" i="30" s="1"/>
  <c r="CK7" i="30" s="1"/>
  <c r="CK92" i="30" s="1"/>
  <c r="EC102" i="30"/>
  <c r="EC83" i="30" s="1"/>
  <c r="EC34" i="30"/>
  <c r="ED17" i="30" s="1"/>
  <c r="EB101" i="30"/>
  <c r="EB33" i="30"/>
  <c r="EC16" i="30" s="1"/>
  <c r="EB100" i="30"/>
  <c r="EB79" i="30" s="1"/>
  <c r="EB28" i="30" s="1"/>
  <c r="EC11" i="30" s="1"/>
  <c r="EC96" i="30" s="1"/>
  <c r="EB32" i="30"/>
  <c r="EC15" i="30" s="1"/>
  <c r="EC94" i="30"/>
  <c r="EC26" i="30"/>
  <c r="ED9" i="30" s="1"/>
  <c r="EB25" i="30"/>
  <c r="EC8" i="30" s="1"/>
  <c r="EB93" i="30"/>
  <c r="CJ74" i="30"/>
  <c r="CJ23" i="30" s="1"/>
  <c r="CK6" i="30" s="1"/>
  <c r="CK91" i="30" s="1"/>
  <c r="CJ73" i="30"/>
  <c r="CJ22" i="30" s="1"/>
  <c r="CK5" i="30" s="1"/>
  <c r="CK90" i="30" s="1"/>
  <c r="CJ30" i="30"/>
  <c r="CK13" i="30" s="1"/>
  <c r="CK98" i="30" s="1"/>
  <c r="CJ86" i="30"/>
  <c r="CJ35" i="30" s="1"/>
  <c r="CK18" i="30" s="1"/>
  <c r="CK103" i="30" s="1"/>
  <c r="CJ82" i="30"/>
  <c r="CJ31" i="30" s="1"/>
  <c r="CK14" i="30" s="1"/>
  <c r="CK99" i="30" s="1"/>
  <c r="CK72" i="30" s="1"/>
  <c r="CJ80" i="30"/>
  <c r="CJ29" i="30" s="1"/>
  <c r="CK12" i="30" s="1"/>
  <c r="CK97" i="30" s="1"/>
  <c r="CK21" i="30" l="1"/>
  <c r="CL4" i="30" s="1"/>
  <c r="M180" i="30" s="1"/>
  <c r="CK80" i="30"/>
  <c r="CK29" i="30" s="1"/>
  <c r="CL12" i="30" s="1"/>
  <c r="M220" i="30" s="1"/>
  <c r="ED104" i="30"/>
  <c r="ED36" i="30"/>
  <c r="EE19" i="30" s="1"/>
  <c r="ED102" i="30"/>
  <c r="ED83" i="30" s="1"/>
  <c r="ED34" i="30"/>
  <c r="EE17" i="30" s="1"/>
  <c r="EC33" i="30"/>
  <c r="ED16" i="30" s="1"/>
  <c r="EC101" i="30"/>
  <c r="EC100" i="30"/>
  <c r="EC79" i="30" s="1"/>
  <c r="EC28" i="30" s="1"/>
  <c r="ED11" i="30" s="1"/>
  <c r="ED96" i="30" s="1"/>
  <c r="EC32" i="30"/>
  <c r="ED15" i="30" s="1"/>
  <c r="ED94" i="30"/>
  <c r="ED26" i="30"/>
  <c r="EE9" i="30" s="1"/>
  <c r="CK82" i="30"/>
  <c r="CK31" i="30" s="1"/>
  <c r="CL14" i="30" s="1"/>
  <c r="M230" i="30" s="1"/>
  <c r="EC25" i="30"/>
  <c r="ED8" i="30" s="1"/>
  <c r="EC93" i="30"/>
  <c r="CK86" i="30"/>
  <c r="CK35" i="30" s="1"/>
  <c r="CL18" i="30" s="1"/>
  <c r="M250" i="30" s="1"/>
  <c r="CK71" i="30"/>
  <c r="CK20" i="30" s="1"/>
  <c r="CL3" i="30" s="1"/>
  <c r="M175" i="30" s="1"/>
  <c r="CK81" i="30"/>
  <c r="CK30" i="30" s="1"/>
  <c r="CL13" i="30" s="1"/>
  <c r="M225" i="30" s="1"/>
  <c r="CK74" i="30"/>
  <c r="CK23" i="30" s="1"/>
  <c r="CL6" i="30" s="1"/>
  <c r="M190" i="30" s="1"/>
  <c r="CK73" i="30"/>
  <c r="CK22" i="30" s="1"/>
  <c r="CL5" i="30" s="1"/>
  <c r="M185" i="30" s="1"/>
  <c r="CL95" i="30"/>
  <c r="M285" i="30"/>
  <c r="CK75" i="30"/>
  <c r="CK24" i="30" s="1"/>
  <c r="CL7" i="30" s="1"/>
  <c r="M195" i="30" s="1"/>
  <c r="CL99" i="30" l="1"/>
  <c r="CL72" i="30" s="1"/>
  <c r="CL21" i="30" s="1"/>
  <c r="CM4" i="30" s="1"/>
  <c r="CM89" i="30" s="1"/>
  <c r="CM78" i="30" s="1"/>
  <c r="M279" i="30"/>
  <c r="CL89" i="30"/>
  <c r="CL78" i="30" s="1"/>
  <c r="CL27" i="30" s="1"/>
  <c r="CM10" i="30" s="1"/>
  <c r="CM95" i="30" s="1"/>
  <c r="EE104" i="30"/>
  <c r="EE36" i="30"/>
  <c r="EF19" i="30" s="1"/>
  <c r="EE34" i="30"/>
  <c r="EF17" i="30" s="1"/>
  <c r="EE102" i="30"/>
  <c r="EE83" i="30" s="1"/>
  <c r="ED33" i="30"/>
  <c r="EE16" i="30" s="1"/>
  <c r="ED101" i="30"/>
  <c r="ED100" i="30"/>
  <c r="ED79" i="30" s="1"/>
  <c r="ED28" i="30" s="1"/>
  <c r="EE11" i="30" s="1"/>
  <c r="EE96" i="30" s="1"/>
  <c r="ED32" i="30"/>
  <c r="EE15" i="30" s="1"/>
  <c r="EE94" i="30"/>
  <c r="EE26" i="30"/>
  <c r="EF9" i="30" s="1"/>
  <c r="ED25" i="30"/>
  <c r="EE8" i="30" s="1"/>
  <c r="ED93" i="30"/>
  <c r="M289" i="30"/>
  <c r="CL103" i="30"/>
  <c r="M293" i="30"/>
  <c r="CL98" i="30"/>
  <c r="M288" i="30"/>
  <c r="CL88" i="30"/>
  <c r="M278" i="30"/>
  <c r="CL92" i="30"/>
  <c r="M282" i="30"/>
  <c r="M287" i="30"/>
  <c r="CL97" i="30"/>
  <c r="CL90" i="30"/>
  <c r="M280" i="30"/>
  <c r="CL91" i="30"/>
  <c r="M281" i="30"/>
  <c r="M277" i="30" l="1"/>
  <c r="CL73" i="30"/>
  <c r="CL22" i="30" s="1"/>
  <c r="CM5" i="30" s="1"/>
  <c r="CM90" i="30" s="1"/>
  <c r="CM81" i="30" s="1"/>
  <c r="CL80" i="30"/>
  <c r="CL29" i="30" s="1"/>
  <c r="CM12" i="30" s="1"/>
  <c r="CM97" i="30" s="1"/>
  <c r="EF36" i="30"/>
  <c r="EG19" i="30" s="1"/>
  <c r="EF104" i="30"/>
  <c r="EF34" i="30"/>
  <c r="EG17" i="30" s="1"/>
  <c r="EF102" i="30"/>
  <c r="EF83" i="30" s="1"/>
  <c r="EE101" i="30"/>
  <c r="EE33" i="30"/>
  <c r="EF16" i="30" s="1"/>
  <c r="EE100" i="30"/>
  <c r="EE79" i="30" s="1"/>
  <c r="EE28" i="30" s="1"/>
  <c r="EF11" i="30" s="1"/>
  <c r="EF96" i="30" s="1"/>
  <c r="EE32" i="30"/>
  <c r="EF15" i="30" s="1"/>
  <c r="EF26" i="30"/>
  <c r="EG9" i="30" s="1"/>
  <c r="EF94" i="30"/>
  <c r="EE93" i="30"/>
  <c r="EE25" i="30"/>
  <c r="EF8" i="30" s="1"/>
  <c r="CM27" i="30"/>
  <c r="CN10" i="30" s="1"/>
  <c r="CN95" i="30" s="1"/>
  <c r="CL71" i="30"/>
  <c r="CL20" i="30" s="1"/>
  <c r="CM3" i="30" s="1"/>
  <c r="CM88" i="30" s="1"/>
  <c r="CL75" i="30"/>
  <c r="CL24" i="30" s="1"/>
  <c r="CM7" i="30" s="1"/>
  <c r="CM92" i="30" s="1"/>
  <c r="CL86" i="30"/>
  <c r="CL35" i="30" s="1"/>
  <c r="CM18" i="30" s="1"/>
  <c r="CM103" i="30" s="1"/>
  <c r="CL81" i="30"/>
  <c r="CL30" i="30" s="1"/>
  <c r="CM13" i="30" s="1"/>
  <c r="CM98" i="30" s="1"/>
  <c r="CL74" i="30"/>
  <c r="CL23" i="30" s="1"/>
  <c r="CM6" i="30" s="1"/>
  <c r="CM91" i="30" s="1"/>
  <c r="CL82" i="30"/>
  <c r="CL31" i="30" s="1"/>
  <c r="CM14" i="30" s="1"/>
  <c r="CM99" i="30" s="1"/>
  <c r="CM72" i="30" s="1"/>
  <c r="CM21" i="30" s="1"/>
  <c r="CN4" i="30" s="1"/>
  <c r="CN89" i="30" s="1"/>
  <c r="CM30" i="30" l="1"/>
  <c r="CN13" i="30" s="1"/>
  <c r="CN98" i="30" s="1"/>
  <c r="EG104" i="30"/>
  <c r="EG36" i="30"/>
  <c r="EH19" i="30" s="1"/>
  <c r="S255" i="30" s="1"/>
  <c r="EG34" i="30"/>
  <c r="EH17" i="30" s="1"/>
  <c r="S245" i="30" s="1"/>
  <c r="EG102" i="30"/>
  <c r="EG83" i="30" s="1"/>
  <c r="EF101" i="30"/>
  <c r="EF33" i="30"/>
  <c r="EG16" i="30" s="1"/>
  <c r="EF100" i="30"/>
  <c r="EF79" i="30" s="1"/>
  <c r="EF28" i="30" s="1"/>
  <c r="EG11" i="30" s="1"/>
  <c r="EG96" i="30" s="1"/>
  <c r="EF32" i="30"/>
  <c r="EG15" i="30" s="1"/>
  <c r="CM80" i="30"/>
  <c r="CM29" i="30" s="1"/>
  <c r="CN12" i="30" s="1"/>
  <c r="CN97" i="30" s="1"/>
  <c r="EG94" i="30"/>
  <c r="EG26" i="30"/>
  <c r="EH9" i="30" s="1"/>
  <c r="S205" i="30" s="1"/>
  <c r="EF25" i="30"/>
  <c r="EG8" i="30" s="1"/>
  <c r="EF93" i="30"/>
  <c r="CM74" i="30"/>
  <c r="CM23" i="30" s="1"/>
  <c r="CN6" i="30" s="1"/>
  <c r="CN91" i="30" s="1"/>
  <c r="CN78" i="30"/>
  <c r="CN27" i="30" s="1"/>
  <c r="CO10" i="30" s="1"/>
  <c r="CO95" i="30" s="1"/>
  <c r="CM86" i="30"/>
  <c r="CM35" i="30" s="1"/>
  <c r="CN18" i="30" s="1"/>
  <c r="CN103" i="30" s="1"/>
  <c r="CM82" i="30"/>
  <c r="CM31" i="30" s="1"/>
  <c r="CN14" i="30" s="1"/>
  <c r="CN99" i="30" s="1"/>
  <c r="CN72" i="30" s="1"/>
  <c r="CN21" i="30" s="1"/>
  <c r="CO4" i="30" s="1"/>
  <c r="CO89" i="30" s="1"/>
  <c r="CM75" i="30"/>
  <c r="CM24" i="30" s="1"/>
  <c r="CN7" i="30" s="1"/>
  <c r="CN92" i="30" s="1"/>
  <c r="CM73" i="30"/>
  <c r="CM22" i="30" s="1"/>
  <c r="CN5" i="30" s="1"/>
  <c r="CN90" i="30" s="1"/>
  <c r="CM71" i="30"/>
  <c r="CM20" i="30" s="1"/>
  <c r="CN3" i="30" s="1"/>
  <c r="CN88" i="30" s="1"/>
  <c r="CN82" i="30" l="1"/>
  <c r="CN31" i="30" s="1"/>
  <c r="CO14" i="30" s="1"/>
  <c r="CO99" i="30" s="1"/>
  <c r="CO72" i="30" s="1"/>
  <c r="CO21" i="30" s="1"/>
  <c r="CP4" i="30" s="1"/>
  <c r="CP89" i="30" s="1"/>
  <c r="CN86" i="30"/>
  <c r="CN35" i="30" s="1"/>
  <c r="CO18" i="30" s="1"/>
  <c r="CO103" i="30" s="1"/>
  <c r="EH36" i="30"/>
  <c r="EI19" i="30" s="1"/>
  <c r="EH104" i="30"/>
  <c r="EH34" i="30"/>
  <c r="EI17" i="30" s="1"/>
  <c r="EH102" i="30"/>
  <c r="EH83" i="30" s="1"/>
  <c r="EG33" i="30"/>
  <c r="EH16" i="30" s="1"/>
  <c r="S240" i="30" s="1"/>
  <c r="EG101" i="30"/>
  <c r="EG100" i="30"/>
  <c r="EG79" i="30" s="1"/>
  <c r="EG28" i="30" s="1"/>
  <c r="EH11" i="30" s="1"/>
  <c r="S215" i="30" s="1"/>
  <c r="EG32" i="30"/>
  <c r="EH15" i="30" s="1"/>
  <c r="S235" i="30" s="1"/>
  <c r="EH94" i="30"/>
  <c r="EH26" i="30"/>
  <c r="EI9" i="30" s="1"/>
  <c r="EG93" i="30"/>
  <c r="EG25" i="30"/>
  <c r="EH8" i="30" s="1"/>
  <c r="S200" i="30" s="1"/>
  <c r="CN80" i="30"/>
  <c r="CN29" i="30" s="1"/>
  <c r="CO12" i="30" s="1"/>
  <c r="CO97" i="30" s="1"/>
  <c r="CO78" i="30"/>
  <c r="CO27" i="30" s="1"/>
  <c r="CP10" i="30" s="1"/>
  <c r="CP95" i="30" s="1"/>
  <c r="CN73" i="30"/>
  <c r="CN22" i="30" s="1"/>
  <c r="CO5" i="30" s="1"/>
  <c r="CO90" i="30" s="1"/>
  <c r="CN74" i="30"/>
  <c r="CN23" i="30" s="1"/>
  <c r="CO6" i="30" s="1"/>
  <c r="CO91" i="30" s="1"/>
  <c r="CN81" i="30"/>
  <c r="CN30" i="30" s="1"/>
  <c r="CO13" i="30" s="1"/>
  <c r="CO98" i="30" s="1"/>
  <c r="CN71" i="30"/>
  <c r="CN20" i="30" s="1"/>
  <c r="CO3" i="30" s="1"/>
  <c r="CO88" i="30" s="1"/>
  <c r="CN75" i="30"/>
  <c r="CN24" i="30" s="1"/>
  <c r="CO7" i="30" s="1"/>
  <c r="CO92" i="30" s="1"/>
  <c r="EI104" i="30" l="1"/>
  <c r="EI36" i="30"/>
  <c r="EJ19" i="30" s="1"/>
  <c r="EH96" i="30"/>
  <c r="EI102" i="30"/>
  <c r="EI83" i="30" s="1"/>
  <c r="EI34" i="30"/>
  <c r="EJ17" i="30" s="1"/>
  <c r="EH101" i="30"/>
  <c r="EH33" i="30"/>
  <c r="EI16" i="30" s="1"/>
  <c r="EH100" i="30"/>
  <c r="EH79" i="30" s="1"/>
  <c r="EH28" i="30" s="1"/>
  <c r="EI11" i="30" s="1"/>
  <c r="EI96" i="30" s="1"/>
  <c r="EH32" i="30"/>
  <c r="EI15" i="30" s="1"/>
  <c r="EI94" i="30"/>
  <c r="EI26" i="30"/>
  <c r="EJ9" i="30" s="1"/>
  <c r="EH93" i="30"/>
  <c r="EH25" i="30"/>
  <c r="EI8" i="30" s="1"/>
  <c r="CO71" i="30"/>
  <c r="CO20" i="30" s="1"/>
  <c r="CP3" i="30" s="1"/>
  <c r="CP88" i="30" s="1"/>
  <c r="CO73" i="30"/>
  <c r="CO22" i="30" s="1"/>
  <c r="CP5" i="30" s="1"/>
  <c r="CP90" i="30" s="1"/>
  <c r="CP81" i="30" s="1"/>
  <c r="CP78" i="30"/>
  <c r="CP27" i="30" s="1"/>
  <c r="CQ10" i="30" s="1"/>
  <c r="CQ95" i="30" s="1"/>
  <c r="CO86" i="30"/>
  <c r="CO35" i="30" s="1"/>
  <c r="CP18" i="30" s="1"/>
  <c r="CP103" i="30" s="1"/>
  <c r="CO82" i="30"/>
  <c r="CO31" i="30" s="1"/>
  <c r="CP14" i="30" s="1"/>
  <c r="CP99" i="30" s="1"/>
  <c r="CP72" i="30" s="1"/>
  <c r="CP21" i="30" s="1"/>
  <c r="CQ4" i="30" s="1"/>
  <c r="CQ89" i="30" s="1"/>
  <c r="CO80" i="30"/>
  <c r="CO29" i="30" s="1"/>
  <c r="CP12" i="30" s="1"/>
  <c r="CP97" i="30" s="1"/>
  <c r="CO75" i="30"/>
  <c r="CO24" i="30" s="1"/>
  <c r="CP7" i="30" s="1"/>
  <c r="CP92" i="30" s="1"/>
  <c r="CO74" i="30"/>
  <c r="CO23" i="30" s="1"/>
  <c r="CP6" i="30" s="1"/>
  <c r="CP91" i="30" s="1"/>
  <c r="CO81" i="30"/>
  <c r="CO30" i="30" s="1"/>
  <c r="CP13" i="30" s="1"/>
  <c r="CP98" i="30" s="1"/>
  <c r="CP73" i="30" l="1"/>
  <c r="CP22" i="30" s="1"/>
  <c r="CQ5" i="30" s="1"/>
  <c r="CQ90" i="30" s="1"/>
  <c r="CQ81" i="30" s="1"/>
  <c r="EJ36" i="30"/>
  <c r="EK19" i="30" s="1"/>
  <c r="EJ104" i="30"/>
  <c r="EJ102" i="30"/>
  <c r="EJ83" i="30" s="1"/>
  <c r="EJ34" i="30"/>
  <c r="EK17" i="30" s="1"/>
  <c r="EI101" i="30"/>
  <c r="EI33" i="30"/>
  <c r="EJ16" i="30" s="1"/>
  <c r="EI100" i="30"/>
  <c r="EI79" i="30" s="1"/>
  <c r="EI28" i="30" s="1"/>
  <c r="EJ11" i="30" s="1"/>
  <c r="EJ96" i="30" s="1"/>
  <c r="EI32" i="30"/>
  <c r="EJ15" i="30" s="1"/>
  <c r="EJ94" i="30"/>
  <c r="EJ26" i="30"/>
  <c r="EK9" i="30" s="1"/>
  <c r="CP75" i="30"/>
  <c r="CP24" i="30" s="1"/>
  <c r="CQ7" i="30" s="1"/>
  <c r="CQ92" i="30" s="1"/>
  <c r="CP80" i="30"/>
  <c r="CP29" i="30" s="1"/>
  <c r="CQ12" i="30" s="1"/>
  <c r="CQ97" i="30" s="1"/>
  <c r="EI25" i="30"/>
  <c r="EJ8" i="30" s="1"/>
  <c r="EI93" i="30"/>
  <c r="CP74" i="30"/>
  <c r="CP23" i="30" s="1"/>
  <c r="CQ6" i="30" s="1"/>
  <c r="CQ91" i="30" s="1"/>
  <c r="CP71" i="30"/>
  <c r="CP20" i="30" s="1"/>
  <c r="CQ3" i="30" s="1"/>
  <c r="CQ88" i="30" s="1"/>
  <c r="CP82" i="30"/>
  <c r="CP31" i="30" s="1"/>
  <c r="CQ14" i="30" s="1"/>
  <c r="CQ99" i="30" s="1"/>
  <c r="CQ72" i="30" s="1"/>
  <c r="CQ21" i="30" s="1"/>
  <c r="CR4" i="30" s="1"/>
  <c r="CR89" i="30" s="1"/>
  <c r="CQ78" i="30"/>
  <c r="CQ27" i="30" s="1"/>
  <c r="CR10" i="30" s="1"/>
  <c r="CR95" i="30" s="1"/>
  <c r="CP86" i="30"/>
  <c r="CP35" i="30" s="1"/>
  <c r="CQ18" i="30" s="1"/>
  <c r="CQ103" i="30" s="1"/>
  <c r="CP30" i="30"/>
  <c r="CQ13" i="30" s="1"/>
  <c r="CQ98" i="30" s="1"/>
  <c r="CQ80" i="30" l="1"/>
  <c r="CQ29" i="30" s="1"/>
  <c r="CR12" i="30" s="1"/>
  <c r="CR97" i="30" s="1"/>
  <c r="EK36" i="30"/>
  <c r="EL19" i="30" s="1"/>
  <c r="EK104" i="30"/>
  <c r="EK34" i="30"/>
  <c r="EL17" i="30" s="1"/>
  <c r="EK102" i="30"/>
  <c r="EK83" i="30" s="1"/>
  <c r="EJ101" i="30"/>
  <c r="EJ33" i="30"/>
  <c r="EK16" i="30" s="1"/>
  <c r="EJ100" i="30"/>
  <c r="EJ79" i="30" s="1"/>
  <c r="EJ28" i="30" s="1"/>
  <c r="EK11" i="30" s="1"/>
  <c r="EK96" i="30" s="1"/>
  <c r="EJ32" i="30"/>
  <c r="EK15" i="30" s="1"/>
  <c r="EK26" i="30"/>
  <c r="EL9" i="30" s="1"/>
  <c r="EK94" i="30"/>
  <c r="CQ75" i="30"/>
  <c r="CQ24" i="30" s="1"/>
  <c r="CR7" i="30" s="1"/>
  <c r="CR92" i="30" s="1"/>
  <c r="EJ25" i="30"/>
  <c r="EK8" i="30" s="1"/>
  <c r="EJ93" i="30"/>
  <c r="CQ82" i="30"/>
  <c r="CQ31" i="30" s="1"/>
  <c r="CR14" i="30" s="1"/>
  <c r="CR99" i="30" s="1"/>
  <c r="CR72" i="30" s="1"/>
  <c r="CR21" i="30" s="1"/>
  <c r="CS4" i="30" s="1"/>
  <c r="CS89" i="30" s="1"/>
  <c r="CS78" i="30" s="1"/>
  <c r="CQ71" i="30"/>
  <c r="CQ20" i="30" s="1"/>
  <c r="CR3" i="30" s="1"/>
  <c r="CR88" i="30" s="1"/>
  <c r="CQ86" i="30"/>
  <c r="CQ35" i="30" s="1"/>
  <c r="CR18" i="30" s="1"/>
  <c r="CR103" i="30" s="1"/>
  <c r="CR78" i="30"/>
  <c r="CR27" i="30" s="1"/>
  <c r="CS10" i="30" s="1"/>
  <c r="CS95" i="30" s="1"/>
  <c r="CQ74" i="30"/>
  <c r="CQ23" i="30" s="1"/>
  <c r="CR6" i="30" s="1"/>
  <c r="CR91" i="30" s="1"/>
  <c r="CQ73" i="30"/>
  <c r="CQ22" i="30" s="1"/>
  <c r="CR5" i="30" s="1"/>
  <c r="CR90" i="30" s="1"/>
  <c r="CR81" i="30" s="1"/>
  <c r="CQ30" i="30"/>
  <c r="CR13" i="30" s="1"/>
  <c r="CR98" i="30" s="1"/>
  <c r="CR30" i="30" l="1"/>
  <c r="CS13" i="30" s="1"/>
  <c r="CS98" i="30" s="1"/>
  <c r="CR73" i="30"/>
  <c r="CR22" i="30" s="1"/>
  <c r="CS5" i="30" s="1"/>
  <c r="CS90" i="30" s="1"/>
  <c r="CS81" i="30" s="1"/>
  <c r="EL36" i="30"/>
  <c r="EM19" i="30" s="1"/>
  <c r="EL104" i="30"/>
  <c r="EL102" i="30"/>
  <c r="EL83" i="30" s="1"/>
  <c r="EL34" i="30"/>
  <c r="EM17" i="30" s="1"/>
  <c r="EK101" i="30"/>
  <c r="EK33" i="30"/>
  <c r="EL16" i="30" s="1"/>
  <c r="EK100" i="30"/>
  <c r="EK79" i="30" s="1"/>
  <c r="EK28" i="30" s="1"/>
  <c r="EL11" i="30" s="1"/>
  <c r="EL96" i="30" s="1"/>
  <c r="EK32" i="30"/>
  <c r="EL15" i="30" s="1"/>
  <c r="EL26" i="30"/>
  <c r="EM9" i="30" s="1"/>
  <c r="EL94" i="30"/>
  <c r="EK93" i="30"/>
  <c r="EK25" i="30"/>
  <c r="EL8" i="30" s="1"/>
  <c r="CR86" i="30"/>
  <c r="CR35" i="30" s="1"/>
  <c r="CS18" i="30" s="1"/>
  <c r="CS103" i="30" s="1"/>
  <c r="CR80" i="30"/>
  <c r="CR29" i="30" s="1"/>
  <c r="CS12" i="30" s="1"/>
  <c r="CS97" i="30" s="1"/>
  <c r="CR82" i="30"/>
  <c r="CR31" i="30" s="1"/>
  <c r="CS14" i="30" s="1"/>
  <c r="CS99" i="30" s="1"/>
  <c r="CS72" i="30" s="1"/>
  <c r="CS21" i="30" s="1"/>
  <c r="CT4" i="30" s="1"/>
  <c r="CR74" i="30"/>
  <c r="CR23" i="30" s="1"/>
  <c r="CS6" i="30" s="1"/>
  <c r="CS91" i="30" s="1"/>
  <c r="CR71" i="30"/>
  <c r="CR20" i="30" s="1"/>
  <c r="CS3" i="30" s="1"/>
  <c r="CS88" i="30" s="1"/>
  <c r="CR75" i="30"/>
  <c r="CR24" i="30" s="1"/>
  <c r="CS7" i="30" s="1"/>
  <c r="CS92" i="30" s="1"/>
  <c r="CS27" i="30"/>
  <c r="CT10" i="30" s="1"/>
  <c r="CS30" i="30" l="1"/>
  <c r="CT13" i="30" s="1"/>
  <c r="CT98" i="30" s="1"/>
  <c r="CS74" i="30"/>
  <c r="CS23" i="30" s="1"/>
  <c r="CT6" i="30" s="1"/>
  <c r="EM36" i="30"/>
  <c r="EN19" i="30" s="1"/>
  <c r="EM104" i="30"/>
  <c r="EM34" i="30"/>
  <c r="EN17" i="30" s="1"/>
  <c r="EM102" i="30"/>
  <c r="EM83" i="30" s="1"/>
  <c r="EL101" i="30"/>
  <c r="EL33" i="30"/>
  <c r="EM16" i="30" s="1"/>
  <c r="EL100" i="30"/>
  <c r="EL79" i="30" s="1"/>
  <c r="EL28" i="30" s="1"/>
  <c r="EM11" i="30" s="1"/>
  <c r="EM96" i="30" s="1"/>
  <c r="EL32" i="30"/>
  <c r="EM15" i="30" s="1"/>
  <c r="CS75" i="30"/>
  <c r="CS24" i="30" s="1"/>
  <c r="CT7" i="30" s="1"/>
  <c r="N282" i="30" s="1"/>
  <c r="CS71" i="30"/>
  <c r="CS20" i="30" s="1"/>
  <c r="CT3" i="30" s="1"/>
  <c r="N278" i="30" s="1"/>
  <c r="EM26" i="30"/>
  <c r="EN9" i="30" s="1"/>
  <c r="EM94" i="30"/>
  <c r="EL93" i="30"/>
  <c r="EL25" i="30"/>
  <c r="EM8" i="30" s="1"/>
  <c r="CS80" i="30"/>
  <c r="CS29" i="30" s="1"/>
  <c r="CT12" i="30" s="1"/>
  <c r="N285" i="30"/>
  <c r="CT95" i="30"/>
  <c r="CS86" i="30"/>
  <c r="CS35" i="30" s="1"/>
  <c r="CT18" i="30" s="1"/>
  <c r="CS82" i="30"/>
  <c r="CS31" i="30" s="1"/>
  <c r="CT14" i="30" s="1"/>
  <c r="CT89" i="30"/>
  <c r="N279" i="30"/>
  <c r="CS73" i="30"/>
  <c r="CS22" i="30" s="1"/>
  <c r="CT5" i="30" s="1"/>
  <c r="N288" i="30" l="1"/>
  <c r="N281" i="30"/>
  <c r="CT91" i="30"/>
  <c r="CT82" i="30" s="1"/>
  <c r="CT31" i="30" s="1"/>
  <c r="CU14" i="30" s="1"/>
  <c r="CU99" i="30" s="1"/>
  <c r="CU72" i="30" s="1"/>
  <c r="EN104" i="30"/>
  <c r="EN36" i="30"/>
  <c r="EO19" i="30" s="1"/>
  <c r="EN102" i="30"/>
  <c r="EN83" i="30" s="1"/>
  <c r="EN34" i="30"/>
  <c r="EO17" i="30" s="1"/>
  <c r="EM33" i="30"/>
  <c r="EN16" i="30" s="1"/>
  <c r="EM101" i="30"/>
  <c r="EM100" i="30"/>
  <c r="EM79" i="30" s="1"/>
  <c r="EM28" i="30" s="1"/>
  <c r="EN11" i="30" s="1"/>
  <c r="EN96" i="30" s="1"/>
  <c r="EM32" i="30"/>
  <c r="EN15" i="30" s="1"/>
  <c r="CT88" i="30"/>
  <c r="EN94" i="30"/>
  <c r="EN26" i="30"/>
  <c r="EO9" i="30" s="1"/>
  <c r="CT92" i="30"/>
  <c r="EM25" i="30"/>
  <c r="EN8" i="30" s="1"/>
  <c r="EM93" i="30"/>
  <c r="N280" i="30"/>
  <c r="CT90" i="30"/>
  <c r="N293" i="30"/>
  <c r="CT103" i="30"/>
  <c r="N287" i="30"/>
  <c r="CT97" i="30"/>
  <c r="CT78" i="30"/>
  <c r="CT27" i="30" s="1"/>
  <c r="CU10" i="30" s="1"/>
  <c r="CU95" i="30" s="1"/>
  <c r="CT99" i="30"/>
  <c r="CT72" i="30" s="1"/>
  <c r="CT21" i="30" s="1"/>
  <c r="CU4" i="30" s="1"/>
  <c r="CU89" i="30" s="1"/>
  <c r="N289" i="30"/>
  <c r="N277" i="30" l="1"/>
  <c r="EO104" i="30"/>
  <c r="EO36" i="30"/>
  <c r="EP19" i="30" s="1"/>
  <c r="T255" i="30" s="1"/>
  <c r="EO34" i="30"/>
  <c r="EP17" i="30" s="1"/>
  <c r="T245" i="30" s="1"/>
  <c r="EO102" i="30"/>
  <c r="EO83" i="30" s="1"/>
  <c r="EN33" i="30"/>
  <c r="EO16" i="30" s="1"/>
  <c r="EN101" i="30"/>
  <c r="EN100" i="30"/>
  <c r="EN79" i="30" s="1"/>
  <c r="EN28" i="30" s="1"/>
  <c r="EO11" i="30" s="1"/>
  <c r="EO96" i="30" s="1"/>
  <c r="EN32" i="30"/>
  <c r="EO15" i="30" s="1"/>
  <c r="CT86" i="30"/>
  <c r="CT35" i="30" s="1"/>
  <c r="CU18" i="30" s="1"/>
  <c r="CU103" i="30" s="1"/>
  <c r="CT71" i="30"/>
  <c r="CT20" i="30" s="1"/>
  <c r="CU3" i="30" s="1"/>
  <c r="CU88" i="30" s="1"/>
  <c r="EO26" i="30"/>
  <c r="EP9" i="30" s="1"/>
  <c r="T205" i="30" s="1"/>
  <c r="EO94" i="30"/>
  <c r="EN93" i="30"/>
  <c r="EN25" i="30"/>
  <c r="EO8" i="30" s="1"/>
  <c r="CT80" i="30"/>
  <c r="CT29" i="30" s="1"/>
  <c r="CU12" i="30" s="1"/>
  <c r="CU97" i="30" s="1"/>
  <c r="CU21" i="30"/>
  <c r="CV4" i="30" s="1"/>
  <c r="N180" i="30" s="1"/>
  <c r="CU78" i="30"/>
  <c r="CU27" i="30" s="1"/>
  <c r="CV10" i="30" s="1"/>
  <c r="N210" i="30" s="1"/>
  <c r="CT73" i="30"/>
  <c r="CT22" i="30" s="1"/>
  <c r="CU5" i="30" s="1"/>
  <c r="CU90" i="30" s="1"/>
  <c r="CT81" i="30"/>
  <c r="CT30" i="30" s="1"/>
  <c r="CU13" i="30" s="1"/>
  <c r="CU98" i="30" s="1"/>
  <c r="CU73" i="30" s="1"/>
  <c r="CT74" i="30"/>
  <c r="CT23" i="30" s="1"/>
  <c r="CU6" i="30" s="1"/>
  <c r="CU91" i="30" s="1"/>
  <c r="CT75" i="30"/>
  <c r="CT24" i="30" s="1"/>
  <c r="CU7" i="30" s="1"/>
  <c r="CU92" i="30" s="1"/>
  <c r="CV89" i="30" l="1"/>
  <c r="CV78" i="30" s="1"/>
  <c r="CV27" i="30" s="1"/>
  <c r="CW10" i="30" s="1"/>
  <c r="CW95" i="30" s="1"/>
  <c r="CU80" i="30"/>
  <c r="CU29" i="30" s="1"/>
  <c r="CV12" i="30" s="1"/>
  <c r="N220" i="30" s="1"/>
  <c r="CU22" i="30"/>
  <c r="CV5" i="30" s="1"/>
  <c r="N185" i="30" s="1"/>
  <c r="EP36" i="30"/>
  <c r="EQ19" i="30" s="1"/>
  <c r="EP104" i="30"/>
  <c r="EP102" i="30"/>
  <c r="EP83" i="30" s="1"/>
  <c r="EP34" i="30"/>
  <c r="EQ17" i="30" s="1"/>
  <c r="EO101" i="30"/>
  <c r="EO33" i="30"/>
  <c r="EP16" i="30" s="1"/>
  <c r="T240" i="30" s="1"/>
  <c r="EO100" i="30"/>
  <c r="EO79" i="30" s="1"/>
  <c r="EO28" i="30" s="1"/>
  <c r="EP11" i="30" s="1"/>
  <c r="T215" i="30" s="1"/>
  <c r="EO32" i="30"/>
  <c r="EP15" i="30" s="1"/>
  <c r="T235" i="30" s="1"/>
  <c r="EP94" i="30"/>
  <c r="EP26" i="30"/>
  <c r="EQ9" i="30" s="1"/>
  <c r="CU82" i="30"/>
  <c r="CU31" i="30" s="1"/>
  <c r="CV14" i="30" s="1"/>
  <c r="N230" i="30" s="1"/>
  <c r="EO93" i="30"/>
  <c r="EO25" i="30"/>
  <c r="EP8" i="30" s="1"/>
  <c r="T200" i="30" s="1"/>
  <c r="CU71" i="30"/>
  <c r="CU20" i="30" s="1"/>
  <c r="CV3" i="30" s="1"/>
  <c r="N175" i="30" s="1"/>
  <c r="CU74" i="30"/>
  <c r="CU23" i="30" s="1"/>
  <c r="CV6" i="30" s="1"/>
  <c r="N190" i="30" s="1"/>
  <c r="CU81" i="30"/>
  <c r="CU30" i="30" s="1"/>
  <c r="CV13" i="30" s="1"/>
  <c r="N225" i="30" s="1"/>
  <c r="CV95" i="30"/>
  <c r="CU86" i="30"/>
  <c r="CU35" i="30" s="1"/>
  <c r="CV18" i="30" s="1"/>
  <c r="N250" i="30" s="1"/>
  <c r="CU75" i="30"/>
  <c r="CU24" i="30" s="1"/>
  <c r="CV7" i="30" s="1"/>
  <c r="N195" i="30" s="1"/>
  <c r="CV90" i="30" l="1"/>
  <c r="CV81" i="30" s="1"/>
  <c r="CV30" i="30" s="1"/>
  <c r="CW13" i="30" s="1"/>
  <c r="CW98" i="30" s="1"/>
  <c r="CV97" i="30"/>
  <c r="CV99" i="30"/>
  <c r="CV72" i="30" s="1"/>
  <c r="CV21" i="30" s="1"/>
  <c r="CW4" i="30" s="1"/>
  <c r="CW89" i="30" s="1"/>
  <c r="CW78" i="30" s="1"/>
  <c r="CW27" i="30" s="1"/>
  <c r="CX10" i="30" s="1"/>
  <c r="CX95" i="30" s="1"/>
  <c r="EQ36" i="30"/>
  <c r="ER19" i="30" s="1"/>
  <c r="EQ104" i="30"/>
  <c r="EP96" i="30"/>
  <c r="EQ34" i="30"/>
  <c r="ER17" i="30" s="1"/>
  <c r="EQ102" i="30"/>
  <c r="EQ83" i="30" s="1"/>
  <c r="EP101" i="30"/>
  <c r="EP33" i="30"/>
  <c r="EQ16" i="30" s="1"/>
  <c r="EP100" i="30"/>
  <c r="EP79" i="30" s="1"/>
  <c r="EP28" i="30" s="1"/>
  <c r="EQ11" i="30" s="1"/>
  <c r="EQ96" i="30" s="1"/>
  <c r="EP32" i="30"/>
  <c r="EQ15" i="30" s="1"/>
  <c r="EQ26" i="30"/>
  <c r="ER9" i="30" s="1"/>
  <c r="EQ94" i="30"/>
  <c r="EP93" i="30"/>
  <c r="EP25" i="30"/>
  <c r="EQ8" i="30" s="1"/>
  <c r="CV92" i="30"/>
  <c r="CV98" i="30"/>
  <c r="CV91" i="30"/>
  <c r="CV88" i="30"/>
  <c r="CV103" i="30"/>
  <c r="CV73" i="30" l="1"/>
  <c r="CV22" i="30" s="1"/>
  <c r="CW5" i="30" s="1"/>
  <c r="CW90" i="30" s="1"/>
  <c r="CW81" i="30" s="1"/>
  <c r="CW30" i="30" s="1"/>
  <c r="CX13" i="30" s="1"/>
  <c r="CX98" i="30" s="1"/>
  <c r="CV74" i="30"/>
  <c r="CV23" i="30" s="1"/>
  <c r="CW6" i="30" s="1"/>
  <c r="CW91" i="30" s="1"/>
  <c r="CW82" i="30" s="1"/>
  <c r="ER104" i="30"/>
  <c r="ER36" i="30"/>
  <c r="ES19" i="30" s="1"/>
  <c r="ER34" i="30"/>
  <c r="ES17" i="30" s="1"/>
  <c r="ER102" i="30"/>
  <c r="ER83" i="30" s="1"/>
  <c r="EQ101" i="30"/>
  <c r="EQ33" i="30"/>
  <c r="ER16" i="30" s="1"/>
  <c r="EQ100" i="30"/>
  <c r="EQ79" i="30" s="1"/>
  <c r="EQ28" i="30" s="1"/>
  <c r="ER11" i="30" s="1"/>
  <c r="ER96" i="30" s="1"/>
  <c r="EQ32" i="30"/>
  <c r="ER15" i="30" s="1"/>
  <c r="ER26" i="30"/>
  <c r="ES9" i="30" s="1"/>
  <c r="ER94" i="30"/>
  <c r="EQ93" i="30"/>
  <c r="EQ25" i="30"/>
  <c r="ER8" i="30" s="1"/>
  <c r="CV71" i="30"/>
  <c r="CV20" i="30" s="1"/>
  <c r="CW3" i="30" s="1"/>
  <c r="CW88" i="30" s="1"/>
  <c r="CV86" i="30"/>
  <c r="CV35" i="30" s="1"/>
  <c r="CW18" i="30" s="1"/>
  <c r="CW103" i="30" s="1"/>
  <c r="CV82" i="30"/>
  <c r="CV31" i="30" s="1"/>
  <c r="CW14" i="30" s="1"/>
  <c r="CW99" i="30" s="1"/>
  <c r="CW72" i="30" s="1"/>
  <c r="CW21" i="30" s="1"/>
  <c r="CX4" i="30" s="1"/>
  <c r="CX89" i="30" s="1"/>
  <c r="CV80" i="30"/>
  <c r="CV29" i="30" s="1"/>
  <c r="CW12" i="30" s="1"/>
  <c r="CW97" i="30" s="1"/>
  <c r="CV75" i="30"/>
  <c r="CV24" i="30" s="1"/>
  <c r="CW7" i="30" s="1"/>
  <c r="CW92" i="30" s="1"/>
  <c r="CW71" i="30" l="1"/>
  <c r="CW20" i="30" s="1"/>
  <c r="CX3" i="30" s="1"/>
  <c r="CX88" i="30" s="1"/>
  <c r="CW75" i="30"/>
  <c r="CW24" i="30" s="1"/>
  <c r="CX7" i="30" s="1"/>
  <c r="CX92" i="30" s="1"/>
  <c r="ES104" i="30"/>
  <c r="ES36" i="30"/>
  <c r="ET19" i="30" s="1"/>
  <c r="ES102" i="30"/>
  <c r="ES83" i="30" s="1"/>
  <c r="ES34" i="30"/>
  <c r="ET17" i="30" s="1"/>
  <c r="ER101" i="30"/>
  <c r="ER33" i="30"/>
  <c r="ES16" i="30" s="1"/>
  <c r="ER100" i="30"/>
  <c r="ER79" i="30" s="1"/>
  <c r="ER28" i="30" s="1"/>
  <c r="ES11" i="30" s="1"/>
  <c r="ES96" i="30" s="1"/>
  <c r="ER32" i="30"/>
  <c r="ES15" i="30" s="1"/>
  <c r="ES26" i="30"/>
  <c r="ET9" i="30" s="1"/>
  <c r="ES94" i="30"/>
  <c r="ER93" i="30"/>
  <c r="ER25" i="30"/>
  <c r="ES8" i="30" s="1"/>
  <c r="CW86" i="30"/>
  <c r="CW35" i="30" s="1"/>
  <c r="CX18" i="30" s="1"/>
  <c r="CX103" i="30" s="1"/>
  <c r="CW80" i="30"/>
  <c r="CW29" i="30" s="1"/>
  <c r="CX12" i="30" s="1"/>
  <c r="CX97" i="30" s="1"/>
  <c r="CX78" i="30"/>
  <c r="CX27" i="30" s="1"/>
  <c r="CY10" i="30" s="1"/>
  <c r="CY95" i="30" s="1"/>
  <c r="CW74" i="30"/>
  <c r="CW23" i="30" s="1"/>
  <c r="CX6" i="30" s="1"/>
  <c r="CX91" i="30" s="1"/>
  <c r="CW31" i="30"/>
  <c r="CX14" i="30" s="1"/>
  <c r="CX99" i="30" s="1"/>
  <c r="CX72" i="30" s="1"/>
  <c r="CX21" i="30" s="1"/>
  <c r="CY4" i="30" s="1"/>
  <c r="CY89" i="30" s="1"/>
  <c r="CW73" i="30"/>
  <c r="CW22" i="30" s="1"/>
  <c r="CX5" i="30" s="1"/>
  <c r="CX90" i="30" s="1"/>
  <c r="ET104" i="30" l="1"/>
  <c r="ET36" i="30"/>
  <c r="EU19" i="30" s="1"/>
  <c r="ET34" i="30"/>
  <c r="EU17" i="30" s="1"/>
  <c r="ET102" i="30"/>
  <c r="ET83" i="30" s="1"/>
  <c r="ES33" i="30"/>
  <c r="ET16" i="30" s="1"/>
  <c r="ES101" i="30"/>
  <c r="ES100" i="30"/>
  <c r="ES79" i="30" s="1"/>
  <c r="ES28" i="30" s="1"/>
  <c r="ET11" i="30" s="1"/>
  <c r="ET96" i="30" s="1"/>
  <c r="ES32" i="30"/>
  <c r="ET15" i="30" s="1"/>
  <c r="ET94" i="30"/>
  <c r="ET26" i="30"/>
  <c r="EU9" i="30" s="1"/>
  <c r="ES25" i="30"/>
  <c r="ET8" i="30" s="1"/>
  <c r="ES93" i="30"/>
  <c r="CX73" i="30"/>
  <c r="CX22" i="30" s="1"/>
  <c r="CY5" i="30" s="1"/>
  <c r="CY90" i="30" s="1"/>
  <c r="CX81" i="30"/>
  <c r="CX30" i="30" s="1"/>
  <c r="CY13" i="30" s="1"/>
  <c r="CY98" i="30" s="1"/>
  <c r="CX74" i="30"/>
  <c r="CX23" i="30" s="1"/>
  <c r="CY6" i="30" s="1"/>
  <c r="CY91" i="30" s="1"/>
  <c r="CX75" i="30"/>
  <c r="CX24" i="30" s="1"/>
  <c r="CY7" i="30" s="1"/>
  <c r="CY92" i="30" s="1"/>
  <c r="CX71" i="30"/>
  <c r="CX20" i="30" s="1"/>
  <c r="CY3" i="30" s="1"/>
  <c r="CY88" i="30" s="1"/>
  <c r="CY78" i="30"/>
  <c r="CY27" i="30" s="1"/>
  <c r="CZ10" i="30" s="1"/>
  <c r="CZ95" i="30" s="1"/>
  <c r="CX86" i="30"/>
  <c r="CX35" i="30" s="1"/>
  <c r="CY18" i="30" s="1"/>
  <c r="CY103" i="30" s="1"/>
  <c r="CX82" i="30"/>
  <c r="CX31" i="30" s="1"/>
  <c r="CY14" i="30" s="1"/>
  <c r="CY99" i="30" s="1"/>
  <c r="CY72" i="30" s="1"/>
  <c r="CY21" i="30" s="1"/>
  <c r="CZ4" i="30" s="1"/>
  <c r="CZ89" i="30" s="1"/>
  <c r="CX80" i="30"/>
  <c r="CX29" i="30" s="1"/>
  <c r="CY12" i="30" s="1"/>
  <c r="CY97" i="30" s="1"/>
  <c r="CY71" i="30" l="1"/>
  <c r="CY20" i="30" s="1"/>
  <c r="CZ3" i="30" s="1"/>
  <c r="CZ88" i="30" s="1"/>
  <c r="EU104" i="30"/>
  <c r="EU36" i="30"/>
  <c r="EV19" i="30" s="1"/>
  <c r="EU34" i="30"/>
  <c r="EV17" i="30" s="1"/>
  <c r="EU102" i="30"/>
  <c r="EU83" i="30" s="1"/>
  <c r="ET101" i="30"/>
  <c r="ET33" i="30"/>
  <c r="EU16" i="30" s="1"/>
  <c r="ET100" i="30"/>
  <c r="ET79" i="30" s="1"/>
  <c r="ET28" i="30" s="1"/>
  <c r="EU11" i="30" s="1"/>
  <c r="EU96" i="30" s="1"/>
  <c r="ET32" i="30"/>
  <c r="EU15" i="30" s="1"/>
  <c r="CY82" i="30"/>
  <c r="CY31" i="30" s="1"/>
  <c r="CZ14" i="30" s="1"/>
  <c r="CZ99" i="30" s="1"/>
  <c r="CZ72" i="30" s="1"/>
  <c r="CZ21" i="30" s="1"/>
  <c r="DA4" i="30" s="1"/>
  <c r="DA89" i="30" s="1"/>
  <c r="DA78" i="30" s="1"/>
  <c r="EU94" i="30"/>
  <c r="EU26" i="30"/>
  <c r="EV9" i="30" s="1"/>
  <c r="ET93" i="30"/>
  <c r="ET25" i="30"/>
  <c r="EU8" i="30" s="1"/>
  <c r="CY73" i="30"/>
  <c r="CY22" i="30" s="1"/>
  <c r="CZ5" i="30" s="1"/>
  <c r="CZ90" i="30" s="1"/>
  <c r="CZ81" i="30" s="1"/>
  <c r="CZ78" i="30"/>
  <c r="CZ27" i="30" s="1"/>
  <c r="DA10" i="30" s="1"/>
  <c r="DA95" i="30" s="1"/>
  <c r="CY86" i="30"/>
  <c r="CY35" i="30" s="1"/>
  <c r="CZ18" i="30" s="1"/>
  <c r="CZ103" i="30" s="1"/>
  <c r="CY80" i="30"/>
  <c r="CY29" i="30" s="1"/>
  <c r="CZ12" i="30" s="1"/>
  <c r="CZ97" i="30" s="1"/>
  <c r="CY75" i="30"/>
  <c r="CY24" i="30" s="1"/>
  <c r="CZ7" i="30" s="1"/>
  <c r="CZ92" i="30" s="1"/>
  <c r="CY81" i="30"/>
  <c r="CY30" i="30" s="1"/>
  <c r="CZ13" i="30" s="1"/>
  <c r="CZ98" i="30" s="1"/>
  <c r="CY74" i="30"/>
  <c r="CY23" i="30" s="1"/>
  <c r="CZ6" i="30" s="1"/>
  <c r="CZ91" i="30" s="1"/>
  <c r="EV36" i="30" l="1"/>
  <c r="EW19" i="30" s="1"/>
  <c r="EV104" i="30"/>
  <c r="EV102" i="30"/>
  <c r="EV83" i="30" s="1"/>
  <c r="EV34" i="30"/>
  <c r="EW17" i="30" s="1"/>
  <c r="EU101" i="30"/>
  <c r="EU33" i="30"/>
  <c r="EV16" i="30" s="1"/>
  <c r="EU100" i="30"/>
  <c r="EU79" i="30" s="1"/>
  <c r="EU28" i="30" s="1"/>
  <c r="EV11" i="30" s="1"/>
  <c r="EV96" i="30" s="1"/>
  <c r="EU32" i="30"/>
  <c r="EV15" i="30" s="1"/>
  <c r="CZ80" i="30"/>
  <c r="CZ29" i="30" s="1"/>
  <c r="DA12" i="30" s="1"/>
  <c r="DA97" i="30" s="1"/>
  <c r="CZ86" i="30"/>
  <c r="CZ35" i="30" s="1"/>
  <c r="DA18" i="30" s="1"/>
  <c r="DA103" i="30" s="1"/>
  <c r="CZ73" i="30"/>
  <c r="CZ22" i="30" s="1"/>
  <c r="DA5" i="30" s="1"/>
  <c r="DA90" i="30" s="1"/>
  <c r="DA81" i="30" s="1"/>
  <c r="CZ74" i="30"/>
  <c r="CZ23" i="30" s="1"/>
  <c r="DA6" i="30" s="1"/>
  <c r="DA91" i="30" s="1"/>
  <c r="EV26" i="30"/>
  <c r="EW9" i="30" s="1"/>
  <c r="EV94" i="30"/>
  <c r="EU25" i="30"/>
  <c r="EV8" i="30" s="1"/>
  <c r="EU93" i="30"/>
  <c r="CZ71" i="30"/>
  <c r="CZ20" i="30" s="1"/>
  <c r="DA3" i="30" s="1"/>
  <c r="DA88" i="30" s="1"/>
  <c r="CZ82" i="30"/>
  <c r="CZ31" i="30" s="1"/>
  <c r="DA14" i="30" s="1"/>
  <c r="DA99" i="30" s="1"/>
  <c r="DA72" i="30" s="1"/>
  <c r="DA21" i="30" s="1"/>
  <c r="DB4" i="30" s="1"/>
  <c r="CZ75" i="30"/>
  <c r="CZ24" i="30" s="1"/>
  <c r="DA7" i="30" s="1"/>
  <c r="DA92" i="30" s="1"/>
  <c r="CZ30" i="30"/>
  <c r="DA13" i="30" s="1"/>
  <c r="DA98" i="30" s="1"/>
  <c r="DA27" i="30"/>
  <c r="DB10" i="30" s="1"/>
  <c r="O180" i="30" l="1"/>
  <c r="B157" i="30"/>
  <c r="K157" i="30" s="1"/>
  <c r="O210" i="30"/>
  <c r="B163" i="30"/>
  <c r="K163" i="30" s="1"/>
  <c r="EW104" i="30"/>
  <c r="EW36" i="30"/>
  <c r="EX19" i="30" s="1"/>
  <c r="U255" i="30" s="1"/>
  <c r="EW34" i="30"/>
  <c r="EX17" i="30" s="1"/>
  <c r="U245" i="30" s="1"/>
  <c r="EW102" i="30"/>
  <c r="EW83" i="30" s="1"/>
  <c r="EV101" i="30"/>
  <c r="EV33" i="30"/>
  <c r="EW16" i="30" s="1"/>
  <c r="EV100" i="30"/>
  <c r="EV79" i="30" s="1"/>
  <c r="EV28" i="30" s="1"/>
  <c r="EW11" i="30" s="1"/>
  <c r="EW96" i="30" s="1"/>
  <c r="EV32" i="30"/>
  <c r="EW15" i="30" s="1"/>
  <c r="DA75" i="30"/>
  <c r="DA24" i="30" s="1"/>
  <c r="DB7" i="30" s="1"/>
  <c r="EW26" i="30"/>
  <c r="EX9" i="30" s="1"/>
  <c r="U205" i="30" s="1"/>
  <c r="EW94" i="30"/>
  <c r="EV25" i="30"/>
  <c r="EW8" i="30" s="1"/>
  <c r="EV93" i="30"/>
  <c r="DA73" i="30"/>
  <c r="DA22" i="30" s="1"/>
  <c r="DB5" i="30" s="1"/>
  <c r="DA80" i="30"/>
  <c r="DA29" i="30" s="1"/>
  <c r="DB12" i="30" s="1"/>
  <c r="DA74" i="30"/>
  <c r="DA23" i="30" s="1"/>
  <c r="DB6" i="30" s="1"/>
  <c r="DB89" i="30"/>
  <c r="O279" i="30"/>
  <c r="S279" i="30" s="1"/>
  <c r="DA86" i="30"/>
  <c r="DA35" i="30" s="1"/>
  <c r="DB18" i="30" s="1"/>
  <c r="DB95" i="30"/>
  <c r="O285" i="30"/>
  <c r="S285" i="30" s="1"/>
  <c r="DA71" i="30"/>
  <c r="DA20" i="30" s="1"/>
  <c r="DB3" i="30" s="1"/>
  <c r="DA30" i="30"/>
  <c r="DB13" i="30" s="1"/>
  <c r="DA82" i="30"/>
  <c r="DA31" i="30" s="1"/>
  <c r="DB14" i="30" s="1"/>
  <c r="O250" i="30" l="1"/>
  <c r="B171" i="30"/>
  <c r="K171" i="30" s="1"/>
  <c r="O220" i="30"/>
  <c r="B165" i="30"/>
  <c r="K165" i="30" s="1"/>
  <c r="O175" i="30"/>
  <c r="B156" i="30"/>
  <c r="O190" i="30"/>
  <c r="B159" i="30"/>
  <c r="K159" i="30" s="1"/>
  <c r="O230" i="30"/>
  <c r="B167" i="30"/>
  <c r="K167" i="30" s="1"/>
  <c r="O185" i="30"/>
  <c r="B158" i="30"/>
  <c r="K158" i="30" s="1"/>
  <c r="O225" i="30"/>
  <c r="B166" i="30"/>
  <c r="K166" i="30" s="1"/>
  <c r="O195" i="30"/>
  <c r="B160" i="30"/>
  <c r="K160" i="30" s="1"/>
  <c r="EX104" i="30"/>
  <c r="EX36" i="30"/>
  <c r="EY19" i="30" s="1"/>
  <c r="EX102" i="30"/>
  <c r="EX83" i="30" s="1"/>
  <c r="EX34" i="30"/>
  <c r="EY17" i="30" s="1"/>
  <c r="EW101" i="30"/>
  <c r="EW33" i="30"/>
  <c r="EX16" i="30" s="1"/>
  <c r="U240" i="30" s="1"/>
  <c r="EW100" i="30"/>
  <c r="EW79" i="30" s="1"/>
  <c r="EW28" i="30" s="1"/>
  <c r="EX11" i="30" s="1"/>
  <c r="U215" i="30" s="1"/>
  <c r="EW32" i="30"/>
  <c r="EX15" i="30" s="1"/>
  <c r="U235" i="30" s="1"/>
  <c r="DB97" i="30"/>
  <c r="O287" i="30"/>
  <c r="S287" i="30" s="1"/>
  <c r="O280" i="30"/>
  <c r="S280" i="30" s="1"/>
  <c r="DB90" i="30"/>
  <c r="DB81" i="30" s="1"/>
  <c r="DB30" i="30" s="1"/>
  <c r="DC13" i="30" s="1"/>
  <c r="DC98" i="30" s="1"/>
  <c r="EX94" i="30"/>
  <c r="EX26" i="30"/>
  <c r="EY9" i="30" s="1"/>
  <c r="EW25" i="30"/>
  <c r="EX8" i="30" s="1"/>
  <c r="U200" i="30" s="1"/>
  <c r="EW93" i="30"/>
  <c r="DB91" i="30"/>
  <c r="O281" i="30"/>
  <c r="S281" i="30" s="1"/>
  <c r="O288" i="30"/>
  <c r="S288" i="30" s="1"/>
  <c r="DB98" i="30"/>
  <c r="O278" i="30"/>
  <c r="DB88" i="30"/>
  <c r="O282" i="30"/>
  <c r="S282" i="30" s="1"/>
  <c r="DB92" i="30"/>
  <c r="DB78" i="30"/>
  <c r="DB27" i="30" s="1"/>
  <c r="DC10" i="30" s="1"/>
  <c r="DC95" i="30" s="1"/>
  <c r="O289" i="30"/>
  <c r="S289" i="30" s="1"/>
  <c r="DB99" i="30"/>
  <c r="DB72" i="30" s="1"/>
  <c r="DB21" i="30" s="1"/>
  <c r="DC4" i="30" s="1"/>
  <c r="DC89" i="30" s="1"/>
  <c r="DB103" i="30"/>
  <c r="O293" i="30"/>
  <c r="S293" i="30" s="1"/>
  <c r="O277" i="30" l="1"/>
  <c r="S277" i="30" s="1"/>
  <c r="J139" i="30"/>
  <c r="EX96" i="30"/>
  <c r="EY104" i="30"/>
  <c r="EY36" i="30"/>
  <c r="EZ19" i="30" s="1"/>
  <c r="EY102" i="30"/>
  <c r="EY83" i="30" s="1"/>
  <c r="EY34" i="30"/>
  <c r="EZ17" i="30" s="1"/>
  <c r="DB82" i="30"/>
  <c r="DB31" i="30" s="1"/>
  <c r="DC14" i="30" s="1"/>
  <c r="DC99" i="30" s="1"/>
  <c r="DC72" i="30" s="1"/>
  <c r="DC21" i="30" s="1"/>
  <c r="DD4" i="30" s="1"/>
  <c r="DD89" i="30" s="1"/>
  <c r="EX33" i="30"/>
  <c r="EY16" i="30" s="1"/>
  <c r="EX101" i="30"/>
  <c r="EX100" i="30"/>
  <c r="EX79" i="30" s="1"/>
  <c r="EX28" i="30" s="1"/>
  <c r="EY11" i="30" s="1"/>
  <c r="EY96" i="30" s="1"/>
  <c r="EX32" i="30"/>
  <c r="EY15" i="30" s="1"/>
  <c r="DB71" i="30"/>
  <c r="DB20" i="30" s="1"/>
  <c r="DC3" i="30" s="1"/>
  <c r="DC88" i="30" s="1"/>
  <c r="DB74" i="30"/>
  <c r="DB23" i="30" s="1"/>
  <c r="DC6" i="30" s="1"/>
  <c r="DC91" i="30" s="1"/>
  <c r="DC82" i="30" s="1"/>
  <c r="EY94" i="30"/>
  <c r="EY26" i="30"/>
  <c r="EZ9" i="30" s="1"/>
  <c r="EX93" i="30"/>
  <c r="EX25" i="30"/>
  <c r="EY8" i="30" s="1"/>
  <c r="DB86" i="30"/>
  <c r="DB35" i="30" s="1"/>
  <c r="DC18" i="30" s="1"/>
  <c r="DC103" i="30" s="1"/>
  <c r="DB73" i="30"/>
  <c r="DB22" i="30" s="1"/>
  <c r="DC5" i="30" s="1"/>
  <c r="DC90" i="30" s="1"/>
  <c r="DB75" i="30"/>
  <c r="DB24" i="30" s="1"/>
  <c r="DC7" i="30" s="1"/>
  <c r="DC92" i="30" s="1"/>
  <c r="DB80" i="30"/>
  <c r="DB29" i="30" s="1"/>
  <c r="DC12" i="30" s="1"/>
  <c r="DC97" i="30" s="1"/>
  <c r="DC78" i="30"/>
  <c r="DC27" i="30" s="1"/>
  <c r="DD10" i="30" s="1"/>
  <c r="DD95" i="30" s="1"/>
  <c r="K156" i="30"/>
  <c r="S278" i="30"/>
  <c r="DC31" i="30" l="1"/>
  <c r="DD14" i="30" s="1"/>
  <c r="DD99" i="30" s="1"/>
  <c r="DD72" i="30" s="1"/>
  <c r="DD21" i="30" s="1"/>
  <c r="DE4" i="30" s="1"/>
  <c r="DE89" i="30" s="1"/>
  <c r="DC73" i="30"/>
  <c r="DC22" i="30" s="1"/>
  <c r="DD5" i="30" s="1"/>
  <c r="DD90" i="30" s="1"/>
  <c r="DD81" i="30" s="1"/>
  <c r="EZ104" i="30"/>
  <c r="EZ36" i="30"/>
  <c r="FA19" i="30" s="1"/>
  <c r="DC80" i="30"/>
  <c r="DC29" i="30" s="1"/>
  <c r="DD12" i="30" s="1"/>
  <c r="DD97" i="30" s="1"/>
  <c r="EZ102" i="30"/>
  <c r="EZ83" i="30" s="1"/>
  <c r="EZ34" i="30"/>
  <c r="FA17" i="30" s="1"/>
  <c r="EY101" i="30"/>
  <c r="EY33" i="30"/>
  <c r="EZ16" i="30" s="1"/>
  <c r="EY100" i="30"/>
  <c r="EY79" i="30" s="1"/>
  <c r="EY28" i="30" s="1"/>
  <c r="EZ11" i="30" s="1"/>
  <c r="EZ96" i="30" s="1"/>
  <c r="EY32" i="30"/>
  <c r="EZ15" i="30" s="1"/>
  <c r="DC75" i="30"/>
  <c r="DC24" i="30" s="1"/>
  <c r="DD7" i="30" s="1"/>
  <c r="DD92" i="30" s="1"/>
  <c r="EZ26" i="30"/>
  <c r="FA9" i="30" s="1"/>
  <c r="EZ94" i="30"/>
  <c r="DC71" i="30"/>
  <c r="DC20" i="30" s="1"/>
  <c r="DD3" i="30" s="1"/>
  <c r="DD88" i="30" s="1"/>
  <c r="EY93" i="30"/>
  <c r="EY25" i="30"/>
  <c r="EZ8" i="30" s="1"/>
  <c r="DC86" i="30"/>
  <c r="DC35" i="30" s="1"/>
  <c r="DD18" i="30" s="1"/>
  <c r="DD103" i="30" s="1"/>
  <c r="DD78" i="30"/>
  <c r="DD27" i="30" s="1"/>
  <c r="DE10" i="30" s="1"/>
  <c r="DE95" i="30" s="1"/>
  <c r="DC74" i="30"/>
  <c r="DC23" i="30" s="1"/>
  <c r="DD6" i="30" s="1"/>
  <c r="DD91" i="30" s="1"/>
  <c r="DC81" i="30"/>
  <c r="DC30" i="30" s="1"/>
  <c r="DD13" i="30" s="1"/>
  <c r="DD98" i="30" s="1"/>
  <c r="DD73" i="30" l="1"/>
  <c r="DD22" i="30" s="1"/>
  <c r="DE5" i="30" s="1"/>
  <c r="DE90" i="30" s="1"/>
  <c r="DE81" i="30" s="1"/>
  <c r="FA104" i="30"/>
  <c r="FA36" i="30"/>
  <c r="FB19" i="30" s="1"/>
  <c r="FA102" i="30"/>
  <c r="FA83" i="30" s="1"/>
  <c r="FA34" i="30"/>
  <c r="FB17" i="30" s="1"/>
  <c r="EZ33" i="30"/>
  <c r="FA16" i="30" s="1"/>
  <c r="EZ101" i="30"/>
  <c r="EZ100" i="30"/>
  <c r="EZ79" i="30" s="1"/>
  <c r="EZ28" i="30" s="1"/>
  <c r="FA11" i="30" s="1"/>
  <c r="FA96" i="30" s="1"/>
  <c r="EZ32" i="30"/>
  <c r="FA15" i="30" s="1"/>
  <c r="DD80" i="30"/>
  <c r="DD29" i="30" s="1"/>
  <c r="DE12" i="30" s="1"/>
  <c r="DE97" i="30" s="1"/>
  <c r="DD74" i="30"/>
  <c r="DD23" i="30" s="1"/>
  <c r="DE6" i="30" s="1"/>
  <c r="DE91" i="30" s="1"/>
  <c r="FA26" i="30"/>
  <c r="FB9" i="30" s="1"/>
  <c r="FA94" i="30"/>
  <c r="EZ93" i="30"/>
  <c r="EZ25" i="30"/>
  <c r="FA8" i="30" s="1"/>
  <c r="DD86" i="30"/>
  <c r="DD35" i="30" s="1"/>
  <c r="DE18" i="30" s="1"/>
  <c r="DE103" i="30" s="1"/>
  <c r="DD30" i="30"/>
  <c r="DE13" i="30" s="1"/>
  <c r="DE98" i="30" s="1"/>
  <c r="DD82" i="30"/>
  <c r="DD31" i="30" s="1"/>
  <c r="DE14" i="30" s="1"/>
  <c r="DE99" i="30" s="1"/>
  <c r="DE72" i="30" s="1"/>
  <c r="DE21" i="30" s="1"/>
  <c r="DF4" i="30" s="1"/>
  <c r="DF89" i="30" s="1"/>
  <c r="DD75" i="30"/>
  <c r="DD24" i="30" s="1"/>
  <c r="DE7" i="30" s="1"/>
  <c r="DE92" i="30" s="1"/>
  <c r="DD71" i="30"/>
  <c r="DD20" i="30" s="1"/>
  <c r="DE3" i="30" s="1"/>
  <c r="DE88" i="30" s="1"/>
  <c r="DE78" i="30"/>
  <c r="DE27" i="30" s="1"/>
  <c r="DF10" i="30" s="1"/>
  <c r="DF95" i="30" s="1"/>
  <c r="DE82" i="30" l="1"/>
  <c r="DE31" i="30" s="1"/>
  <c r="DF14" i="30" s="1"/>
  <c r="DF99" i="30" s="1"/>
  <c r="DF72" i="30" s="1"/>
  <c r="DF21" i="30" s="1"/>
  <c r="DG4" i="30" s="1"/>
  <c r="DG89" i="30" s="1"/>
  <c r="DG78" i="30" s="1"/>
  <c r="DE71" i="30"/>
  <c r="DE20" i="30" s="1"/>
  <c r="DF3" i="30" s="1"/>
  <c r="DF88" i="30" s="1"/>
  <c r="FB104" i="30"/>
  <c r="FB36" i="30"/>
  <c r="FC19" i="30" s="1"/>
  <c r="FB34" i="30"/>
  <c r="FC17" i="30" s="1"/>
  <c r="FB102" i="30"/>
  <c r="FB83" i="30" s="1"/>
  <c r="FA101" i="30"/>
  <c r="FA33" i="30"/>
  <c r="FB16" i="30" s="1"/>
  <c r="FA100" i="30"/>
  <c r="FA79" i="30" s="1"/>
  <c r="FA28" i="30" s="1"/>
  <c r="FB11" i="30" s="1"/>
  <c r="FB96" i="30" s="1"/>
  <c r="FA32" i="30"/>
  <c r="FB15" i="30" s="1"/>
  <c r="FB94" i="30"/>
  <c r="FB26" i="30"/>
  <c r="FC9" i="30" s="1"/>
  <c r="FA93" i="30"/>
  <c r="FA25" i="30"/>
  <c r="FB8" i="30" s="1"/>
  <c r="DE74" i="30"/>
  <c r="DE23" i="30" s="1"/>
  <c r="DF6" i="30" s="1"/>
  <c r="DF91" i="30" s="1"/>
  <c r="DE86" i="30"/>
  <c r="DE35" i="30" s="1"/>
  <c r="DF18" i="30" s="1"/>
  <c r="DF103" i="30" s="1"/>
  <c r="DF78" i="30"/>
  <c r="DF27" i="30" s="1"/>
  <c r="DG10" i="30" s="1"/>
  <c r="DG95" i="30" s="1"/>
  <c r="DE73" i="30"/>
  <c r="DE22" i="30" s="1"/>
  <c r="DF5" i="30" s="1"/>
  <c r="DF90" i="30" s="1"/>
  <c r="DE80" i="30"/>
  <c r="DE29" i="30" s="1"/>
  <c r="DF12" i="30" s="1"/>
  <c r="DF97" i="30" s="1"/>
  <c r="DE75" i="30"/>
  <c r="DE24" i="30" s="1"/>
  <c r="DF7" i="30" s="1"/>
  <c r="DF92" i="30" s="1"/>
  <c r="DE30" i="30"/>
  <c r="DF13" i="30" s="1"/>
  <c r="DF98" i="30" s="1"/>
  <c r="FC104" i="30" l="1"/>
  <c r="FC36" i="30"/>
  <c r="FD19" i="30" s="1"/>
  <c r="FC34" i="30"/>
  <c r="FD17" i="30" s="1"/>
  <c r="FC102" i="30"/>
  <c r="FC83" i="30" s="1"/>
  <c r="FB101" i="30"/>
  <c r="FB33" i="30"/>
  <c r="FC16" i="30" s="1"/>
  <c r="FB100" i="30"/>
  <c r="FB79" i="30" s="1"/>
  <c r="FB28" i="30" s="1"/>
  <c r="FC11" i="30" s="1"/>
  <c r="FC96" i="30" s="1"/>
  <c r="FB32" i="30"/>
  <c r="FC15" i="30" s="1"/>
  <c r="DF82" i="30"/>
  <c r="DF31" i="30" s="1"/>
  <c r="DG14" i="30" s="1"/>
  <c r="DG99" i="30" s="1"/>
  <c r="DG72" i="30" s="1"/>
  <c r="DG21" i="30" s="1"/>
  <c r="DH4" i="30" s="1"/>
  <c r="DH89" i="30" s="1"/>
  <c r="DH78" i="30" s="1"/>
  <c r="DG27" i="30"/>
  <c r="DH10" i="30" s="1"/>
  <c r="DH95" i="30" s="1"/>
  <c r="FC94" i="30"/>
  <c r="FC26" i="30"/>
  <c r="FD9" i="30" s="1"/>
  <c r="FB25" i="30"/>
  <c r="FC8" i="30" s="1"/>
  <c r="FB93" i="30"/>
  <c r="DF86" i="30"/>
  <c r="DF35" i="30" s="1"/>
  <c r="DG18" i="30" s="1"/>
  <c r="DG103" i="30" s="1"/>
  <c r="DF71" i="30"/>
  <c r="DF20" i="30" s="1"/>
  <c r="DG3" i="30" s="1"/>
  <c r="DG88" i="30" s="1"/>
  <c r="DF73" i="30"/>
  <c r="DF22" i="30" s="1"/>
  <c r="DG5" i="30" s="1"/>
  <c r="DG90" i="30" s="1"/>
  <c r="DF81" i="30"/>
  <c r="DF30" i="30" s="1"/>
  <c r="DG13" i="30" s="1"/>
  <c r="DG98" i="30" s="1"/>
  <c r="DF74" i="30"/>
  <c r="DF23" i="30" s="1"/>
  <c r="DG6" i="30" s="1"/>
  <c r="DG91" i="30" s="1"/>
  <c r="DF80" i="30"/>
  <c r="DF29" i="30" s="1"/>
  <c r="DG12" i="30" s="1"/>
  <c r="DG97" i="30" s="1"/>
  <c r="DF75" i="30"/>
  <c r="DF24" i="30" s="1"/>
  <c r="DG7" i="30" s="1"/>
  <c r="DG92" i="30" s="1"/>
  <c r="FD104" i="30" l="1"/>
  <c r="FD36" i="30"/>
  <c r="FE19" i="30" s="1"/>
  <c r="DH27" i="30"/>
  <c r="DI10" i="30" s="1"/>
  <c r="DI95" i="30" s="1"/>
  <c r="FD102" i="30"/>
  <c r="FD83" i="30" s="1"/>
  <c r="FD34" i="30"/>
  <c r="FE17" i="30" s="1"/>
  <c r="FC101" i="30"/>
  <c r="FC33" i="30"/>
  <c r="FD16" i="30" s="1"/>
  <c r="DG73" i="30"/>
  <c r="DG22" i="30" s="1"/>
  <c r="DH5" i="30" s="1"/>
  <c r="DH90" i="30" s="1"/>
  <c r="DH81" i="30" s="1"/>
  <c r="FC100" i="30"/>
  <c r="FC79" i="30" s="1"/>
  <c r="FC28" i="30" s="1"/>
  <c r="FD11" i="30" s="1"/>
  <c r="FD96" i="30" s="1"/>
  <c r="FC32" i="30"/>
  <c r="FD15" i="30" s="1"/>
  <c r="DG80" i="30"/>
  <c r="DG29" i="30" s="1"/>
  <c r="DH12" i="30" s="1"/>
  <c r="DH97" i="30" s="1"/>
  <c r="FD94" i="30"/>
  <c r="FD26" i="30"/>
  <c r="FE9" i="30" s="1"/>
  <c r="FC25" i="30"/>
  <c r="FD8" i="30" s="1"/>
  <c r="FC93" i="30"/>
  <c r="DG75" i="30"/>
  <c r="DG24" i="30" s="1"/>
  <c r="DH7" i="30" s="1"/>
  <c r="DH92" i="30" s="1"/>
  <c r="DG74" i="30"/>
  <c r="DG23" i="30" s="1"/>
  <c r="DH6" i="30" s="1"/>
  <c r="DH91" i="30" s="1"/>
  <c r="DG81" i="30"/>
  <c r="DG30" i="30" s="1"/>
  <c r="DH13" i="30" s="1"/>
  <c r="DH98" i="30" s="1"/>
  <c r="DG71" i="30"/>
  <c r="DG20" i="30" s="1"/>
  <c r="DH3" i="30" s="1"/>
  <c r="DH88" i="30" s="1"/>
  <c r="DG86" i="30"/>
  <c r="DG35" i="30" s="1"/>
  <c r="DH18" i="30" s="1"/>
  <c r="DH103" i="30" s="1"/>
  <c r="DG82" i="30"/>
  <c r="DG31" i="30" s="1"/>
  <c r="DH14" i="30" s="1"/>
  <c r="DH99" i="30" s="1"/>
  <c r="DH72" i="30" s="1"/>
  <c r="DH21" i="30" s="1"/>
  <c r="DI4" i="30" s="1"/>
  <c r="DI89" i="30" s="1"/>
  <c r="FE36" i="30" l="1"/>
  <c r="FF19" i="30" s="1"/>
  <c r="V255" i="30" s="1"/>
  <c r="FE104" i="30"/>
  <c r="FE102" i="30"/>
  <c r="FE83" i="30" s="1"/>
  <c r="FE34" i="30"/>
  <c r="FF17" i="30" s="1"/>
  <c r="V245" i="30" s="1"/>
  <c r="FD33" i="30"/>
  <c r="FE16" i="30" s="1"/>
  <c r="FD101" i="30"/>
  <c r="FD100" i="30"/>
  <c r="FD79" i="30" s="1"/>
  <c r="FD28" i="30" s="1"/>
  <c r="FE11" i="30" s="1"/>
  <c r="FE96" i="30" s="1"/>
  <c r="FD32" i="30"/>
  <c r="FE15" i="30" s="1"/>
  <c r="DH75" i="30"/>
  <c r="DH24" i="30" s="1"/>
  <c r="DI7" i="30" s="1"/>
  <c r="DI92" i="30" s="1"/>
  <c r="FE26" i="30"/>
  <c r="FF9" i="30" s="1"/>
  <c r="V205" i="30" s="1"/>
  <c r="FE94" i="30"/>
  <c r="FD93" i="30"/>
  <c r="FD25" i="30"/>
  <c r="FE8" i="30" s="1"/>
  <c r="DH74" i="30"/>
  <c r="DH23" i="30" s="1"/>
  <c r="DI6" i="30" s="1"/>
  <c r="DI91" i="30" s="1"/>
  <c r="DH30" i="30"/>
  <c r="DI13" i="30" s="1"/>
  <c r="DI98" i="30" s="1"/>
  <c r="DH80" i="30"/>
  <c r="DH29" i="30" s="1"/>
  <c r="DI12" i="30" s="1"/>
  <c r="DI97" i="30" s="1"/>
  <c r="DI78" i="30"/>
  <c r="DI27" i="30" s="1"/>
  <c r="DJ10" i="30" s="1"/>
  <c r="P210" i="30" s="1"/>
  <c r="DH73" i="30"/>
  <c r="DH22" i="30" s="1"/>
  <c r="DI5" i="30" s="1"/>
  <c r="DI90" i="30" s="1"/>
  <c r="DI81" i="30" s="1"/>
  <c r="DH71" i="30"/>
  <c r="DH20" i="30" s="1"/>
  <c r="DI3" i="30" s="1"/>
  <c r="DI88" i="30" s="1"/>
  <c r="DH86" i="30"/>
  <c r="DH35" i="30" s="1"/>
  <c r="DI18" i="30" s="1"/>
  <c r="DI103" i="30" s="1"/>
  <c r="DH82" i="30"/>
  <c r="DH31" i="30" s="1"/>
  <c r="DI14" i="30" s="1"/>
  <c r="DI99" i="30" s="1"/>
  <c r="DI72" i="30" s="1"/>
  <c r="DI21" i="30" s="1"/>
  <c r="DJ4" i="30" s="1"/>
  <c r="P180" i="30" s="1"/>
  <c r="DI30" i="30" l="1"/>
  <c r="DJ13" i="30" s="1"/>
  <c r="P225" i="30" s="1"/>
  <c r="FF104" i="30"/>
  <c r="FF36" i="30"/>
  <c r="FG19" i="30" s="1"/>
  <c r="FF34" i="30"/>
  <c r="FG17" i="30" s="1"/>
  <c r="FF102" i="30"/>
  <c r="FF83" i="30" s="1"/>
  <c r="FE33" i="30"/>
  <c r="FF16" i="30" s="1"/>
  <c r="V240" i="30" s="1"/>
  <c r="FE101" i="30"/>
  <c r="FE100" i="30"/>
  <c r="FE79" i="30" s="1"/>
  <c r="FE28" i="30" s="1"/>
  <c r="FF11" i="30" s="1"/>
  <c r="V215" i="30" s="1"/>
  <c r="FE32" i="30"/>
  <c r="FF15" i="30" s="1"/>
  <c r="V235" i="30" s="1"/>
  <c r="DI82" i="30"/>
  <c r="DI31" i="30" s="1"/>
  <c r="DJ14" i="30" s="1"/>
  <c r="P230" i="30" s="1"/>
  <c r="FF26" i="30"/>
  <c r="FG9" i="30" s="1"/>
  <c r="FF94" i="30"/>
  <c r="FE93" i="30"/>
  <c r="FE25" i="30"/>
  <c r="FF8" i="30" s="1"/>
  <c r="V200" i="30" s="1"/>
  <c r="DI86" i="30"/>
  <c r="DI35" i="30" s="1"/>
  <c r="DJ18" i="30" s="1"/>
  <c r="P250" i="30" s="1"/>
  <c r="DJ89" i="30"/>
  <c r="DI73" i="30"/>
  <c r="DI22" i="30" s="1"/>
  <c r="DJ5" i="30" s="1"/>
  <c r="P185" i="30" s="1"/>
  <c r="DI71" i="30"/>
  <c r="DI20" i="30" s="1"/>
  <c r="DJ3" i="30" s="1"/>
  <c r="P175" i="30" s="1"/>
  <c r="DI80" i="30"/>
  <c r="DI29" i="30" s="1"/>
  <c r="DJ12" i="30" s="1"/>
  <c r="P220" i="30" s="1"/>
  <c r="DI75" i="30"/>
  <c r="DI24" i="30" s="1"/>
  <c r="DJ7" i="30" s="1"/>
  <c r="P195" i="30" s="1"/>
  <c r="DJ95" i="30"/>
  <c r="DI74" i="30"/>
  <c r="DI23" i="30" s="1"/>
  <c r="DJ6" i="30" s="1"/>
  <c r="P190" i="30" s="1"/>
  <c r="DJ98" i="30" l="1"/>
  <c r="FG104" i="30"/>
  <c r="FG36" i="30"/>
  <c r="FH19" i="30" s="1"/>
  <c r="FF96" i="30"/>
  <c r="FG102" i="30"/>
  <c r="FG83" i="30" s="1"/>
  <c r="FG34" i="30"/>
  <c r="FH17" i="30" s="1"/>
  <c r="FF33" i="30"/>
  <c r="FG16" i="30" s="1"/>
  <c r="FF101" i="30"/>
  <c r="FF100" i="30"/>
  <c r="FF79" i="30" s="1"/>
  <c r="FF28" i="30" s="1"/>
  <c r="FG11" i="30" s="1"/>
  <c r="FG96" i="30" s="1"/>
  <c r="FF32" i="30"/>
  <c r="FG15" i="30" s="1"/>
  <c r="FG94" i="30"/>
  <c r="FG26" i="30"/>
  <c r="FH9" i="30" s="1"/>
  <c r="FF93" i="30"/>
  <c r="FF25" i="30"/>
  <c r="FG8" i="30" s="1"/>
  <c r="DJ99" i="30"/>
  <c r="DJ72" i="30" s="1"/>
  <c r="DJ21" i="30" s="1"/>
  <c r="DK4" i="30" s="1"/>
  <c r="DK89" i="30" s="1"/>
  <c r="DJ88" i="30"/>
  <c r="DJ91" i="30"/>
  <c r="DJ90" i="30"/>
  <c r="DJ92" i="30"/>
  <c r="DJ78" i="30"/>
  <c r="DJ27" i="30" s="1"/>
  <c r="DK10" i="30" s="1"/>
  <c r="DK95" i="30" s="1"/>
  <c r="DJ103" i="30"/>
  <c r="DJ97" i="30"/>
  <c r="DJ82" i="30" l="1"/>
  <c r="DJ31" i="30" s="1"/>
  <c r="DK14" i="30" s="1"/>
  <c r="DK99" i="30" s="1"/>
  <c r="DK72" i="30" s="1"/>
  <c r="DK21" i="30" s="1"/>
  <c r="DL4" i="30" s="1"/>
  <c r="DL89" i="30" s="1"/>
  <c r="DL78" i="30" s="1"/>
  <c r="FH104" i="30"/>
  <c r="FH36" i="30"/>
  <c r="FI19" i="30" s="1"/>
  <c r="FH102" i="30"/>
  <c r="FH83" i="30" s="1"/>
  <c r="FH34" i="30"/>
  <c r="FI17" i="30" s="1"/>
  <c r="FG101" i="30"/>
  <c r="FG33" i="30"/>
  <c r="FH16" i="30" s="1"/>
  <c r="FG100" i="30"/>
  <c r="FG79" i="30" s="1"/>
  <c r="FG28" i="30" s="1"/>
  <c r="FH11" i="30" s="1"/>
  <c r="FH96" i="30" s="1"/>
  <c r="FG32" i="30"/>
  <c r="FH15" i="30" s="1"/>
  <c r="DJ71" i="30"/>
  <c r="DJ20" i="30" s="1"/>
  <c r="DK3" i="30" s="1"/>
  <c r="DK88" i="30" s="1"/>
  <c r="FH26" i="30"/>
  <c r="FI9" i="30" s="1"/>
  <c r="FH94" i="30"/>
  <c r="DJ73" i="30"/>
  <c r="DJ22" i="30" s="1"/>
  <c r="DK5" i="30" s="1"/>
  <c r="DK90" i="30" s="1"/>
  <c r="DK81" i="30" s="1"/>
  <c r="FG25" i="30"/>
  <c r="FH8" i="30" s="1"/>
  <c r="FG93" i="30"/>
  <c r="DJ81" i="30"/>
  <c r="DJ30" i="30" s="1"/>
  <c r="DK13" i="30" s="1"/>
  <c r="DK98" i="30" s="1"/>
  <c r="DJ74" i="30"/>
  <c r="DJ23" i="30" s="1"/>
  <c r="DK6" i="30" s="1"/>
  <c r="DK91" i="30" s="1"/>
  <c r="DJ75" i="30"/>
  <c r="DJ24" i="30" s="1"/>
  <c r="DK7" i="30" s="1"/>
  <c r="DK92" i="30" s="1"/>
  <c r="DJ80" i="30"/>
  <c r="DJ29" i="30" s="1"/>
  <c r="DK12" i="30" s="1"/>
  <c r="DK97" i="30" s="1"/>
  <c r="DJ86" i="30"/>
  <c r="DJ35" i="30" s="1"/>
  <c r="DK18" i="30" s="1"/>
  <c r="DK103" i="30" s="1"/>
  <c r="DK78" i="30"/>
  <c r="DK27" i="30" s="1"/>
  <c r="DL10" i="30" s="1"/>
  <c r="DL95" i="30" s="1"/>
  <c r="DK73" i="30" l="1"/>
  <c r="DK22" i="30" s="1"/>
  <c r="DL5" i="30" s="1"/>
  <c r="DL90" i="30" s="1"/>
  <c r="DL81" i="30" s="1"/>
  <c r="DK80" i="30"/>
  <c r="DK29" i="30" s="1"/>
  <c r="DL12" i="30" s="1"/>
  <c r="DL97" i="30" s="1"/>
  <c r="FI104" i="30"/>
  <c r="FI36" i="30"/>
  <c r="FJ19" i="30" s="1"/>
  <c r="FI102" i="30"/>
  <c r="FI83" i="30" s="1"/>
  <c r="FI34" i="30"/>
  <c r="FJ17" i="30" s="1"/>
  <c r="FH33" i="30"/>
  <c r="FI16" i="30" s="1"/>
  <c r="FH101" i="30"/>
  <c r="FH100" i="30"/>
  <c r="FH79" i="30" s="1"/>
  <c r="FH28" i="30" s="1"/>
  <c r="FI11" i="30" s="1"/>
  <c r="FI96" i="30" s="1"/>
  <c r="FH32" i="30"/>
  <c r="FI15" i="30" s="1"/>
  <c r="DK74" i="30"/>
  <c r="DK23" i="30" s="1"/>
  <c r="DL6" i="30" s="1"/>
  <c r="DL91" i="30" s="1"/>
  <c r="DK82" i="30"/>
  <c r="DK31" i="30" s="1"/>
  <c r="DL14" i="30" s="1"/>
  <c r="DL99" i="30" s="1"/>
  <c r="DL72" i="30" s="1"/>
  <c r="DL21" i="30" s="1"/>
  <c r="DM4" i="30" s="1"/>
  <c r="DM89" i="30" s="1"/>
  <c r="DM78" i="30" s="1"/>
  <c r="DK30" i="30"/>
  <c r="DL13" i="30" s="1"/>
  <c r="DL98" i="30" s="1"/>
  <c r="FI26" i="30"/>
  <c r="FJ9" i="30" s="1"/>
  <c r="FI94" i="30"/>
  <c r="FH25" i="30"/>
  <c r="FI8" i="30" s="1"/>
  <c r="FH93" i="30"/>
  <c r="DK71" i="30"/>
  <c r="DK20" i="30" s="1"/>
  <c r="DL3" i="30" s="1"/>
  <c r="DL88" i="30" s="1"/>
  <c r="DK75" i="30"/>
  <c r="DK24" i="30" s="1"/>
  <c r="DL7" i="30" s="1"/>
  <c r="DL92" i="30" s="1"/>
  <c r="DK86" i="30"/>
  <c r="DK35" i="30" s="1"/>
  <c r="DL18" i="30" s="1"/>
  <c r="DL103" i="30" s="1"/>
  <c r="DL27" i="30"/>
  <c r="DM10" i="30" s="1"/>
  <c r="DM95" i="30" s="1"/>
  <c r="DL71" i="30" l="1"/>
  <c r="DL20" i="30" s="1"/>
  <c r="DM3" i="30" s="1"/>
  <c r="DM88" i="30" s="1"/>
  <c r="DL30" i="30"/>
  <c r="DM13" i="30" s="1"/>
  <c r="DM98" i="30" s="1"/>
  <c r="DL86" i="30"/>
  <c r="DL35" i="30" s="1"/>
  <c r="DM18" i="30" s="1"/>
  <c r="DM103" i="30" s="1"/>
  <c r="DL82" i="30"/>
  <c r="DL31" i="30" s="1"/>
  <c r="DM14" i="30" s="1"/>
  <c r="DM99" i="30" s="1"/>
  <c r="DM72" i="30" s="1"/>
  <c r="DM21" i="30" s="1"/>
  <c r="DN4" i="30" s="1"/>
  <c r="DN89" i="30" s="1"/>
  <c r="DN78" i="30" s="1"/>
  <c r="FJ36" i="30"/>
  <c r="FK19" i="30" s="1"/>
  <c r="FJ104" i="30"/>
  <c r="FJ102" i="30"/>
  <c r="FJ83" i="30" s="1"/>
  <c r="FJ34" i="30"/>
  <c r="FK17" i="30" s="1"/>
  <c r="FI101" i="30"/>
  <c r="FI33" i="30"/>
  <c r="FJ16" i="30" s="1"/>
  <c r="FI100" i="30"/>
  <c r="FI79" i="30" s="1"/>
  <c r="FI28" i="30" s="1"/>
  <c r="FJ11" i="30" s="1"/>
  <c r="FJ96" i="30" s="1"/>
  <c r="FI32" i="30"/>
  <c r="FJ15" i="30" s="1"/>
  <c r="DL80" i="30"/>
  <c r="DL29" i="30" s="1"/>
  <c r="DM12" i="30" s="1"/>
  <c r="DM97" i="30" s="1"/>
  <c r="DL74" i="30"/>
  <c r="DL23" i="30" s="1"/>
  <c r="DM6" i="30" s="1"/>
  <c r="DM91" i="30" s="1"/>
  <c r="DL75" i="30"/>
  <c r="DL24" i="30" s="1"/>
  <c r="DM7" i="30" s="1"/>
  <c r="DM92" i="30" s="1"/>
  <c r="FJ94" i="30"/>
  <c r="FJ26" i="30"/>
  <c r="FK9" i="30" s="1"/>
  <c r="DL73" i="30"/>
  <c r="DL22" i="30" s="1"/>
  <c r="DM5" i="30" s="1"/>
  <c r="DM90" i="30" s="1"/>
  <c r="DM81" i="30" s="1"/>
  <c r="FI93" i="30"/>
  <c r="FI25" i="30"/>
  <c r="FJ8" i="30" s="1"/>
  <c r="DM27" i="30"/>
  <c r="DN10" i="30" s="1"/>
  <c r="DN95" i="30" s="1"/>
  <c r="DM30" i="30" l="1"/>
  <c r="DN13" i="30" s="1"/>
  <c r="DN98" i="30" s="1"/>
  <c r="DM82" i="30"/>
  <c r="DM31" i="30" s="1"/>
  <c r="DN14" i="30" s="1"/>
  <c r="DN99" i="30" s="1"/>
  <c r="DM73" i="30"/>
  <c r="DM22" i="30" s="1"/>
  <c r="DN5" i="30" s="1"/>
  <c r="DN90" i="30" s="1"/>
  <c r="DN81" i="30" s="1"/>
  <c r="FK104" i="30"/>
  <c r="FK36" i="30"/>
  <c r="FL19" i="30" s="1"/>
  <c r="FK34" i="30"/>
  <c r="FL17" i="30" s="1"/>
  <c r="FK102" i="30"/>
  <c r="FK83" i="30" s="1"/>
  <c r="FJ101" i="30"/>
  <c r="FJ33" i="30"/>
  <c r="FK16" i="30" s="1"/>
  <c r="DM86" i="30"/>
  <c r="DM35" i="30" s="1"/>
  <c r="DN18" i="30" s="1"/>
  <c r="DN103" i="30" s="1"/>
  <c r="FJ100" i="30"/>
  <c r="FJ79" i="30" s="1"/>
  <c r="FJ28" i="30" s="1"/>
  <c r="FK11" i="30" s="1"/>
  <c r="FK96" i="30" s="1"/>
  <c r="FJ32" i="30"/>
  <c r="FK15" i="30" s="1"/>
  <c r="DM80" i="30"/>
  <c r="DM29" i="30" s="1"/>
  <c r="DN12" i="30" s="1"/>
  <c r="DN97" i="30" s="1"/>
  <c r="DM71" i="30"/>
  <c r="DM20" i="30" s="1"/>
  <c r="DN3" i="30" s="1"/>
  <c r="DN88" i="30" s="1"/>
  <c r="DM75" i="30"/>
  <c r="DM24" i="30" s="1"/>
  <c r="DN7" i="30" s="1"/>
  <c r="DN92" i="30" s="1"/>
  <c r="FK26" i="30"/>
  <c r="FL9" i="30" s="1"/>
  <c r="FK94" i="30"/>
  <c r="DM74" i="30"/>
  <c r="DM23" i="30" s="1"/>
  <c r="DN6" i="30" s="1"/>
  <c r="DN91" i="30" s="1"/>
  <c r="FJ93" i="30"/>
  <c r="FJ25" i="30"/>
  <c r="FK8" i="30" s="1"/>
  <c r="DN27" i="30"/>
  <c r="DO10" i="30" s="1"/>
  <c r="DO95" i="30" s="1"/>
  <c r="DN30" i="30" l="1"/>
  <c r="DO13" i="30" s="1"/>
  <c r="DO98" i="30" s="1"/>
  <c r="DN72" i="30"/>
  <c r="DN21" i="30" s="1"/>
  <c r="DO4" i="30" s="1"/>
  <c r="DO89" i="30" s="1"/>
  <c r="DO78" i="30" s="1"/>
  <c r="DO27" i="30" s="1"/>
  <c r="DP10" i="30" s="1"/>
  <c r="DP95" i="30" s="1"/>
  <c r="DN73" i="30"/>
  <c r="DN22" i="30" s="1"/>
  <c r="DO5" i="30" s="1"/>
  <c r="DO90" i="30" s="1"/>
  <c r="DO81" i="30" s="1"/>
  <c r="FL36" i="30"/>
  <c r="FM19" i="30" s="1"/>
  <c r="FL104" i="30"/>
  <c r="FL34" i="30"/>
  <c r="FM17" i="30" s="1"/>
  <c r="FL102" i="30"/>
  <c r="FL83" i="30" s="1"/>
  <c r="FK101" i="30"/>
  <c r="FK33" i="30"/>
  <c r="FL16" i="30" s="1"/>
  <c r="FK100" i="30"/>
  <c r="FK79" i="30" s="1"/>
  <c r="FK28" i="30" s="1"/>
  <c r="FL11" i="30" s="1"/>
  <c r="FL96" i="30" s="1"/>
  <c r="FK32" i="30"/>
  <c r="FL15" i="30" s="1"/>
  <c r="DN86" i="30"/>
  <c r="DN35" i="30" s="1"/>
  <c r="DO18" i="30" s="1"/>
  <c r="DO103" i="30" s="1"/>
  <c r="DN71" i="30"/>
  <c r="DN20" i="30" s="1"/>
  <c r="DO3" i="30" s="1"/>
  <c r="DO88" i="30" s="1"/>
  <c r="DN80" i="30"/>
  <c r="DN29" i="30" s="1"/>
  <c r="DO12" i="30" s="1"/>
  <c r="DO97" i="30" s="1"/>
  <c r="DN82" i="30"/>
  <c r="DN31" i="30" s="1"/>
  <c r="DO14" i="30" s="1"/>
  <c r="DO99" i="30" s="1"/>
  <c r="DO72" i="30" s="1"/>
  <c r="DN74" i="30"/>
  <c r="DN23" i="30" s="1"/>
  <c r="DO6" i="30" s="1"/>
  <c r="DO91" i="30" s="1"/>
  <c r="DN75" i="30"/>
  <c r="DN24" i="30" s="1"/>
  <c r="DO7" i="30" s="1"/>
  <c r="DO92" i="30" s="1"/>
  <c r="FL94" i="30"/>
  <c r="FL26" i="30"/>
  <c r="FM9" i="30" s="1"/>
  <c r="FK93" i="30"/>
  <c r="FK25" i="30"/>
  <c r="FL8" i="30" s="1"/>
  <c r="DO30" i="30" l="1"/>
  <c r="DP13" i="30" s="1"/>
  <c r="DP98" i="30" s="1"/>
  <c r="DO82" i="30"/>
  <c r="DO31" i="30" s="1"/>
  <c r="DP14" i="30" s="1"/>
  <c r="DP99" i="30" s="1"/>
  <c r="DP72" i="30" s="1"/>
  <c r="DO21" i="30"/>
  <c r="DP4" i="30" s="1"/>
  <c r="DP89" i="30" s="1"/>
  <c r="DP78" i="30" s="1"/>
  <c r="DP27" i="30" s="1"/>
  <c r="DQ10" i="30" s="1"/>
  <c r="DQ95" i="30" s="1"/>
  <c r="DO71" i="30"/>
  <c r="DO20" i="30" s="1"/>
  <c r="DP3" i="30" s="1"/>
  <c r="DP88" i="30" s="1"/>
  <c r="DO80" i="30"/>
  <c r="DO29" i="30" s="1"/>
  <c r="DP12" i="30" s="1"/>
  <c r="DP97" i="30" s="1"/>
  <c r="FM104" i="30"/>
  <c r="FM36" i="30"/>
  <c r="FN19" i="30" s="1"/>
  <c r="W255" i="30" s="1"/>
  <c r="FM102" i="30"/>
  <c r="FM83" i="30" s="1"/>
  <c r="FM34" i="30"/>
  <c r="FN17" i="30" s="1"/>
  <c r="W245" i="30" s="1"/>
  <c r="FL101" i="30"/>
  <c r="FL33" i="30"/>
  <c r="FM16" i="30" s="1"/>
  <c r="FL100" i="30"/>
  <c r="FL79" i="30" s="1"/>
  <c r="FL28" i="30" s="1"/>
  <c r="FM11" i="30" s="1"/>
  <c r="FM96" i="30" s="1"/>
  <c r="FL32" i="30"/>
  <c r="FM15" i="30" s="1"/>
  <c r="DO86" i="30"/>
  <c r="DO35" i="30" s="1"/>
  <c r="DP18" i="30" s="1"/>
  <c r="DP103" i="30" s="1"/>
  <c r="DO74" i="30"/>
  <c r="DO23" i="30" s="1"/>
  <c r="DP6" i="30" s="1"/>
  <c r="DP91" i="30" s="1"/>
  <c r="DO75" i="30"/>
  <c r="DO24" i="30" s="1"/>
  <c r="DP7" i="30" s="1"/>
  <c r="DP92" i="30" s="1"/>
  <c r="DO73" i="30"/>
  <c r="DO22" i="30" s="1"/>
  <c r="DP5" i="30" s="1"/>
  <c r="DP90" i="30" s="1"/>
  <c r="DP81" i="30" s="1"/>
  <c r="FM94" i="30"/>
  <c r="FM26" i="30"/>
  <c r="FN9" i="30" s="1"/>
  <c r="W205" i="30" s="1"/>
  <c r="FL25" i="30"/>
  <c r="FM8" i="30" s="1"/>
  <c r="FL93" i="30"/>
  <c r="DP30" i="30" l="1"/>
  <c r="DQ13" i="30" s="1"/>
  <c r="DQ98" i="30" s="1"/>
  <c r="DP82" i="30"/>
  <c r="DP31" i="30" s="1"/>
  <c r="DQ14" i="30" s="1"/>
  <c r="DQ99" i="30" s="1"/>
  <c r="DQ72" i="30" s="1"/>
  <c r="DP21" i="30"/>
  <c r="DQ4" i="30" s="1"/>
  <c r="DQ89" i="30" s="1"/>
  <c r="DQ78" i="30" s="1"/>
  <c r="DQ27" i="30" s="1"/>
  <c r="DR10" i="30" s="1"/>
  <c r="Q210" i="30" s="1"/>
  <c r="DP73" i="30"/>
  <c r="DP22" i="30" s="1"/>
  <c r="DQ5" i="30" s="1"/>
  <c r="DQ90" i="30" s="1"/>
  <c r="DQ81" i="30" s="1"/>
  <c r="DP86" i="30"/>
  <c r="DP35" i="30" s="1"/>
  <c r="DQ18" i="30" s="1"/>
  <c r="DQ103" i="30" s="1"/>
  <c r="DP80" i="30"/>
  <c r="DP29" i="30" s="1"/>
  <c r="DQ12" i="30" s="1"/>
  <c r="DQ97" i="30" s="1"/>
  <c r="FN36" i="30"/>
  <c r="FO19" i="30" s="1"/>
  <c r="FN104" i="30"/>
  <c r="FN102" i="30"/>
  <c r="FN83" i="30" s="1"/>
  <c r="FN34" i="30"/>
  <c r="FO17" i="30" s="1"/>
  <c r="FM33" i="30"/>
  <c r="FN16" i="30" s="1"/>
  <c r="W240" i="30" s="1"/>
  <c r="FM101" i="30"/>
  <c r="FM100" i="30"/>
  <c r="FM79" i="30" s="1"/>
  <c r="FM28" i="30" s="1"/>
  <c r="FN11" i="30" s="1"/>
  <c r="W215" i="30" s="1"/>
  <c r="FM32" i="30"/>
  <c r="FN15" i="30" s="1"/>
  <c r="W235" i="30" s="1"/>
  <c r="DP74" i="30"/>
  <c r="DP23" i="30" s="1"/>
  <c r="DQ6" i="30" s="1"/>
  <c r="DQ91" i="30" s="1"/>
  <c r="DP71" i="30"/>
  <c r="DP20" i="30" s="1"/>
  <c r="DQ3" i="30" s="1"/>
  <c r="DQ88" i="30" s="1"/>
  <c r="DP75" i="30"/>
  <c r="DP24" i="30" s="1"/>
  <c r="DQ7" i="30" s="1"/>
  <c r="DQ92" i="30" s="1"/>
  <c r="FN94" i="30"/>
  <c r="FN26" i="30"/>
  <c r="FO9" i="30" s="1"/>
  <c r="FM25" i="30"/>
  <c r="FN8" i="30" s="1"/>
  <c r="W200" i="30" s="1"/>
  <c r="FM93" i="30"/>
  <c r="DQ30" i="30" l="1"/>
  <c r="DR13" i="30" s="1"/>
  <c r="Q225" i="30" s="1"/>
  <c r="DQ82" i="30"/>
  <c r="DQ31" i="30" s="1"/>
  <c r="DR14" i="30" s="1"/>
  <c r="Q230" i="30" s="1"/>
  <c r="DQ73" i="30"/>
  <c r="DQ22" i="30" s="1"/>
  <c r="DR5" i="30" s="1"/>
  <c r="Q185" i="30" s="1"/>
  <c r="DQ21" i="30"/>
  <c r="DR4" i="30" s="1"/>
  <c r="Q180" i="30" s="1"/>
  <c r="DQ74" i="30"/>
  <c r="DQ23" i="30" s="1"/>
  <c r="DR6" i="30" s="1"/>
  <c r="Q190" i="30" s="1"/>
  <c r="FN96" i="30"/>
  <c r="DQ80" i="30"/>
  <c r="DQ29" i="30" s="1"/>
  <c r="DR12" i="30" s="1"/>
  <c r="Q220" i="30" s="1"/>
  <c r="FO104" i="30"/>
  <c r="FO36" i="30"/>
  <c r="FP19" i="30" s="1"/>
  <c r="FO102" i="30"/>
  <c r="FO83" i="30" s="1"/>
  <c r="FO34" i="30"/>
  <c r="FP17" i="30" s="1"/>
  <c r="FN101" i="30"/>
  <c r="FN33" i="30"/>
  <c r="FO16" i="30" s="1"/>
  <c r="FN100" i="30"/>
  <c r="FN79" i="30" s="1"/>
  <c r="FN28" i="30" s="1"/>
  <c r="FO11" i="30" s="1"/>
  <c r="FO96" i="30" s="1"/>
  <c r="FN32" i="30"/>
  <c r="FO15" i="30" s="1"/>
  <c r="DQ75" i="30"/>
  <c r="DQ24" i="30" s="1"/>
  <c r="DR7" i="30" s="1"/>
  <c r="Q195" i="30" s="1"/>
  <c r="DQ71" i="30"/>
  <c r="DQ20" i="30" s="1"/>
  <c r="DR3" i="30" s="1"/>
  <c r="Q175" i="30" s="1"/>
  <c r="DQ86" i="30"/>
  <c r="DQ35" i="30" s="1"/>
  <c r="DR18" i="30" s="1"/>
  <c r="Q250" i="30" s="1"/>
  <c r="FO26" i="30"/>
  <c r="FP9" i="30" s="1"/>
  <c r="FO94" i="30"/>
  <c r="FN25" i="30"/>
  <c r="FO8" i="30" s="1"/>
  <c r="FN93" i="30"/>
  <c r="DR95" i="30"/>
  <c r="DR97" i="30" l="1"/>
  <c r="DR88" i="30"/>
  <c r="DR98" i="30"/>
  <c r="DR99" i="30"/>
  <c r="DR72" i="30" s="1"/>
  <c r="DR21" i="30" s="1"/>
  <c r="DS4" i="30" s="1"/>
  <c r="DS89" i="30" s="1"/>
  <c r="DS78" i="30" s="1"/>
  <c r="DR89" i="30"/>
  <c r="DR78" i="30" s="1"/>
  <c r="DR27" i="30" s="1"/>
  <c r="DS10" i="30" s="1"/>
  <c r="DS95" i="30" s="1"/>
  <c r="DR91" i="30"/>
  <c r="DR92" i="30"/>
  <c r="FP104" i="30"/>
  <c r="FP36" i="30"/>
  <c r="FQ19" i="30" s="1"/>
  <c r="FP34" i="30"/>
  <c r="FQ17" i="30" s="1"/>
  <c r="FP102" i="30"/>
  <c r="FP83" i="30" s="1"/>
  <c r="FO101" i="30"/>
  <c r="FO33" i="30"/>
  <c r="FP16" i="30" s="1"/>
  <c r="FO100" i="30"/>
  <c r="FO79" i="30" s="1"/>
  <c r="FO28" i="30" s="1"/>
  <c r="FP11" i="30" s="1"/>
  <c r="FP96" i="30" s="1"/>
  <c r="FO32" i="30"/>
  <c r="FP15" i="30" s="1"/>
  <c r="DR90" i="30"/>
  <c r="DR81" i="30" s="1"/>
  <c r="DR30" i="30" s="1"/>
  <c r="DS13" i="30" s="1"/>
  <c r="DS98" i="30" s="1"/>
  <c r="FP26" i="30"/>
  <c r="FQ9" i="30" s="1"/>
  <c r="FP94" i="30"/>
  <c r="FO93" i="30"/>
  <c r="FO25" i="30"/>
  <c r="FP8" i="30" s="1"/>
  <c r="DR103" i="30"/>
  <c r="DS27" i="30" l="1"/>
  <c r="DT10" i="30" s="1"/>
  <c r="DT95" i="30" s="1"/>
  <c r="DR82" i="30"/>
  <c r="DR31" i="30" s="1"/>
  <c r="DS14" i="30" s="1"/>
  <c r="DS99" i="30" s="1"/>
  <c r="DS72" i="30" s="1"/>
  <c r="DS21" i="30" s="1"/>
  <c r="DT4" i="30" s="1"/>
  <c r="DT89" i="30" s="1"/>
  <c r="DT78" i="30" s="1"/>
  <c r="DR73" i="30"/>
  <c r="DR22" i="30" s="1"/>
  <c r="DS5" i="30" s="1"/>
  <c r="DS90" i="30" s="1"/>
  <c r="DS81" i="30" s="1"/>
  <c r="DS30" i="30" s="1"/>
  <c r="DT13" i="30" s="1"/>
  <c r="DT98" i="30" s="1"/>
  <c r="DR86" i="30"/>
  <c r="DR35" i="30" s="1"/>
  <c r="DS18" i="30" s="1"/>
  <c r="DS103" i="30" s="1"/>
  <c r="DR80" i="30"/>
  <c r="DR29" i="30" s="1"/>
  <c r="DS12" i="30" s="1"/>
  <c r="DS97" i="30" s="1"/>
  <c r="FQ36" i="30"/>
  <c r="FR19" i="30" s="1"/>
  <c r="FQ104" i="30"/>
  <c r="FQ102" i="30"/>
  <c r="FQ83" i="30" s="1"/>
  <c r="FQ34" i="30"/>
  <c r="FR17" i="30" s="1"/>
  <c r="FP33" i="30"/>
  <c r="FQ16" i="30" s="1"/>
  <c r="FP101" i="30"/>
  <c r="FP100" i="30"/>
  <c r="FP79" i="30" s="1"/>
  <c r="FP28" i="30" s="1"/>
  <c r="FQ11" i="30" s="1"/>
  <c r="FQ96" i="30" s="1"/>
  <c r="FP32" i="30"/>
  <c r="FQ15" i="30" s="1"/>
  <c r="DR75" i="30"/>
  <c r="DR24" i="30" s="1"/>
  <c r="DS7" i="30" s="1"/>
  <c r="DS92" i="30" s="1"/>
  <c r="DR71" i="30"/>
  <c r="DR20" i="30" s="1"/>
  <c r="DS3" i="30" s="1"/>
  <c r="DS88" i="30" s="1"/>
  <c r="DR74" i="30"/>
  <c r="DR23" i="30" s="1"/>
  <c r="DS6" i="30" s="1"/>
  <c r="DS91" i="30" s="1"/>
  <c r="DS82" i="30" s="1"/>
  <c r="FQ94" i="30"/>
  <c r="FQ26" i="30"/>
  <c r="FR9" i="30" s="1"/>
  <c r="FP93" i="30"/>
  <c r="FP25" i="30"/>
  <c r="FQ8" i="30" s="1"/>
  <c r="DT27" i="30" l="1"/>
  <c r="DU10" i="30" s="1"/>
  <c r="DU95" i="30" s="1"/>
  <c r="DS31" i="30"/>
  <c r="DT14" i="30" s="1"/>
  <c r="DT99" i="30" s="1"/>
  <c r="DT72" i="30" s="1"/>
  <c r="DT21" i="30" s="1"/>
  <c r="DU4" i="30" s="1"/>
  <c r="DU89" i="30" s="1"/>
  <c r="DU78" i="30" s="1"/>
  <c r="DS74" i="30"/>
  <c r="DS23" i="30" s="1"/>
  <c r="DT6" i="30" s="1"/>
  <c r="DT91" i="30" s="1"/>
  <c r="DT82" i="30" s="1"/>
  <c r="DS73" i="30"/>
  <c r="DS22" i="30" s="1"/>
  <c r="DT5" i="30" s="1"/>
  <c r="DT90" i="30" s="1"/>
  <c r="DT81" i="30" s="1"/>
  <c r="DT30" i="30" s="1"/>
  <c r="DU13" i="30" s="1"/>
  <c r="DU98" i="30" s="1"/>
  <c r="DS71" i="30"/>
  <c r="DS20" i="30" s="1"/>
  <c r="DT3" i="30" s="1"/>
  <c r="DT88" i="30" s="1"/>
  <c r="FR104" i="30"/>
  <c r="FR36" i="30"/>
  <c r="FS19" i="30" s="1"/>
  <c r="FR102" i="30"/>
  <c r="FR83" i="30" s="1"/>
  <c r="FR34" i="30"/>
  <c r="FS17" i="30" s="1"/>
  <c r="FQ101" i="30"/>
  <c r="FQ33" i="30"/>
  <c r="FR16" i="30" s="1"/>
  <c r="FQ100" i="30"/>
  <c r="FQ79" i="30" s="1"/>
  <c r="FQ28" i="30" s="1"/>
  <c r="FR11" i="30" s="1"/>
  <c r="FR96" i="30" s="1"/>
  <c r="FQ32" i="30"/>
  <c r="FR15" i="30" s="1"/>
  <c r="DS86" i="30"/>
  <c r="DS35" i="30" s="1"/>
  <c r="DT18" i="30" s="1"/>
  <c r="DT103" i="30" s="1"/>
  <c r="DS75" i="30"/>
  <c r="DS24" i="30" s="1"/>
  <c r="DT7" i="30" s="1"/>
  <c r="DT92" i="30" s="1"/>
  <c r="DS80" i="30"/>
  <c r="DS29" i="30" s="1"/>
  <c r="DT12" i="30" s="1"/>
  <c r="DT97" i="30" s="1"/>
  <c r="FR94" i="30"/>
  <c r="FR26" i="30"/>
  <c r="FS9" i="30" s="1"/>
  <c r="FQ25" i="30"/>
  <c r="FR8" i="30" s="1"/>
  <c r="FQ93" i="30"/>
  <c r="DU27" i="30" l="1"/>
  <c r="DV10" i="30" s="1"/>
  <c r="DV95" i="30" s="1"/>
  <c r="DT31" i="30"/>
  <c r="DU14" i="30" s="1"/>
  <c r="DU99" i="30" s="1"/>
  <c r="DU72" i="30" s="1"/>
  <c r="DU21" i="30" s="1"/>
  <c r="DV4" i="30" s="1"/>
  <c r="DV89" i="30" s="1"/>
  <c r="DV78" i="30" s="1"/>
  <c r="DT73" i="30"/>
  <c r="DT22" i="30" s="1"/>
  <c r="DU5" i="30" s="1"/>
  <c r="DU90" i="30" s="1"/>
  <c r="DU81" i="30" s="1"/>
  <c r="DU30" i="30" s="1"/>
  <c r="DV13" i="30" s="1"/>
  <c r="DV98" i="30" s="1"/>
  <c r="DT80" i="30"/>
  <c r="DT29" i="30" s="1"/>
  <c r="DU12" i="30" s="1"/>
  <c r="DU97" i="30" s="1"/>
  <c r="DT74" i="30"/>
  <c r="DT23" i="30" s="1"/>
  <c r="DU6" i="30" s="1"/>
  <c r="DU91" i="30" s="1"/>
  <c r="DU82" i="30" s="1"/>
  <c r="DT75" i="30"/>
  <c r="DT24" i="30" s="1"/>
  <c r="DU7" i="30" s="1"/>
  <c r="DU92" i="30" s="1"/>
  <c r="FS36" i="30"/>
  <c r="FT19" i="30" s="1"/>
  <c r="FS104" i="30"/>
  <c r="FS102" i="30"/>
  <c r="FS83" i="30" s="1"/>
  <c r="FS34" i="30"/>
  <c r="FT17" i="30" s="1"/>
  <c r="FR101" i="30"/>
  <c r="FR33" i="30"/>
  <c r="FS16" i="30" s="1"/>
  <c r="DT86" i="30"/>
  <c r="DT35" i="30" s="1"/>
  <c r="DU18" i="30" s="1"/>
  <c r="DU103" i="30" s="1"/>
  <c r="FR100" i="30"/>
  <c r="FR79" i="30" s="1"/>
  <c r="FR28" i="30" s="1"/>
  <c r="FS11" i="30" s="1"/>
  <c r="FS96" i="30" s="1"/>
  <c r="FR32" i="30"/>
  <c r="FS15" i="30" s="1"/>
  <c r="DT71" i="30"/>
  <c r="DT20" i="30" s="1"/>
  <c r="DU3" i="30" s="1"/>
  <c r="DU88" i="30" s="1"/>
  <c r="FS26" i="30"/>
  <c r="FT9" i="30" s="1"/>
  <c r="FS94" i="30"/>
  <c r="FR93" i="30"/>
  <c r="FR25" i="30"/>
  <c r="FS8" i="30" s="1"/>
  <c r="DV27" i="30" l="1"/>
  <c r="DW10" i="30" s="1"/>
  <c r="DW95" i="30" s="1"/>
  <c r="DU73" i="30"/>
  <c r="DU22" i="30" s="1"/>
  <c r="DV5" i="30" s="1"/>
  <c r="DV90" i="30" s="1"/>
  <c r="DV81" i="30" s="1"/>
  <c r="DV30" i="30" s="1"/>
  <c r="DW13" i="30" s="1"/>
  <c r="DW98" i="30" s="1"/>
  <c r="DU31" i="30"/>
  <c r="DV14" i="30" s="1"/>
  <c r="DV99" i="30" s="1"/>
  <c r="DV72" i="30" s="1"/>
  <c r="DV21" i="30" s="1"/>
  <c r="DW4" i="30" s="1"/>
  <c r="DW89" i="30" s="1"/>
  <c r="DW78" i="30" s="1"/>
  <c r="DU71" i="30"/>
  <c r="DU20" i="30" s="1"/>
  <c r="DV3" i="30" s="1"/>
  <c r="DV88" i="30" s="1"/>
  <c r="DU80" i="30"/>
  <c r="DU29" i="30" s="1"/>
  <c r="DV12" i="30" s="1"/>
  <c r="DV97" i="30" s="1"/>
  <c r="DU74" i="30"/>
  <c r="DU23" i="30" s="1"/>
  <c r="DV6" i="30" s="1"/>
  <c r="DV91" i="30" s="1"/>
  <c r="DV82" i="30" s="1"/>
  <c r="DU86" i="30"/>
  <c r="DU35" i="30" s="1"/>
  <c r="DV18" i="30" s="1"/>
  <c r="DV103" i="30" s="1"/>
  <c r="DU75" i="30"/>
  <c r="DU24" i="30" s="1"/>
  <c r="DV7" i="30" s="1"/>
  <c r="DV92" i="30" s="1"/>
  <c r="FT104" i="30"/>
  <c r="FT36" i="30"/>
  <c r="FU19" i="30" s="1"/>
  <c r="FT102" i="30"/>
  <c r="FT83" i="30" s="1"/>
  <c r="FT34" i="30"/>
  <c r="FU17" i="30" s="1"/>
  <c r="FS33" i="30"/>
  <c r="FT16" i="30" s="1"/>
  <c r="FS101" i="30"/>
  <c r="FS100" i="30"/>
  <c r="FS79" i="30" s="1"/>
  <c r="FS28" i="30" s="1"/>
  <c r="FT11" i="30" s="1"/>
  <c r="FT96" i="30" s="1"/>
  <c r="FS32" i="30"/>
  <c r="FT15" i="30" s="1"/>
  <c r="FT26" i="30"/>
  <c r="FU9" i="30" s="1"/>
  <c r="FT94" i="30"/>
  <c r="FS93" i="30"/>
  <c r="FS25" i="30"/>
  <c r="FT8" i="30" s="1"/>
  <c r="DW27" i="30" l="1"/>
  <c r="DX10" i="30" s="1"/>
  <c r="DX95" i="30" s="1"/>
  <c r="DV31" i="30"/>
  <c r="DW14" i="30" s="1"/>
  <c r="DW99" i="30" s="1"/>
  <c r="DW72" i="30" s="1"/>
  <c r="DW21" i="30" s="1"/>
  <c r="DX4" i="30" s="1"/>
  <c r="DX89" i="30" s="1"/>
  <c r="DX78" i="30" s="1"/>
  <c r="DV73" i="30"/>
  <c r="DV22" i="30" s="1"/>
  <c r="DW5" i="30" s="1"/>
  <c r="DW90" i="30" s="1"/>
  <c r="DW81" i="30" s="1"/>
  <c r="DW30" i="30" s="1"/>
  <c r="DX13" i="30" s="1"/>
  <c r="DX98" i="30" s="1"/>
  <c r="DV71" i="30"/>
  <c r="DV20" i="30" s="1"/>
  <c r="DW3" i="30" s="1"/>
  <c r="DW88" i="30" s="1"/>
  <c r="DV74" i="30"/>
  <c r="DV23" i="30" s="1"/>
  <c r="DW6" i="30" s="1"/>
  <c r="DW91" i="30" s="1"/>
  <c r="DW82" i="30" s="1"/>
  <c r="DV80" i="30"/>
  <c r="DV29" i="30" s="1"/>
  <c r="DW12" i="30" s="1"/>
  <c r="DW97" i="30" s="1"/>
  <c r="DV86" i="30"/>
  <c r="DV35" i="30" s="1"/>
  <c r="DW18" i="30" s="1"/>
  <c r="DW103" i="30" s="1"/>
  <c r="DV75" i="30"/>
  <c r="DV24" i="30" s="1"/>
  <c r="DW7" i="30" s="1"/>
  <c r="DW92" i="30" s="1"/>
  <c r="FU36" i="30"/>
  <c r="FV19" i="30" s="1"/>
  <c r="X255" i="30" s="1"/>
  <c r="FU104" i="30"/>
  <c r="FU102" i="30"/>
  <c r="FU83" i="30" s="1"/>
  <c r="FU34" i="30"/>
  <c r="FV17" i="30" s="1"/>
  <c r="X245" i="30" s="1"/>
  <c r="FT101" i="30"/>
  <c r="FT33" i="30"/>
  <c r="FU16" i="30" s="1"/>
  <c r="FT100" i="30"/>
  <c r="FT79" i="30" s="1"/>
  <c r="FT28" i="30" s="1"/>
  <c r="FU11" i="30" s="1"/>
  <c r="FU96" i="30" s="1"/>
  <c r="FT32" i="30"/>
  <c r="FU15" i="30" s="1"/>
  <c r="FU26" i="30"/>
  <c r="FV9" i="30" s="1"/>
  <c r="X205" i="30" s="1"/>
  <c r="FU94" i="30"/>
  <c r="FT25" i="30"/>
  <c r="FU8" i="30" s="1"/>
  <c r="FT93" i="30"/>
  <c r="DX27" i="30" l="1"/>
  <c r="DY10" i="30" s="1"/>
  <c r="DY95" i="30" s="1"/>
  <c r="DW31" i="30"/>
  <c r="DX14" i="30" s="1"/>
  <c r="DX99" i="30" s="1"/>
  <c r="DX72" i="30" s="1"/>
  <c r="DX21" i="30" s="1"/>
  <c r="DY4" i="30" s="1"/>
  <c r="DY89" i="30" s="1"/>
  <c r="DY78" i="30" s="1"/>
  <c r="DW73" i="30"/>
  <c r="DW22" i="30" s="1"/>
  <c r="DX5" i="30" s="1"/>
  <c r="DX90" i="30" s="1"/>
  <c r="DX81" i="30" s="1"/>
  <c r="DX30" i="30" s="1"/>
  <c r="DY13" i="30" s="1"/>
  <c r="DY98" i="30" s="1"/>
  <c r="DW74" i="30"/>
  <c r="DW23" i="30" s="1"/>
  <c r="DX6" i="30" s="1"/>
  <c r="DX91" i="30" s="1"/>
  <c r="DX82" i="30" s="1"/>
  <c r="DW71" i="30"/>
  <c r="DW20" i="30" s="1"/>
  <c r="DX3" i="30" s="1"/>
  <c r="DX88" i="30" s="1"/>
  <c r="DW80" i="30"/>
  <c r="DW29" i="30" s="1"/>
  <c r="DX12" i="30" s="1"/>
  <c r="DX97" i="30" s="1"/>
  <c r="DW86" i="30"/>
  <c r="DW35" i="30" s="1"/>
  <c r="DX18" i="30" s="1"/>
  <c r="DX103" i="30" s="1"/>
  <c r="DW75" i="30"/>
  <c r="DW24" i="30" s="1"/>
  <c r="DX7" i="30" s="1"/>
  <c r="DX92" i="30" s="1"/>
  <c r="FV104" i="30"/>
  <c r="FV36" i="30"/>
  <c r="FW19" i="30" s="1"/>
  <c r="FV102" i="30"/>
  <c r="FV83" i="30" s="1"/>
  <c r="FV34" i="30"/>
  <c r="FW17" i="30" s="1"/>
  <c r="FU33" i="30"/>
  <c r="FV16" i="30" s="1"/>
  <c r="X240" i="30" s="1"/>
  <c r="FU101" i="30"/>
  <c r="FU100" i="30"/>
  <c r="FU79" i="30" s="1"/>
  <c r="FU28" i="30" s="1"/>
  <c r="FV11" i="30" s="1"/>
  <c r="X215" i="30" s="1"/>
  <c r="FU32" i="30"/>
  <c r="FV15" i="30" s="1"/>
  <c r="X235" i="30" s="1"/>
  <c r="FV94" i="30"/>
  <c r="FV26" i="30"/>
  <c r="FW9" i="30" s="1"/>
  <c r="FU93" i="30"/>
  <c r="FU25" i="30"/>
  <c r="FV8" i="30" s="1"/>
  <c r="X200" i="30" s="1"/>
  <c r="FV96" i="30" l="1"/>
  <c r="DY27" i="30"/>
  <c r="DZ10" i="30" s="1"/>
  <c r="R210" i="30" s="1"/>
  <c r="DX73" i="30"/>
  <c r="DX22" i="30" s="1"/>
  <c r="DY5" i="30" s="1"/>
  <c r="DY90" i="30" s="1"/>
  <c r="DY81" i="30" s="1"/>
  <c r="DY30" i="30" s="1"/>
  <c r="DZ13" i="30" s="1"/>
  <c r="R225" i="30" s="1"/>
  <c r="DX31" i="30"/>
  <c r="DY14" i="30" s="1"/>
  <c r="DY99" i="30" s="1"/>
  <c r="DY72" i="30" s="1"/>
  <c r="DY21" i="30" s="1"/>
  <c r="DZ4" i="30" s="1"/>
  <c r="R180" i="30" s="1"/>
  <c r="DX71" i="30"/>
  <c r="DX20" i="30" s="1"/>
  <c r="DY3" i="30" s="1"/>
  <c r="DY88" i="30" s="1"/>
  <c r="DX75" i="30"/>
  <c r="DX24" i="30" s="1"/>
  <c r="DY7" i="30" s="1"/>
  <c r="DY92" i="30" s="1"/>
  <c r="DX86" i="30"/>
  <c r="DX35" i="30" s="1"/>
  <c r="DY18" i="30" s="1"/>
  <c r="DY103" i="30" s="1"/>
  <c r="DX80" i="30"/>
  <c r="DX29" i="30" s="1"/>
  <c r="DY12" i="30" s="1"/>
  <c r="DY97" i="30" s="1"/>
  <c r="DX74" i="30"/>
  <c r="DX23" i="30" s="1"/>
  <c r="DY6" i="30" s="1"/>
  <c r="DY91" i="30" s="1"/>
  <c r="DY82" i="30" s="1"/>
  <c r="FW104" i="30"/>
  <c r="FW36" i="30"/>
  <c r="FX19" i="30" s="1"/>
  <c r="FW34" i="30"/>
  <c r="FX17" i="30" s="1"/>
  <c r="FW102" i="30"/>
  <c r="FW83" i="30" s="1"/>
  <c r="FV101" i="30"/>
  <c r="FV33" i="30"/>
  <c r="FW16" i="30" s="1"/>
  <c r="FV100" i="30"/>
  <c r="FV79" i="30" s="1"/>
  <c r="FV28" i="30" s="1"/>
  <c r="FW11" i="30" s="1"/>
  <c r="FW96" i="30" s="1"/>
  <c r="FV32" i="30"/>
  <c r="FW15" i="30" s="1"/>
  <c r="FW94" i="30"/>
  <c r="FW26" i="30"/>
  <c r="FX9" i="30" s="1"/>
  <c r="FV25" i="30"/>
  <c r="FW8" i="30" s="1"/>
  <c r="FV93" i="30"/>
  <c r="DZ95" i="30" l="1"/>
  <c r="DY71" i="30"/>
  <c r="DY20" i="30" s="1"/>
  <c r="DZ3" i="30" s="1"/>
  <c r="R175" i="30" s="1"/>
  <c r="DY31" i="30"/>
  <c r="DZ14" i="30" s="1"/>
  <c r="R230" i="30" s="1"/>
  <c r="DZ89" i="30"/>
  <c r="DZ78" i="30" s="1"/>
  <c r="DZ27" i="30" s="1"/>
  <c r="EA10" i="30" s="1"/>
  <c r="EA95" i="30" s="1"/>
  <c r="DY74" i="30"/>
  <c r="DY23" i="30" s="1"/>
  <c r="DZ6" i="30" s="1"/>
  <c r="R190" i="30" s="1"/>
  <c r="DY73" i="30"/>
  <c r="DY22" i="30" s="1"/>
  <c r="DZ5" i="30" s="1"/>
  <c r="R185" i="30" s="1"/>
  <c r="DY80" i="30"/>
  <c r="DY29" i="30" s="1"/>
  <c r="DZ12" i="30" s="1"/>
  <c r="R220" i="30" s="1"/>
  <c r="DY75" i="30"/>
  <c r="DY24" i="30" s="1"/>
  <c r="DZ7" i="30" s="1"/>
  <c r="R195" i="30" s="1"/>
  <c r="DY86" i="30"/>
  <c r="DY35" i="30" s="1"/>
  <c r="DZ18" i="30" s="1"/>
  <c r="R250" i="30" s="1"/>
  <c r="FX104" i="30"/>
  <c r="FX36" i="30"/>
  <c r="FY19" i="30" s="1"/>
  <c r="FX34" i="30"/>
  <c r="FY17" i="30" s="1"/>
  <c r="FX102" i="30"/>
  <c r="FX83" i="30" s="1"/>
  <c r="FW33" i="30"/>
  <c r="FX16" i="30" s="1"/>
  <c r="FW101" i="30"/>
  <c r="FW100" i="30"/>
  <c r="FW79" i="30" s="1"/>
  <c r="FW28" i="30" s="1"/>
  <c r="FX11" i="30" s="1"/>
  <c r="FX96" i="30" s="1"/>
  <c r="FW32" i="30"/>
  <c r="FX15" i="30" s="1"/>
  <c r="FX26" i="30"/>
  <c r="FY9" i="30" s="1"/>
  <c r="FX94" i="30"/>
  <c r="FW25" i="30"/>
  <c r="FX8" i="30" s="1"/>
  <c r="FW93" i="30"/>
  <c r="DZ98" i="30"/>
  <c r="DZ99" i="30" l="1"/>
  <c r="DZ72" i="30" s="1"/>
  <c r="DZ21" i="30" s="1"/>
  <c r="EA4" i="30" s="1"/>
  <c r="EA89" i="30" s="1"/>
  <c r="EA78" i="30" s="1"/>
  <c r="EA27" i="30" s="1"/>
  <c r="EB10" i="30" s="1"/>
  <c r="EB95" i="30" s="1"/>
  <c r="DZ90" i="30"/>
  <c r="DZ81" i="30" s="1"/>
  <c r="DZ30" i="30" s="1"/>
  <c r="EA13" i="30" s="1"/>
  <c r="EA98" i="30" s="1"/>
  <c r="DZ88" i="30"/>
  <c r="DZ103" i="30"/>
  <c r="DZ92" i="30"/>
  <c r="DZ97" i="30"/>
  <c r="DZ91" i="30"/>
  <c r="DZ82" i="30" s="1"/>
  <c r="DZ31" i="30" s="1"/>
  <c r="EA14" i="30" s="1"/>
  <c r="EA99" i="30" s="1"/>
  <c r="EA72" i="30" s="1"/>
  <c r="FY104" i="30"/>
  <c r="FY36" i="30"/>
  <c r="FZ19" i="30" s="1"/>
  <c r="FY34" i="30"/>
  <c r="FZ17" i="30" s="1"/>
  <c r="FY102" i="30"/>
  <c r="FY83" i="30" s="1"/>
  <c r="FX33" i="30"/>
  <c r="FY16" i="30" s="1"/>
  <c r="FX101" i="30"/>
  <c r="FX100" i="30"/>
  <c r="FX79" i="30" s="1"/>
  <c r="FX28" i="30" s="1"/>
  <c r="FY11" i="30" s="1"/>
  <c r="FY96" i="30" s="1"/>
  <c r="FX32" i="30"/>
  <c r="FY15" i="30" s="1"/>
  <c r="FY94" i="30"/>
  <c r="FY26" i="30"/>
  <c r="FZ9" i="30" s="1"/>
  <c r="FX25" i="30"/>
  <c r="FY8" i="30" s="1"/>
  <c r="FX93" i="30"/>
  <c r="DZ73" i="30" l="1"/>
  <c r="DZ22" i="30" s="1"/>
  <c r="EA5" i="30" s="1"/>
  <c r="EA90" i="30" s="1"/>
  <c r="EA81" i="30" s="1"/>
  <c r="EA30" i="30" s="1"/>
  <c r="EB13" i="30" s="1"/>
  <c r="EB98" i="30" s="1"/>
  <c r="DZ71" i="30"/>
  <c r="DZ20" i="30" s="1"/>
  <c r="EA3" i="30" s="1"/>
  <c r="EA88" i="30" s="1"/>
  <c r="DZ74" i="30"/>
  <c r="DZ23" i="30" s="1"/>
  <c r="EA6" i="30" s="1"/>
  <c r="EA91" i="30" s="1"/>
  <c r="EA82" i="30" s="1"/>
  <c r="EA31" i="30" s="1"/>
  <c r="EB14" i="30" s="1"/>
  <c r="EB99" i="30" s="1"/>
  <c r="EB72" i="30" s="1"/>
  <c r="DZ80" i="30"/>
  <c r="DZ29" i="30" s="1"/>
  <c r="EA12" i="30" s="1"/>
  <c r="EA97" i="30" s="1"/>
  <c r="EA21" i="30"/>
  <c r="EB4" i="30" s="1"/>
  <c r="EB89" i="30" s="1"/>
  <c r="EB78" i="30" s="1"/>
  <c r="EB27" i="30" s="1"/>
  <c r="EC10" i="30" s="1"/>
  <c r="EC95" i="30" s="1"/>
  <c r="DZ86" i="30"/>
  <c r="DZ35" i="30" s="1"/>
  <c r="EA18" i="30" s="1"/>
  <c r="EA103" i="30" s="1"/>
  <c r="DZ75" i="30"/>
  <c r="DZ24" i="30" s="1"/>
  <c r="EA7" i="30" s="1"/>
  <c r="EA92" i="30" s="1"/>
  <c r="FZ104" i="30"/>
  <c r="FZ36" i="30"/>
  <c r="GA19" i="30" s="1"/>
  <c r="FZ102" i="30"/>
  <c r="FZ83" i="30" s="1"/>
  <c r="FZ34" i="30"/>
  <c r="GA17" i="30" s="1"/>
  <c r="FY101" i="30"/>
  <c r="FY33" i="30"/>
  <c r="FZ16" i="30" s="1"/>
  <c r="FY100" i="30"/>
  <c r="FY79" i="30" s="1"/>
  <c r="FY28" i="30" s="1"/>
  <c r="FZ11" i="30" s="1"/>
  <c r="FZ96" i="30" s="1"/>
  <c r="FY32" i="30"/>
  <c r="FZ15" i="30" s="1"/>
  <c r="FZ26" i="30"/>
  <c r="GA9" i="30" s="1"/>
  <c r="FZ94" i="30"/>
  <c r="EA73" i="30"/>
  <c r="FY25" i="30"/>
  <c r="FZ8" i="30" s="1"/>
  <c r="FY93" i="30"/>
  <c r="EA22" i="30" l="1"/>
  <c r="EB5" i="30" s="1"/>
  <c r="EB90" i="30" s="1"/>
  <c r="EB81" i="30" s="1"/>
  <c r="EB30" i="30" s="1"/>
  <c r="EC13" i="30" s="1"/>
  <c r="EC98" i="30" s="1"/>
  <c r="EA71" i="30"/>
  <c r="EA20" i="30" s="1"/>
  <c r="EB3" i="30" s="1"/>
  <c r="EB88" i="30" s="1"/>
  <c r="EA80" i="30"/>
  <c r="EA29" i="30" s="1"/>
  <c r="EB12" i="30" s="1"/>
  <c r="EB97" i="30" s="1"/>
  <c r="EB21" i="30"/>
  <c r="EC4" i="30" s="1"/>
  <c r="EC89" i="30" s="1"/>
  <c r="EC78" i="30" s="1"/>
  <c r="EC27" i="30" s="1"/>
  <c r="ED10" i="30" s="1"/>
  <c r="ED95" i="30" s="1"/>
  <c r="EA75" i="30"/>
  <c r="EA24" i="30" s="1"/>
  <c r="EB7" i="30" s="1"/>
  <c r="EB92" i="30" s="1"/>
  <c r="EA86" i="30"/>
  <c r="EA35" i="30" s="1"/>
  <c r="EB18" i="30" s="1"/>
  <c r="EB103" i="30" s="1"/>
  <c r="EA74" i="30"/>
  <c r="EA23" i="30" s="1"/>
  <c r="EB6" i="30" s="1"/>
  <c r="EB91" i="30" s="1"/>
  <c r="GA104" i="30"/>
  <c r="GA36" i="30"/>
  <c r="GB19" i="30" s="1"/>
  <c r="GA102" i="30"/>
  <c r="GA83" i="30" s="1"/>
  <c r="GA34" i="30"/>
  <c r="GB17" i="30" s="1"/>
  <c r="FZ33" i="30"/>
  <c r="GA16" i="30" s="1"/>
  <c r="FZ101" i="30"/>
  <c r="FZ100" i="30"/>
  <c r="FZ79" i="30" s="1"/>
  <c r="FZ28" i="30" s="1"/>
  <c r="GA11" i="30" s="1"/>
  <c r="GA96" i="30" s="1"/>
  <c r="FZ32" i="30"/>
  <c r="GA15" i="30" s="1"/>
  <c r="GA94" i="30"/>
  <c r="GA26" i="30"/>
  <c r="GB9" i="30" s="1"/>
  <c r="FZ25" i="30"/>
  <c r="GA8" i="30" s="1"/>
  <c r="FZ93" i="30"/>
  <c r="EB73" i="30"/>
  <c r="EB74" i="30" l="1"/>
  <c r="EB23" i="30" s="1"/>
  <c r="EC6" i="30" s="1"/>
  <c r="EC91" i="30" s="1"/>
  <c r="EB22" i="30"/>
  <c r="EC5" i="30" s="1"/>
  <c r="EC90" i="30" s="1"/>
  <c r="EC81" i="30" s="1"/>
  <c r="EC30" i="30" s="1"/>
  <c r="ED13" i="30" s="1"/>
  <c r="ED98" i="30" s="1"/>
  <c r="EB71" i="30"/>
  <c r="EB20" i="30" s="1"/>
  <c r="EC3" i="30" s="1"/>
  <c r="EC88" i="30" s="1"/>
  <c r="EB75" i="30"/>
  <c r="EB24" i="30" s="1"/>
  <c r="EC7" i="30" s="1"/>
  <c r="EC92" i="30" s="1"/>
  <c r="EB80" i="30"/>
  <c r="EB29" i="30" s="1"/>
  <c r="EC12" i="30" s="1"/>
  <c r="EC97" i="30" s="1"/>
  <c r="EB82" i="30"/>
  <c r="EB31" i="30" s="1"/>
  <c r="EC14" i="30" s="1"/>
  <c r="EC99" i="30" s="1"/>
  <c r="EC72" i="30" s="1"/>
  <c r="EC21" i="30" s="1"/>
  <c r="ED4" i="30" s="1"/>
  <c r="ED89" i="30" s="1"/>
  <c r="ED78" i="30" s="1"/>
  <c r="ED27" i="30" s="1"/>
  <c r="EE10" i="30" s="1"/>
  <c r="EE95" i="30" s="1"/>
  <c r="EB86" i="30"/>
  <c r="EB35" i="30" s="1"/>
  <c r="EC18" i="30" s="1"/>
  <c r="EC103" i="30" s="1"/>
  <c r="GB104" i="30"/>
  <c r="GB36" i="30"/>
  <c r="GC19" i="30" s="1"/>
  <c r="GB34" i="30"/>
  <c r="GC17" i="30" s="1"/>
  <c r="GB102" i="30"/>
  <c r="GB83" i="30" s="1"/>
  <c r="GA33" i="30"/>
  <c r="GB16" i="30" s="1"/>
  <c r="GA101" i="30"/>
  <c r="GA100" i="30"/>
  <c r="GA79" i="30" s="1"/>
  <c r="GA28" i="30" s="1"/>
  <c r="GB11" i="30" s="1"/>
  <c r="GB96" i="30" s="1"/>
  <c r="GA32" i="30"/>
  <c r="GB15" i="30" s="1"/>
  <c r="GB26" i="30"/>
  <c r="GC9" i="30" s="1"/>
  <c r="GB94" i="30"/>
  <c r="GA25" i="30"/>
  <c r="GB8" i="30" s="1"/>
  <c r="GA93" i="30"/>
  <c r="EC71" i="30" l="1"/>
  <c r="EC20" i="30" s="1"/>
  <c r="ED3" i="30" s="1"/>
  <c r="ED88" i="30" s="1"/>
  <c r="EC75" i="30"/>
  <c r="EC24" i="30" s="1"/>
  <c r="ED7" i="30" s="1"/>
  <c r="ED92" i="30" s="1"/>
  <c r="EC80" i="30"/>
  <c r="EC29" i="30" s="1"/>
  <c r="ED12" i="30" s="1"/>
  <c r="ED97" i="30" s="1"/>
  <c r="EC86" i="30"/>
  <c r="EC35" i="30" s="1"/>
  <c r="ED18" i="30" s="1"/>
  <c r="ED103" i="30" s="1"/>
  <c r="EC82" i="30"/>
  <c r="EC31" i="30" s="1"/>
  <c r="ED14" i="30" s="1"/>
  <c r="ED99" i="30" s="1"/>
  <c r="ED72" i="30" s="1"/>
  <c r="ED21" i="30" s="1"/>
  <c r="EE4" i="30" s="1"/>
  <c r="EE89" i="30" s="1"/>
  <c r="EE78" i="30" s="1"/>
  <c r="EE27" i="30" s="1"/>
  <c r="EF10" i="30" s="1"/>
  <c r="EF95" i="30" s="1"/>
  <c r="EC74" i="30"/>
  <c r="EC23" i="30" s="1"/>
  <c r="ED6" i="30" s="1"/>
  <c r="ED91" i="30" s="1"/>
  <c r="ED82" i="30" s="1"/>
  <c r="EC73" i="30"/>
  <c r="EC22" i="30" s="1"/>
  <c r="ED5" i="30" s="1"/>
  <c r="ED90" i="30" s="1"/>
  <c r="ED81" i="30" s="1"/>
  <c r="ED30" i="30" s="1"/>
  <c r="EE13" i="30" s="1"/>
  <c r="EE98" i="30" s="1"/>
  <c r="GC104" i="30"/>
  <c r="GC36" i="30"/>
  <c r="GD19" i="30" s="1"/>
  <c r="Y255" i="30" s="1"/>
  <c r="GC102" i="30"/>
  <c r="GC83" i="30" s="1"/>
  <c r="GC34" i="30"/>
  <c r="GD17" i="30" s="1"/>
  <c r="Y245" i="30" s="1"/>
  <c r="GB101" i="30"/>
  <c r="GB33" i="30"/>
  <c r="GC16" i="30" s="1"/>
  <c r="GB100" i="30"/>
  <c r="GB79" i="30" s="1"/>
  <c r="GB28" i="30" s="1"/>
  <c r="GC11" i="30" s="1"/>
  <c r="GC96" i="30" s="1"/>
  <c r="GB32" i="30"/>
  <c r="GC15" i="30" s="1"/>
  <c r="GC26" i="30"/>
  <c r="GD9" i="30" s="1"/>
  <c r="Y205" i="30" s="1"/>
  <c r="GC94" i="30"/>
  <c r="GB25" i="30"/>
  <c r="GC8" i="30" s="1"/>
  <c r="GB93" i="30"/>
  <c r="ED86" i="30" l="1"/>
  <c r="ED35" i="30" s="1"/>
  <c r="EE18" i="30" s="1"/>
  <c r="EE103" i="30" s="1"/>
  <c r="ED73" i="30"/>
  <c r="ED22" i="30" s="1"/>
  <c r="EE5" i="30" s="1"/>
  <c r="EE90" i="30" s="1"/>
  <c r="EE81" i="30" s="1"/>
  <c r="EE30" i="30" s="1"/>
  <c r="EF13" i="30" s="1"/>
  <c r="EF98" i="30" s="1"/>
  <c r="ED31" i="30"/>
  <c r="EE14" i="30" s="1"/>
  <c r="EE99" i="30" s="1"/>
  <c r="EE72" i="30" s="1"/>
  <c r="EE21" i="30" s="1"/>
  <c r="EF4" i="30" s="1"/>
  <c r="EF89" i="30" s="1"/>
  <c r="EF78" i="30" s="1"/>
  <c r="EF27" i="30" s="1"/>
  <c r="EG10" i="30" s="1"/>
  <c r="EG95" i="30" s="1"/>
  <c r="ED71" i="30"/>
  <c r="ED20" i="30" s="1"/>
  <c r="EE3" i="30" s="1"/>
  <c r="EE88" i="30" s="1"/>
  <c r="ED80" i="30"/>
  <c r="ED29" i="30" s="1"/>
  <c r="EE12" i="30" s="1"/>
  <c r="EE97" i="30" s="1"/>
  <c r="ED75" i="30"/>
  <c r="ED24" i="30" s="1"/>
  <c r="EE7" i="30" s="1"/>
  <c r="EE92" i="30" s="1"/>
  <c r="ED74" i="30"/>
  <c r="ED23" i="30" s="1"/>
  <c r="EE6" i="30" s="1"/>
  <c r="EE91" i="30" s="1"/>
  <c r="GD104" i="30"/>
  <c r="GD36" i="30"/>
  <c r="GE19" i="30" s="1"/>
  <c r="GD102" i="30"/>
  <c r="GD83" i="30" s="1"/>
  <c r="GD34" i="30"/>
  <c r="GE17" i="30" s="1"/>
  <c r="GC33" i="30"/>
  <c r="GD16" i="30" s="1"/>
  <c r="Y240" i="30" s="1"/>
  <c r="GC101" i="30"/>
  <c r="GC100" i="30"/>
  <c r="GC79" i="30" s="1"/>
  <c r="GC28" i="30" s="1"/>
  <c r="GD11" i="30" s="1"/>
  <c r="Y215" i="30" s="1"/>
  <c r="GC32" i="30"/>
  <c r="GD15" i="30" s="1"/>
  <c r="Y235" i="30" s="1"/>
  <c r="GD26" i="30"/>
  <c r="GE9" i="30" s="1"/>
  <c r="GD94" i="30"/>
  <c r="GC25" i="30"/>
  <c r="GD8" i="30" s="1"/>
  <c r="Y200" i="30" s="1"/>
  <c r="GC93" i="30"/>
  <c r="GD96" i="30" l="1"/>
  <c r="EE73" i="30"/>
  <c r="EE22" i="30" s="1"/>
  <c r="EF5" i="30" s="1"/>
  <c r="EF90" i="30" s="1"/>
  <c r="EF81" i="30" s="1"/>
  <c r="EF30" i="30" s="1"/>
  <c r="EG13" i="30" s="1"/>
  <c r="EG98" i="30" s="1"/>
  <c r="EE74" i="30"/>
  <c r="EE23" i="30" s="1"/>
  <c r="EF6" i="30" s="1"/>
  <c r="EF91" i="30" s="1"/>
  <c r="EF82" i="30" s="1"/>
  <c r="EE80" i="30"/>
  <c r="EE29" i="30" s="1"/>
  <c r="EF12" i="30" s="1"/>
  <c r="EF97" i="30" s="1"/>
  <c r="EE71" i="30"/>
  <c r="EE20" i="30" s="1"/>
  <c r="EF3" i="30" s="1"/>
  <c r="EF88" i="30" s="1"/>
  <c r="EE75" i="30"/>
  <c r="EE24" i="30" s="1"/>
  <c r="EF7" i="30" s="1"/>
  <c r="EF92" i="30" s="1"/>
  <c r="EE82" i="30"/>
  <c r="EE31" i="30" s="1"/>
  <c r="EF14" i="30" s="1"/>
  <c r="EF99" i="30" s="1"/>
  <c r="EF72" i="30" s="1"/>
  <c r="EF21" i="30" s="1"/>
  <c r="EG4" i="30" s="1"/>
  <c r="EG89" i="30" s="1"/>
  <c r="EG78" i="30" s="1"/>
  <c r="EG27" i="30" s="1"/>
  <c r="EH10" i="30" s="1"/>
  <c r="S210" i="30" s="1"/>
  <c r="EE86" i="30"/>
  <c r="EE35" i="30" s="1"/>
  <c r="EF18" i="30" s="1"/>
  <c r="EF103" i="30" s="1"/>
  <c r="GE104" i="30"/>
  <c r="GE36" i="30"/>
  <c r="GF19" i="30" s="1"/>
  <c r="GE102" i="30"/>
  <c r="GE83" i="30" s="1"/>
  <c r="GE34" i="30"/>
  <c r="GF17" i="30" s="1"/>
  <c r="GD33" i="30"/>
  <c r="GE16" i="30" s="1"/>
  <c r="GD101" i="30"/>
  <c r="GD100" i="30"/>
  <c r="GD79" i="30" s="1"/>
  <c r="GD28" i="30" s="1"/>
  <c r="GE11" i="30" s="1"/>
  <c r="GE96" i="30" s="1"/>
  <c r="GD32" i="30"/>
  <c r="GE15" i="30" s="1"/>
  <c r="GE94" i="30"/>
  <c r="GE26" i="30"/>
  <c r="GF9" i="30" s="1"/>
  <c r="GD93" i="30"/>
  <c r="GD25" i="30"/>
  <c r="GE8" i="30" s="1"/>
  <c r="EF71" i="30" l="1"/>
  <c r="EF20" i="30" s="1"/>
  <c r="EG3" i="30" s="1"/>
  <c r="EG88" i="30" s="1"/>
  <c r="EF75" i="30"/>
  <c r="EF24" i="30" s="1"/>
  <c r="EG7" i="30" s="1"/>
  <c r="EG92" i="30" s="1"/>
  <c r="EF86" i="30"/>
  <c r="EF35" i="30" s="1"/>
  <c r="EG18" i="30" s="1"/>
  <c r="EG103" i="30" s="1"/>
  <c r="EF80" i="30"/>
  <c r="EF29" i="30" s="1"/>
  <c r="EG12" i="30" s="1"/>
  <c r="EG97" i="30" s="1"/>
  <c r="EF31" i="30"/>
  <c r="EG14" i="30" s="1"/>
  <c r="EG99" i="30" s="1"/>
  <c r="EG72" i="30" s="1"/>
  <c r="EG21" i="30" s="1"/>
  <c r="EH4" i="30" s="1"/>
  <c r="S180" i="30" s="1"/>
  <c r="EF74" i="30"/>
  <c r="EF23" i="30" s="1"/>
  <c r="EG6" i="30" s="1"/>
  <c r="EG91" i="30" s="1"/>
  <c r="EG82" i="30" s="1"/>
  <c r="EF73" i="30"/>
  <c r="EF22" i="30" s="1"/>
  <c r="EG5" i="30" s="1"/>
  <c r="EG90" i="30" s="1"/>
  <c r="GF104" i="30"/>
  <c r="GF36" i="30"/>
  <c r="GG19" i="30" s="1"/>
  <c r="GF102" i="30"/>
  <c r="GF83" i="30" s="1"/>
  <c r="GF34" i="30"/>
  <c r="GG17" i="30" s="1"/>
  <c r="GE101" i="30"/>
  <c r="GE33" i="30"/>
  <c r="GF16" i="30" s="1"/>
  <c r="GE100" i="30"/>
  <c r="GE79" i="30" s="1"/>
  <c r="GE28" i="30" s="1"/>
  <c r="GF11" i="30" s="1"/>
  <c r="GF96" i="30" s="1"/>
  <c r="GE32" i="30"/>
  <c r="GF15" i="30" s="1"/>
  <c r="GF94" i="30"/>
  <c r="GF26" i="30"/>
  <c r="GG9" i="30" s="1"/>
  <c r="GE93" i="30"/>
  <c r="GE25" i="30"/>
  <c r="GF8" i="30" s="1"/>
  <c r="EH95" i="30"/>
  <c r="EG73" i="30" l="1"/>
  <c r="EG22" i="30" s="1"/>
  <c r="EH5" i="30" s="1"/>
  <c r="S185" i="30" s="1"/>
  <c r="EG31" i="30"/>
  <c r="EH14" i="30" s="1"/>
  <c r="S230" i="30" s="1"/>
  <c r="EG71" i="30"/>
  <c r="EG20" i="30" s="1"/>
  <c r="EH3" i="30" s="1"/>
  <c r="S175" i="30" s="1"/>
  <c r="EG86" i="30"/>
  <c r="EG35" i="30" s="1"/>
  <c r="EH18" i="30" s="1"/>
  <c r="S250" i="30" s="1"/>
  <c r="EG74" i="30"/>
  <c r="EG23" i="30" s="1"/>
  <c r="EH6" i="30" s="1"/>
  <c r="S190" i="30" s="1"/>
  <c r="EH89" i="30"/>
  <c r="EH78" i="30" s="1"/>
  <c r="EH27" i="30" s="1"/>
  <c r="EI10" i="30" s="1"/>
  <c r="EI95" i="30" s="1"/>
  <c r="EG81" i="30"/>
  <c r="EG30" i="30" s="1"/>
  <c r="EH13" i="30" s="1"/>
  <c r="S225" i="30" s="1"/>
  <c r="EG80" i="30"/>
  <c r="EG29" i="30" s="1"/>
  <c r="EH12" i="30" s="1"/>
  <c r="S220" i="30" s="1"/>
  <c r="EG75" i="30"/>
  <c r="EG24" i="30" s="1"/>
  <c r="EH7" i="30" s="1"/>
  <c r="S195" i="30" s="1"/>
  <c r="GG104" i="30"/>
  <c r="GG36" i="30"/>
  <c r="GH19" i="30" s="1"/>
  <c r="GG34" i="30"/>
  <c r="GH17" i="30" s="1"/>
  <c r="GG102" i="30"/>
  <c r="GG83" i="30" s="1"/>
  <c r="GF101" i="30"/>
  <c r="GF33" i="30"/>
  <c r="GG16" i="30" s="1"/>
  <c r="GF100" i="30"/>
  <c r="GF79" i="30" s="1"/>
  <c r="GF28" i="30" s="1"/>
  <c r="GG11" i="30" s="1"/>
  <c r="GG96" i="30" s="1"/>
  <c r="GF32" i="30"/>
  <c r="GG15" i="30" s="1"/>
  <c r="GG94" i="30"/>
  <c r="GG26" i="30"/>
  <c r="GH9" i="30" s="1"/>
  <c r="GF25" i="30"/>
  <c r="GG8" i="30" s="1"/>
  <c r="GF93" i="30"/>
  <c r="EH103" i="30" l="1"/>
  <c r="EH88" i="30"/>
  <c r="EH99" i="30"/>
  <c r="EH72" i="30" s="1"/>
  <c r="EH21" i="30" s="1"/>
  <c r="EI4" i="30" s="1"/>
  <c r="EI89" i="30" s="1"/>
  <c r="EI78" i="30" s="1"/>
  <c r="EI27" i="30" s="1"/>
  <c r="EJ10" i="30" s="1"/>
  <c r="EJ95" i="30" s="1"/>
  <c r="EH91" i="30"/>
  <c r="EH98" i="30"/>
  <c r="EH97" i="30"/>
  <c r="EH90" i="30"/>
  <c r="EH81" i="30" s="1"/>
  <c r="EH30" i="30" s="1"/>
  <c r="EI13" i="30" s="1"/>
  <c r="EI98" i="30" s="1"/>
  <c r="EH92" i="30"/>
  <c r="GH36" i="30"/>
  <c r="GI19" i="30" s="1"/>
  <c r="GH104" i="30"/>
  <c r="GH102" i="30"/>
  <c r="GH83" i="30" s="1"/>
  <c r="GH34" i="30"/>
  <c r="GI17" i="30" s="1"/>
  <c r="GG101" i="30"/>
  <c r="GG33" i="30"/>
  <c r="GH16" i="30" s="1"/>
  <c r="GG100" i="30"/>
  <c r="GG79" i="30" s="1"/>
  <c r="GG28" i="30" s="1"/>
  <c r="GH11" i="30" s="1"/>
  <c r="GH96" i="30" s="1"/>
  <c r="GG32" i="30"/>
  <c r="GH15" i="30" s="1"/>
  <c r="GH26" i="30"/>
  <c r="GI9" i="30" s="1"/>
  <c r="GH94" i="30"/>
  <c r="GG25" i="30"/>
  <c r="GH8" i="30" s="1"/>
  <c r="GG93" i="30"/>
  <c r="EH73" i="30" l="1"/>
  <c r="EH22" i="30" s="1"/>
  <c r="EI5" i="30" s="1"/>
  <c r="EI90" i="30" s="1"/>
  <c r="EI81" i="30" s="1"/>
  <c r="EI30" i="30" s="1"/>
  <c r="EJ13" i="30" s="1"/>
  <c r="EJ98" i="30" s="1"/>
  <c r="EH82" i="30"/>
  <c r="EH31" i="30" s="1"/>
  <c r="EI14" i="30" s="1"/>
  <c r="EI99" i="30" s="1"/>
  <c r="EI72" i="30" s="1"/>
  <c r="EI21" i="30" s="1"/>
  <c r="EJ4" i="30" s="1"/>
  <c r="EJ89" i="30" s="1"/>
  <c r="EH71" i="30"/>
  <c r="EH20" i="30" s="1"/>
  <c r="EI3" i="30" s="1"/>
  <c r="EI88" i="30" s="1"/>
  <c r="EH86" i="30"/>
  <c r="EH35" i="30" s="1"/>
  <c r="EI18" i="30" s="1"/>
  <c r="EI103" i="30" s="1"/>
  <c r="EH74" i="30"/>
  <c r="EH23" i="30" s="1"/>
  <c r="EI6" i="30" s="1"/>
  <c r="EI91" i="30" s="1"/>
  <c r="EI82" i="30" s="1"/>
  <c r="EH80" i="30"/>
  <c r="EH29" i="30" s="1"/>
  <c r="EI12" i="30" s="1"/>
  <c r="EI97" i="30" s="1"/>
  <c r="EH75" i="30"/>
  <c r="EH24" i="30" s="1"/>
  <c r="EI7" i="30" s="1"/>
  <c r="EI92" i="30" s="1"/>
  <c r="GI36" i="30"/>
  <c r="GJ19" i="30" s="1"/>
  <c r="GI104" i="30"/>
  <c r="GI34" i="30"/>
  <c r="GJ17" i="30" s="1"/>
  <c r="GI102" i="30"/>
  <c r="GI83" i="30" s="1"/>
  <c r="GH33" i="30"/>
  <c r="GI16" i="30" s="1"/>
  <c r="GH101" i="30"/>
  <c r="GH100" i="30"/>
  <c r="GH79" i="30" s="1"/>
  <c r="GH28" i="30" s="1"/>
  <c r="GI11" i="30" s="1"/>
  <c r="GI96" i="30" s="1"/>
  <c r="GH32" i="30"/>
  <c r="GI15" i="30" s="1"/>
  <c r="GI94" i="30"/>
  <c r="GI26" i="30"/>
  <c r="GJ9" i="30" s="1"/>
  <c r="GH25" i="30"/>
  <c r="GI8" i="30" s="1"/>
  <c r="GH93" i="30"/>
  <c r="EI71" i="30" l="1"/>
  <c r="EI20" i="30" s="1"/>
  <c r="EJ3" i="30" s="1"/>
  <c r="EJ88" i="30" s="1"/>
  <c r="EI31" i="30"/>
  <c r="EJ14" i="30" s="1"/>
  <c r="EJ99" i="30" s="1"/>
  <c r="EJ72" i="30" s="1"/>
  <c r="EJ21" i="30" s="1"/>
  <c r="EK4" i="30" s="1"/>
  <c r="EK89" i="30" s="1"/>
  <c r="EK78" i="30" s="1"/>
  <c r="EI73" i="30"/>
  <c r="EI22" i="30" s="1"/>
  <c r="EJ5" i="30" s="1"/>
  <c r="EJ90" i="30" s="1"/>
  <c r="EJ81" i="30" s="1"/>
  <c r="EJ30" i="30" s="1"/>
  <c r="EK13" i="30" s="1"/>
  <c r="EK98" i="30" s="1"/>
  <c r="EI74" i="30"/>
  <c r="EI23" i="30" s="1"/>
  <c r="EJ6" i="30" s="1"/>
  <c r="EJ91" i="30" s="1"/>
  <c r="EJ82" i="30" s="1"/>
  <c r="EI80" i="30"/>
  <c r="EI29" i="30" s="1"/>
  <c r="EJ12" i="30" s="1"/>
  <c r="EJ97" i="30" s="1"/>
  <c r="EI86" i="30"/>
  <c r="EI35" i="30" s="1"/>
  <c r="EJ18" i="30" s="1"/>
  <c r="EJ103" i="30" s="1"/>
  <c r="EI75" i="30"/>
  <c r="EI24" i="30" s="1"/>
  <c r="EJ7" i="30" s="1"/>
  <c r="EJ92" i="30" s="1"/>
  <c r="GJ104" i="30"/>
  <c r="GJ36" i="30"/>
  <c r="GK19" i="30" s="1"/>
  <c r="GJ102" i="30"/>
  <c r="GJ83" i="30" s="1"/>
  <c r="GJ34" i="30"/>
  <c r="GK17" i="30" s="1"/>
  <c r="GI101" i="30"/>
  <c r="GI33" i="30"/>
  <c r="GJ16" i="30" s="1"/>
  <c r="GI100" i="30"/>
  <c r="GI79" i="30" s="1"/>
  <c r="GI28" i="30" s="1"/>
  <c r="GJ11" i="30" s="1"/>
  <c r="GJ96" i="30" s="1"/>
  <c r="GI32" i="30"/>
  <c r="GJ15" i="30" s="1"/>
  <c r="GJ94" i="30"/>
  <c r="GJ26" i="30"/>
  <c r="GK9" i="30" s="1"/>
  <c r="GI25" i="30"/>
  <c r="GJ8" i="30" s="1"/>
  <c r="GI93" i="30"/>
  <c r="EJ78" i="30"/>
  <c r="EJ27" i="30" s="1"/>
  <c r="EK10" i="30" s="1"/>
  <c r="EK95" i="30" s="1"/>
  <c r="EJ73" i="30" l="1"/>
  <c r="EJ22" i="30" s="1"/>
  <c r="EK5" i="30" s="1"/>
  <c r="EK90" i="30" s="1"/>
  <c r="EK81" i="30" s="1"/>
  <c r="EK30" i="30" s="1"/>
  <c r="EL13" i="30" s="1"/>
  <c r="EL98" i="30" s="1"/>
  <c r="EJ31" i="30"/>
  <c r="EK14" i="30" s="1"/>
  <c r="EK99" i="30" s="1"/>
  <c r="EK72" i="30" s="1"/>
  <c r="EK21" i="30" s="1"/>
  <c r="EL4" i="30" s="1"/>
  <c r="EL89" i="30" s="1"/>
  <c r="EL78" i="30" s="1"/>
  <c r="EJ80" i="30"/>
  <c r="EJ29" i="30" s="1"/>
  <c r="EK12" i="30" s="1"/>
  <c r="EK97" i="30" s="1"/>
  <c r="EJ71" i="30"/>
  <c r="EJ20" i="30" s="1"/>
  <c r="EK3" i="30" s="1"/>
  <c r="EK88" i="30" s="1"/>
  <c r="EJ75" i="30"/>
  <c r="EJ24" i="30" s="1"/>
  <c r="EK7" i="30" s="1"/>
  <c r="EK92" i="30" s="1"/>
  <c r="EJ86" i="30"/>
  <c r="EJ35" i="30" s="1"/>
  <c r="EK18" i="30" s="1"/>
  <c r="EK103" i="30" s="1"/>
  <c r="EJ74" i="30"/>
  <c r="EJ23" i="30" s="1"/>
  <c r="EK6" i="30" s="1"/>
  <c r="EK91" i="30" s="1"/>
  <c r="GK36" i="30"/>
  <c r="GL19" i="30" s="1"/>
  <c r="Z255" i="30" s="1"/>
  <c r="GK104" i="30"/>
  <c r="GK34" i="30"/>
  <c r="GL17" i="30" s="1"/>
  <c r="Z245" i="30" s="1"/>
  <c r="GK102" i="30"/>
  <c r="GK83" i="30" s="1"/>
  <c r="GJ33" i="30"/>
  <c r="GK16" i="30" s="1"/>
  <c r="GJ101" i="30"/>
  <c r="GJ100" i="30"/>
  <c r="GJ79" i="30" s="1"/>
  <c r="GJ28" i="30" s="1"/>
  <c r="GK11" i="30" s="1"/>
  <c r="GK96" i="30" s="1"/>
  <c r="GJ32" i="30"/>
  <c r="GK15" i="30" s="1"/>
  <c r="GK94" i="30"/>
  <c r="GK26" i="30"/>
  <c r="GL9" i="30" s="1"/>
  <c r="Z205" i="30" s="1"/>
  <c r="GJ25" i="30"/>
  <c r="GK8" i="30" s="1"/>
  <c r="GJ93" i="30"/>
  <c r="EK27" i="30"/>
  <c r="EL10" i="30" s="1"/>
  <c r="EL95" i="30" s="1"/>
  <c r="EK73" i="30" l="1"/>
  <c r="EK22" i="30" s="1"/>
  <c r="EL5" i="30" s="1"/>
  <c r="EL90" i="30" s="1"/>
  <c r="EL81" i="30" s="1"/>
  <c r="EL30" i="30" s="1"/>
  <c r="EM13" i="30" s="1"/>
  <c r="EM98" i="30" s="1"/>
  <c r="EK71" i="30"/>
  <c r="EK20" i="30" s="1"/>
  <c r="EL3" i="30" s="1"/>
  <c r="EL88" i="30" s="1"/>
  <c r="EK74" i="30"/>
  <c r="EK23" i="30" s="1"/>
  <c r="EL6" i="30" s="1"/>
  <c r="EL91" i="30" s="1"/>
  <c r="EL82" i="30" s="1"/>
  <c r="EK80" i="30"/>
  <c r="EK29" i="30" s="1"/>
  <c r="EL12" i="30" s="1"/>
  <c r="EL97" i="30" s="1"/>
  <c r="EK86" i="30"/>
  <c r="EK35" i="30" s="1"/>
  <c r="EL18" i="30" s="1"/>
  <c r="EL103" i="30" s="1"/>
  <c r="EK75" i="30"/>
  <c r="EK24" i="30" s="1"/>
  <c r="EL7" i="30" s="1"/>
  <c r="EL92" i="30" s="1"/>
  <c r="EK82" i="30"/>
  <c r="EK31" i="30" s="1"/>
  <c r="EL14" i="30" s="1"/>
  <c r="EL99" i="30" s="1"/>
  <c r="EL72" i="30" s="1"/>
  <c r="EL21" i="30" s="1"/>
  <c r="EM4" i="30" s="1"/>
  <c r="EM89" i="30" s="1"/>
  <c r="EM78" i="30" s="1"/>
  <c r="GL36" i="30"/>
  <c r="GM19" i="30" s="1"/>
  <c r="GL104" i="30"/>
  <c r="GL102" i="30"/>
  <c r="GL83" i="30" s="1"/>
  <c r="GL34" i="30"/>
  <c r="GM17" i="30" s="1"/>
  <c r="GK101" i="30"/>
  <c r="GK33" i="30"/>
  <c r="GL16" i="30" s="1"/>
  <c r="Z240" i="30" s="1"/>
  <c r="GK100" i="30"/>
  <c r="GK79" i="30" s="1"/>
  <c r="GK28" i="30" s="1"/>
  <c r="GL11" i="30" s="1"/>
  <c r="Z215" i="30" s="1"/>
  <c r="GK32" i="30"/>
  <c r="GL15" i="30" s="1"/>
  <c r="Z235" i="30" s="1"/>
  <c r="GL26" i="30"/>
  <c r="GM9" i="30" s="1"/>
  <c r="GL94" i="30"/>
  <c r="GK25" i="30"/>
  <c r="GL8" i="30" s="1"/>
  <c r="Z200" i="30" s="1"/>
  <c r="GK93" i="30"/>
  <c r="EL27" i="30"/>
  <c r="EM10" i="30" s="1"/>
  <c r="EM95" i="30" s="1"/>
  <c r="GL96" i="30" l="1"/>
  <c r="EL71" i="30"/>
  <c r="EL20" i="30" s="1"/>
  <c r="EM3" i="30" s="1"/>
  <c r="EM88" i="30" s="1"/>
  <c r="EL80" i="30"/>
  <c r="EL29" i="30" s="1"/>
  <c r="EM12" i="30" s="1"/>
  <c r="EM97" i="30" s="1"/>
  <c r="EL73" i="30"/>
  <c r="EL22" i="30" s="1"/>
  <c r="EM5" i="30" s="1"/>
  <c r="EM90" i="30" s="1"/>
  <c r="EM81" i="30" s="1"/>
  <c r="EM30" i="30" s="1"/>
  <c r="EN13" i="30" s="1"/>
  <c r="EN98" i="30" s="1"/>
  <c r="EL31" i="30"/>
  <c r="EM14" i="30" s="1"/>
  <c r="EM99" i="30" s="1"/>
  <c r="EM72" i="30" s="1"/>
  <c r="EM21" i="30" s="1"/>
  <c r="EN4" i="30" s="1"/>
  <c r="EN89" i="30" s="1"/>
  <c r="EN78" i="30" s="1"/>
  <c r="EL86" i="30"/>
  <c r="EL35" i="30" s="1"/>
  <c r="EM18" i="30" s="1"/>
  <c r="EM103" i="30" s="1"/>
  <c r="EL75" i="30"/>
  <c r="EL24" i="30" s="1"/>
  <c r="EM7" i="30" s="1"/>
  <c r="EM92" i="30" s="1"/>
  <c r="EL74" i="30"/>
  <c r="EL23" i="30" s="1"/>
  <c r="EM6" i="30" s="1"/>
  <c r="EM91" i="30" s="1"/>
  <c r="GM36" i="30"/>
  <c r="GN19" i="30" s="1"/>
  <c r="GM104" i="30"/>
  <c r="GM102" i="30"/>
  <c r="GM83" i="30" s="1"/>
  <c r="GM34" i="30"/>
  <c r="GN17" i="30" s="1"/>
  <c r="GL101" i="30"/>
  <c r="GL33" i="30"/>
  <c r="GM16" i="30" s="1"/>
  <c r="GL100" i="30"/>
  <c r="GL79" i="30" s="1"/>
  <c r="GL28" i="30" s="1"/>
  <c r="GM11" i="30" s="1"/>
  <c r="GM96" i="30" s="1"/>
  <c r="GL32" i="30"/>
  <c r="GM15" i="30" s="1"/>
  <c r="GM26" i="30"/>
  <c r="GN9" i="30" s="1"/>
  <c r="GM94" i="30"/>
  <c r="GL25" i="30"/>
  <c r="GM8" i="30" s="1"/>
  <c r="GL93" i="30"/>
  <c r="EM27" i="30"/>
  <c r="EN10" i="30" s="1"/>
  <c r="EN95" i="30" s="1"/>
  <c r="EM73" i="30" l="1"/>
  <c r="EM22" i="30" s="1"/>
  <c r="EN5" i="30" s="1"/>
  <c r="EN90" i="30" s="1"/>
  <c r="EN81" i="30" s="1"/>
  <c r="EN30" i="30" s="1"/>
  <c r="EO13" i="30" s="1"/>
  <c r="EO98" i="30" s="1"/>
  <c r="EM75" i="30"/>
  <c r="EM24" i="30" s="1"/>
  <c r="EN7" i="30" s="1"/>
  <c r="EN92" i="30" s="1"/>
  <c r="EM71" i="30"/>
  <c r="EM20" i="30" s="1"/>
  <c r="EN3" i="30" s="1"/>
  <c r="EN88" i="30" s="1"/>
  <c r="EM80" i="30"/>
  <c r="EM29" i="30" s="1"/>
  <c r="EN12" i="30" s="1"/>
  <c r="EN97" i="30" s="1"/>
  <c r="EM74" i="30"/>
  <c r="EM23" i="30" s="1"/>
  <c r="EN6" i="30" s="1"/>
  <c r="EN91" i="30" s="1"/>
  <c r="EM82" i="30"/>
  <c r="EM31" i="30" s="1"/>
  <c r="EN14" i="30" s="1"/>
  <c r="EN99" i="30" s="1"/>
  <c r="EN72" i="30" s="1"/>
  <c r="EN21" i="30" s="1"/>
  <c r="EO4" i="30" s="1"/>
  <c r="EO89" i="30" s="1"/>
  <c r="EO78" i="30" s="1"/>
  <c r="EM86" i="30"/>
  <c r="EM35" i="30" s="1"/>
  <c r="EN18" i="30" s="1"/>
  <c r="EN103" i="30" s="1"/>
  <c r="GN36" i="30"/>
  <c r="GO19" i="30" s="1"/>
  <c r="GN104" i="30"/>
  <c r="GN102" i="30"/>
  <c r="GN83" i="30" s="1"/>
  <c r="GN34" i="30"/>
  <c r="GO17" i="30" s="1"/>
  <c r="GM101" i="30"/>
  <c r="GM33" i="30"/>
  <c r="GN16" i="30" s="1"/>
  <c r="GM100" i="30"/>
  <c r="GM79" i="30" s="1"/>
  <c r="GM28" i="30" s="1"/>
  <c r="GN11" i="30" s="1"/>
  <c r="GN96" i="30" s="1"/>
  <c r="GM32" i="30"/>
  <c r="GN15" i="30" s="1"/>
  <c r="GN26" i="30"/>
  <c r="GO9" i="30" s="1"/>
  <c r="GN94" i="30"/>
  <c r="GM93" i="30"/>
  <c r="GM25" i="30"/>
  <c r="GN8" i="30" s="1"/>
  <c r="EN27" i="30"/>
  <c r="EO10" i="30" s="1"/>
  <c r="EO95" i="30" s="1"/>
  <c r="EN80" i="30" l="1"/>
  <c r="EN29" i="30" s="1"/>
  <c r="EO12" i="30" s="1"/>
  <c r="EO97" i="30" s="1"/>
  <c r="EN71" i="30"/>
  <c r="EN20" i="30" s="1"/>
  <c r="EO3" i="30" s="1"/>
  <c r="EO88" i="30" s="1"/>
  <c r="EN73" i="30"/>
  <c r="EN22" i="30" s="1"/>
  <c r="EO5" i="30" s="1"/>
  <c r="EO90" i="30" s="1"/>
  <c r="EO81" i="30" s="1"/>
  <c r="EO30" i="30" s="1"/>
  <c r="EP13" i="30" s="1"/>
  <c r="T225" i="30" s="1"/>
  <c r="EN74" i="30"/>
  <c r="EN23" i="30" s="1"/>
  <c r="EO6" i="30" s="1"/>
  <c r="EO91" i="30" s="1"/>
  <c r="EO82" i="30" s="1"/>
  <c r="EN86" i="30"/>
  <c r="EN35" i="30" s="1"/>
  <c r="EO18" i="30" s="1"/>
  <c r="EO103" i="30" s="1"/>
  <c r="EN82" i="30"/>
  <c r="EN31" i="30" s="1"/>
  <c r="EO14" i="30" s="1"/>
  <c r="EO99" i="30" s="1"/>
  <c r="EO72" i="30" s="1"/>
  <c r="EO21" i="30" s="1"/>
  <c r="EP4" i="30" s="1"/>
  <c r="T180" i="30" s="1"/>
  <c r="EN75" i="30"/>
  <c r="EN24" i="30" s="1"/>
  <c r="EO7" i="30" s="1"/>
  <c r="EO92" i="30" s="1"/>
  <c r="GO36" i="30"/>
  <c r="GP19" i="30" s="1"/>
  <c r="GO104" i="30"/>
  <c r="GO34" i="30"/>
  <c r="GP17" i="30" s="1"/>
  <c r="GO102" i="30"/>
  <c r="GO83" i="30" s="1"/>
  <c r="GN101" i="30"/>
  <c r="GN33" i="30"/>
  <c r="GO16" i="30" s="1"/>
  <c r="GN100" i="30"/>
  <c r="GN79" i="30" s="1"/>
  <c r="GN28" i="30" s="1"/>
  <c r="GO11" i="30" s="1"/>
  <c r="GO96" i="30" s="1"/>
  <c r="GN32" i="30"/>
  <c r="GO15" i="30" s="1"/>
  <c r="GO94" i="30"/>
  <c r="GO26" i="30"/>
  <c r="GP9" i="30" s="1"/>
  <c r="GN25" i="30"/>
  <c r="GO8" i="30" s="1"/>
  <c r="GN93" i="30"/>
  <c r="EO27" i="30"/>
  <c r="EP10" i="30" s="1"/>
  <c r="T210" i="30" s="1"/>
  <c r="EO71" i="30" l="1"/>
  <c r="EO20" i="30" s="1"/>
  <c r="EP3" i="30" s="1"/>
  <c r="T175" i="30" s="1"/>
  <c r="EO80" i="30"/>
  <c r="EO29" i="30" s="1"/>
  <c r="EP12" i="30" s="1"/>
  <c r="T220" i="30" s="1"/>
  <c r="EO75" i="30"/>
  <c r="EO24" i="30" s="1"/>
  <c r="EP7" i="30" s="1"/>
  <c r="T195" i="30" s="1"/>
  <c r="EO86" i="30"/>
  <c r="EO35" i="30" s="1"/>
  <c r="EP18" i="30" s="1"/>
  <c r="T250" i="30" s="1"/>
  <c r="EO74" i="30"/>
  <c r="EO23" i="30" s="1"/>
  <c r="EP6" i="30" s="1"/>
  <c r="T190" i="30" s="1"/>
  <c r="EO73" i="30"/>
  <c r="EO22" i="30" s="1"/>
  <c r="EP5" i="30" s="1"/>
  <c r="T185" i="30" s="1"/>
  <c r="EO31" i="30"/>
  <c r="EP14" i="30" s="1"/>
  <c r="T230" i="30" s="1"/>
  <c r="EP89" i="30"/>
  <c r="EP78" i="30" s="1"/>
  <c r="EP27" i="30" s="1"/>
  <c r="EQ10" i="30" s="1"/>
  <c r="EQ95" i="30" s="1"/>
  <c r="GP104" i="30"/>
  <c r="GP36" i="30"/>
  <c r="GQ19" i="30" s="1"/>
  <c r="GP34" i="30"/>
  <c r="GQ17" i="30" s="1"/>
  <c r="GP102" i="30"/>
  <c r="GP83" i="30" s="1"/>
  <c r="GO33" i="30"/>
  <c r="GP16" i="30" s="1"/>
  <c r="GO101" i="30"/>
  <c r="GO100" i="30"/>
  <c r="GO79" i="30" s="1"/>
  <c r="GO28" i="30" s="1"/>
  <c r="GP11" i="30" s="1"/>
  <c r="GP96" i="30" s="1"/>
  <c r="GO32" i="30"/>
  <c r="GP15" i="30" s="1"/>
  <c r="GP94" i="30"/>
  <c r="GP26" i="30"/>
  <c r="GQ9" i="30" s="1"/>
  <c r="GO25" i="30"/>
  <c r="GP8" i="30" s="1"/>
  <c r="GO93" i="30"/>
  <c r="EP95" i="30"/>
  <c r="EP98" i="30"/>
  <c r="EP103" i="30" l="1"/>
  <c r="EP99" i="30"/>
  <c r="EP72" i="30" s="1"/>
  <c r="EP21" i="30" s="1"/>
  <c r="EQ4" i="30" s="1"/>
  <c r="EQ89" i="30" s="1"/>
  <c r="EQ78" i="30" s="1"/>
  <c r="EQ27" i="30" s="1"/>
  <c r="ER10" i="30" s="1"/>
  <c r="ER95" i="30" s="1"/>
  <c r="EP97" i="30"/>
  <c r="EP88" i="30"/>
  <c r="EP92" i="30"/>
  <c r="EP91" i="30"/>
  <c r="EP82" i="30" s="1"/>
  <c r="EP31" i="30" s="1"/>
  <c r="EQ14" i="30" s="1"/>
  <c r="EQ99" i="30" s="1"/>
  <c r="EQ72" i="30" s="1"/>
  <c r="EP90" i="30"/>
  <c r="EP81" i="30" s="1"/>
  <c r="EP30" i="30" s="1"/>
  <c r="EQ13" i="30" s="1"/>
  <c r="EQ98" i="30" s="1"/>
  <c r="GQ104" i="30"/>
  <c r="GQ36" i="30"/>
  <c r="GR19" i="30" s="1"/>
  <c r="GQ34" i="30"/>
  <c r="GR17" i="30" s="1"/>
  <c r="GQ102" i="30"/>
  <c r="GQ83" i="30" s="1"/>
  <c r="GP101" i="30"/>
  <c r="GP33" i="30"/>
  <c r="GQ16" i="30" s="1"/>
  <c r="GP100" i="30"/>
  <c r="GP79" i="30" s="1"/>
  <c r="GP28" i="30" s="1"/>
  <c r="GQ11" i="30" s="1"/>
  <c r="GQ96" i="30" s="1"/>
  <c r="GP32" i="30"/>
  <c r="GQ15" i="30" s="1"/>
  <c r="GQ94" i="30"/>
  <c r="GQ26" i="30"/>
  <c r="GR9" i="30" s="1"/>
  <c r="GP93" i="30"/>
  <c r="GP25" i="30"/>
  <c r="GQ8" i="30" s="1"/>
  <c r="EQ21" i="30" l="1"/>
  <c r="ER4" i="30" s="1"/>
  <c r="ER89" i="30" s="1"/>
  <c r="ER78" i="30" s="1"/>
  <c r="ER27" i="30" s="1"/>
  <c r="ES10" i="30" s="1"/>
  <c r="ES95" i="30" s="1"/>
  <c r="EP73" i="30"/>
  <c r="EP22" i="30" s="1"/>
  <c r="EQ5" i="30" s="1"/>
  <c r="EQ90" i="30" s="1"/>
  <c r="EQ81" i="30" s="1"/>
  <c r="EQ30" i="30" s="1"/>
  <c r="ER13" i="30" s="1"/>
  <c r="ER98" i="30" s="1"/>
  <c r="EP75" i="30"/>
  <c r="EP24" i="30" s="1"/>
  <c r="EQ7" i="30" s="1"/>
  <c r="EQ92" i="30" s="1"/>
  <c r="EP80" i="30"/>
  <c r="EP29" i="30" s="1"/>
  <c r="EQ12" i="30" s="1"/>
  <c r="EQ97" i="30" s="1"/>
  <c r="EP86" i="30"/>
  <c r="EP35" i="30" s="1"/>
  <c r="EQ18" i="30" s="1"/>
  <c r="EQ103" i="30" s="1"/>
  <c r="EP71" i="30"/>
  <c r="EP20" i="30" s="1"/>
  <c r="EQ3" i="30" s="1"/>
  <c r="EQ88" i="30" s="1"/>
  <c r="EP74" i="30"/>
  <c r="EP23" i="30" s="1"/>
  <c r="EQ6" i="30" s="1"/>
  <c r="EQ91" i="30" s="1"/>
  <c r="EQ82" i="30" s="1"/>
  <c r="EQ31" i="30" s="1"/>
  <c r="ER14" i="30" s="1"/>
  <c r="ER99" i="30" s="1"/>
  <c r="ER72" i="30" s="1"/>
  <c r="GR104" i="30"/>
  <c r="GR36" i="30"/>
  <c r="GS19" i="30" s="1"/>
  <c r="GR102" i="30"/>
  <c r="GR83" i="30" s="1"/>
  <c r="GR34" i="30"/>
  <c r="GS17" i="30" s="1"/>
  <c r="GQ33" i="30"/>
  <c r="GR16" i="30" s="1"/>
  <c r="GQ101" i="30"/>
  <c r="GQ100" i="30"/>
  <c r="GQ79" i="30" s="1"/>
  <c r="GQ28" i="30" s="1"/>
  <c r="GR11" i="30" s="1"/>
  <c r="GR96" i="30" s="1"/>
  <c r="GQ32" i="30"/>
  <c r="GR15" i="30" s="1"/>
  <c r="GR26" i="30"/>
  <c r="GS9" i="30" s="1"/>
  <c r="GR94" i="30"/>
  <c r="GQ25" i="30"/>
  <c r="GR8" i="30" s="1"/>
  <c r="GQ93" i="30"/>
  <c r="EQ73" i="30"/>
  <c r="ER21" i="30" l="1"/>
  <c r="ES4" i="30" s="1"/>
  <c r="ES89" i="30" s="1"/>
  <c r="ES78" i="30" s="1"/>
  <c r="ES27" i="30" s="1"/>
  <c r="ET10" i="30" s="1"/>
  <c r="ET95" i="30" s="1"/>
  <c r="EQ74" i="30"/>
  <c r="EQ23" i="30" s="1"/>
  <c r="ER6" i="30" s="1"/>
  <c r="ER91" i="30" s="1"/>
  <c r="ER82" i="30" s="1"/>
  <c r="ER31" i="30" s="1"/>
  <c r="ES14" i="30" s="1"/>
  <c r="ES99" i="30" s="1"/>
  <c r="ES72" i="30" s="1"/>
  <c r="EQ22" i="30"/>
  <c r="ER5" i="30" s="1"/>
  <c r="ER90" i="30" s="1"/>
  <c r="ER81" i="30" s="1"/>
  <c r="ER30" i="30" s="1"/>
  <c r="ES13" i="30" s="1"/>
  <c r="ES98" i="30" s="1"/>
  <c r="EQ71" i="30"/>
  <c r="EQ20" i="30" s="1"/>
  <c r="ER3" i="30" s="1"/>
  <c r="ER88" i="30" s="1"/>
  <c r="EQ80" i="30"/>
  <c r="EQ29" i="30" s="1"/>
  <c r="ER12" i="30" s="1"/>
  <c r="ER97" i="30" s="1"/>
  <c r="EQ86" i="30"/>
  <c r="EQ35" i="30" s="1"/>
  <c r="ER18" i="30" s="1"/>
  <c r="ER103" i="30" s="1"/>
  <c r="EQ75" i="30"/>
  <c r="EQ24" i="30" s="1"/>
  <c r="ER7" i="30" s="1"/>
  <c r="ER92" i="30" s="1"/>
  <c r="GS36" i="30"/>
  <c r="GT19" i="30" s="1"/>
  <c r="AA255" i="30" s="1"/>
  <c r="GS104" i="30"/>
  <c r="ER73" i="30"/>
  <c r="GS34" i="30"/>
  <c r="GT17" i="30" s="1"/>
  <c r="AA245" i="30" s="1"/>
  <c r="GS102" i="30"/>
  <c r="GS83" i="30" s="1"/>
  <c r="GR101" i="30"/>
  <c r="GR33" i="30"/>
  <c r="GS16" i="30" s="1"/>
  <c r="GR100" i="30"/>
  <c r="GR79" i="30" s="1"/>
  <c r="GR28" i="30" s="1"/>
  <c r="GS11" i="30" s="1"/>
  <c r="GS96" i="30" s="1"/>
  <c r="GR32" i="30"/>
  <c r="GS15" i="30" s="1"/>
  <c r="GS26" i="30"/>
  <c r="GT9" i="30" s="1"/>
  <c r="AA205" i="30" s="1"/>
  <c r="GS94" i="30"/>
  <c r="GR25" i="30"/>
  <c r="GS8" i="30" s="1"/>
  <c r="GR93" i="30"/>
  <c r="ES21" i="30" l="1"/>
  <c r="ET4" i="30" s="1"/>
  <c r="ET89" i="30" s="1"/>
  <c r="ET78" i="30" s="1"/>
  <c r="ET27" i="30" s="1"/>
  <c r="EU10" i="30" s="1"/>
  <c r="EU95" i="30" s="1"/>
  <c r="ER74" i="30"/>
  <c r="ER23" i="30" s="1"/>
  <c r="ES6" i="30" s="1"/>
  <c r="ES91" i="30" s="1"/>
  <c r="ES82" i="30" s="1"/>
  <c r="ES31" i="30" s="1"/>
  <c r="ET14" i="30" s="1"/>
  <c r="ET99" i="30" s="1"/>
  <c r="ET72" i="30" s="1"/>
  <c r="ER22" i="30"/>
  <c r="ES5" i="30" s="1"/>
  <c r="ES90" i="30" s="1"/>
  <c r="ES81" i="30" s="1"/>
  <c r="ES30" i="30" s="1"/>
  <c r="ET13" i="30" s="1"/>
  <c r="ET98" i="30" s="1"/>
  <c r="ER71" i="30"/>
  <c r="ER20" i="30" s="1"/>
  <c r="ES3" i="30" s="1"/>
  <c r="ES88" i="30" s="1"/>
  <c r="ER75" i="30"/>
  <c r="ER24" i="30" s="1"/>
  <c r="ES7" i="30" s="1"/>
  <c r="ES92" i="30" s="1"/>
  <c r="ER80" i="30"/>
  <c r="ER29" i="30" s="1"/>
  <c r="ES12" i="30" s="1"/>
  <c r="ES97" i="30" s="1"/>
  <c r="ER86" i="30"/>
  <c r="ER35" i="30" s="1"/>
  <c r="ES18" i="30" s="1"/>
  <c r="ES103" i="30" s="1"/>
  <c r="ES73" i="30"/>
  <c r="GT36" i="30"/>
  <c r="GU19" i="30" s="1"/>
  <c r="GT104" i="30"/>
  <c r="GT34" i="30"/>
  <c r="GU17" i="30" s="1"/>
  <c r="GT102" i="30"/>
  <c r="GT83" i="30" s="1"/>
  <c r="GS101" i="30"/>
  <c r="GS33" i="30"/>
  <c r="GT16" i="30" s="1"/>
  <c r="AA240" i="30" s="1"/>
  <c r="GS100" i="30"/>
  <c r="GS79" i="30" s="1"/>
  <c r="GS28" i="30" s="1"/>
  <c r="GT11" i="30" s="1"/>
  <c r="AA215" i="30" s="1"/>
  <c r="GS32" i="30"/>
  <c r="GT15" i="30" s="1"/>
  <c r="AA235" i="30" s="1"/>
  <c r="GT94" i="30"/>
  <c r="GT26" i="30"/>
  <c r="GU9" i="30" s="1"/>
  <c r="GS93" i="30"/>
  <c r="GS25" i="30"/>
  <c r="GT8" i="30" s="1"/>
  <c r="AA200" i="30" s="1"/>
  <c r="ET21" i="30" l="1"/>
  <c r="EU4" i="30" s="1"/>
  <c r="EU89" i="30" s="1"/>
  <c r="EU78" i="30" s="1"/>
  <c r="EU27" i="30" s="1"/>
  <c r="EV10" i="30" s="1"/>
  <c r="EV95" i="30" s="1"/>
  <c r="ES22" i="30"/>
  <c r="ET5" i="30" s="1"/>
  <c r="ET90" i="30" s="1"/>
  <c r="ET81" i="30" s="1"/>
  <c r="ET30" i="30" s="1"/>
  <c r="EU13" i="30" s="1"/>
  <c r="EU98" i="30" s="1"/>
  <c r="ES71" i="30"/>
  <c r="ES20" i="30" s="1"/>
  <c r="ET3" i="30" s="1"/>
  <c r="ET88" i="30" s="1"/>
  <c r="ES75" i="30"/>
  <c r="ES24" i="30" s="1"/>
  <c r="ET7" i="30" s="1"/>
  <c r="ET92" i="30" s="1"/>
  <c r="ES80" i="30"/>
  <c r="ES29" i="30" s="1"/>
  <c r="ET12" i="30" s="1"/>
  <c r="ET97" i="30" s="1"/>
  <c r="ES86" i="30"/>
  <c r="ES35" i="30" s="1"/>
  <c r="ET18" i="30" s="1"/>
  <c r="ET103" i="30" s="1"/>
  <c r="ES74" i="30"/>
  <c r="ES23" i="30" s="1"/>
  <c r="ET6" i="30" s="1"/>
  <c r="ET91" i="30" s="1"/>
  <c r="GU104" i="30"/>
  <c r="GU36" i="30"/>
  <c r="GV19" i="30" s="1"/>
  <c r="GT96" i="30"/>
  <c r="GU102" i="30"/>
  <c r="GU83" i="30" s="1"/>
  <c r="GU34" i="30"/>
  <c r="GV17" i="30" s="1"/>
  <c r="GT33" i="30"/>
  <c r="GU16" i="30" s="1"/>
  <c r="GT101" i="30"/>
  <c r="GT100" i="30"/>
  <c r="GT79" i="30" s="1"/>
  <c r="GT28" i="30" s="1"/>
  <c r="GU11" i="30" s="1"/>
  <c r="GU96" i="30" s="1"/>
  <c r="GT32" i="30"/>
  <c r="GU15" i="30" s="1"/>
  <c r="GU26" i="30"/>
  <c r="GV9" i="30" s="1"/>
  <c r="GU94" i="30"/>
  <c r="GT93" i="30"/>
  <c r="GT25" i="30"/>
  <c r="GU8" i="30" s="1"/>
  <c r="ET73" i="30"/>
  <c r="ET22" i="30" l="1"/>
  <c r="EU5" i="30" s="1"/>
  <c r="EU90" i="30" s="1"/>
  <c r="EU81" i="30" s="1"/>
  <c r="EU30" i="30" s="1"/>
  <c r="EV13" i="30" s="1"/>
  <c r="EV98" i="30" s="1"/>
  <c r="ET71" i="30"/>
  <c r="ET20" i="30" s="1"/>
  <c r="EU3" i="30" s="1"/>
  <c r="EU88" i="30" s="1"/>
  <c r="ET74" i="30"/>
  <c r="ET23" i="30" s="1"/>
  <c r="EU6" i="30" s="1"/>
  <c r="EU91" i="30" s="1"/>
  <c r="EU82" i="30" s="1"/>
  <c r="ET80" i="30"/>
  <c r="ET29" i="30" s="1"/>
  <c r="EU12" i="30" s="1"/>
  <c r="EU97" i="30" s="1"/>
  <c r="ET86" i="30"/>
  <c r="ET35" i="30" s="1"/>
  <c r="EU18" i="30" s="1"/>
  <c r="EU103" i="30" s="1"/>
  <c r="ET75" i="30"/>
  <c r="ET24" i="30" s="1"/>
  <c r="EU7" i="30" s="1"/>
  <c r="EU92" i="30" s="1"/>
  <c r="ET82" i="30"/>
  <c r="ET31" i="30" s="1"/>
  <c r="EU14" i="30" s="1"/>
  <c r="EU99" i="30" s="1"/>
  <c r="EU72" i="30" s="1"/>
  <c r="EU21" i="30" s="1"/>
  <c r="EV4" i="30" s="1"/>
  <c r="EV89" i="30" s="1"/>
  <c r="EV78" i="30" s="1"/>
  <c r="EV27" i="30" s="1"/>
  <c r="EW10" i="30" s="1"/>
  <c r="EW95" i="30" s="1"/>
  <c r="GV104" i="30"/>
  <c r="GV36" i="30"/>
  <c r="GW19" i="30" s="1"/>
  <c r="GV34" i="30"/>
  <c r="GW17" i="30" s="1"/>
  <c r="GV102" i="30"/>
  <c r="GV83" i="30" s="1"/>
  <c r="GU101" i="30"/>
  <c r="GU33" i="30"/>
  <c r="GV16" i="30" s="1"/>
  <c r="GU100" i="30"/>
  <c r="GU79" i="30" s="1"/>
  <c r="GU28" i="30" s="1"/>
  <c r="GV11" i="30" s="1"/>
  <c r="GV96" i="30" s="1"/>
  <c r="GU32" i="30"/>
  <c r="GV15" i="30" s="1"/>
  <c r="GV26" i="30"/>
  <c r="GW9" i="30" s="1"/>
  <c r="GV94" i="30"/>
  <c r="GU93" i="30"/>
  <c r="GU25" i="30"/>
  <c r="GV8" i="30" s="1"/>
  <c r="EU71" i="30" l="1"/>
  <c r="EU20" i="30" s="1"/>
  <c r="EV3" i="30" s="1"/>
  <c r="EV88" i="30" s="1"/>
  <c r="EU80" i="30"/>
  <c r="EU29" i="30" s="1"/>
  <c r="EV12" i="30" s="1"/>
  <c r="EV97" i="30" s="1"/>
  <c r="EU75" i="30"/>
  <c r="EU24" i="30" s="1"/>
  <c r="EV7" i="30" s="1"/>
  <c r="EV92" i="30" s="1"/>
  <c r="EU86" i="30"/>
  <c r="EU35" i="30" s="1"/>
  <c r="EV18" i="30" s="1"/>
  <c r="EV103" i="30" s="1"/>
  <c r="EU74" i="30"/>
  <c r="EU23" i="30" s="1"/>
  <c r="EV6" i="30" s="1"/>
  <c r="EV91" i="30" s="1"/>
  <c r="EV82" i="30" s="1"/>
  <c r="EU31" i="30"/>
  <c r="EV14" i="30" s="1"/>
  <c r="EV99" i="30" s="1"/>
  <c r="EV72" i="30" s="1"/>
  <c r="EV21" i="30" s="1"/>
  <c r="EW4" i="30" s="1"/>
  <c r="EW89" i="30" s="1"/>
  <c r="EW78" i="30" s="1"/>
  <c r="EW27" i="30" s="1"/>
  <c r="EX10" i="30" s="1"/>
  <c r="U210" i="30" s="1"/>
  <c r="EU73" i="30"/>
  <c r="EU22" i="30" s="1"/>
  <c r="EV5" i="30" s="1"/>
  <c r="EV90" i="30" s="1"/>
  <c r="GW36" i="30"/>
  <c r="GX19" i="30" s="1"/>
  <c r="GW104" i="30"/>
  <c r="GW102" i="30"/>
  <c r="GW83" i="30" s="1"/>
  <c r="GW34" i="30"/>
  <c r="GX17" i="30" s="1"/>
  <c r="GV101" i="30"/>
  <c r="GV33" i="30"/>
  <c r="GW16" i="30" s="1"/>
  <c r="GV100" i="30"/>
  <c r="GV79" i="30" s="1"/>
  <c r="GV28" i="30" s="1"/>
  <c r="GW11" i="30" s="1"/>
  <c r="GW96" i="30" s="1"/>
  <c r="GV32" i="30"/>
  <c r="GW15" i="30" s="1"/>
  <c r="GW94" i="30"/>
  <c r="GW26" i="30"/>
  <c r="GX9" i="30" s="1"/>
  <c r="GV25" i="30"/>
  <c r="GW8" i="30" s="1"/>
  <c r="GV93" i="30"/>
  <c r="EV80" i="30" l="1"/>
  <c r="EV29" i="30" s="1"/>
  <c r="EW12" i="30" s="1"/>
  <c r="EW97" i="30" s="1"/>
  <c r="EV31" i="30"/>
  <c r="EW14" i="30" s="1"/>
  <c r="EW99" i="30" s="1"/>
  <c r="EW72" i="30" s="1"/>
  <c r="EW21" i="30" s="1"/>
  <c r="EX4" i="30" s="1"/>
  <c r="U180" i="30" s="1"/>
  <c r="EV86" i="30"/>
  <c r="EV35" i="30" s="1"/>
  <c r="EW18" i="30" s="1"/>
  <c r="EW103" i="30" s="1"/>
  <c r="EV71" i="30"/>
  <c r="EV20" i="30" s="1"/>
  <c r="EW3" i="30" s="1"/>
  <c r="EW88" i="30" s="1"/>
  <c r="EV73" i="30"/>
  <c r="EV22" i="30" s="1"/>
  <c r="EW5" i="30" s="1"/>
  <c r="EW90" i="30" s="1"/>
  <c r="EV75" i="30"/>
  <c r="EV24" i="30" s="1"/>
  <c r="EW7" i="30" s="1"/>
  <c r="EW92" i="30" s="1"/>
  <c r="EV81" i="30"/>
  <c r="EV30" i="30" s="1"/>
  <c r="EW13" i="30" s="1"/>
  <c r="EW98" i="30" s="1"/>
  <c r="EV74" i="30"/>
  <c r="EV23" i="30" s="1"/>
  <c r="EW6" i="30" s="1"/>
  <c r="EW91" i="30" s="1"/>
  <c r="GX36" i="30"/>
  <c r="GY19" i="30" s="1"/>
  <c r="GX104" i="30"/>
  <c r="GX34" i="30"/>
  <c r="GY17" i="30" s="1"/>
  <c r="GX102" i="30"/>
  <c r="GX83" i="30" s="1"/>
  <c r="GW101" i="30"/>
  <c r="GW33" i="30"/>
  <c r="GX16" i="30" s="1"/>
  <c r="GW100" i="30"/>
  <c r="GW79" i="30" s="1"/>
  <c r="GW28" i="30" s="1"/>
  <c r="GX11" i="30" s="1"/>
  <c r="GX96" i="30" s="1"/>
  <c r="GW32" i="30"/>
  <c r="GX15" i="30" s="1"/>
  <c r="GX94" i="30"/>
  <c r="GX26" i="30"/>
  <c r="GY9" i="30" s="1"/>
  <c r="GW93" i="30"/>
  <c r="GW25" i="30"/>
  <c r="GX8" i="30" s="1"/>
  <c r="EX95" i="30"/>
  <c r="EW73" i="30" l="1"/>
  <c r="EW22" i="30" s="1"/>
  <c r="EX5" i="30" s="1"/>
  <c r="U185" i="30" s="1"/>
  <c r="EX89" i="30"/>
  <c r="EX78" i="30" s="1"/>
  <c r="EX27" i="30" s="1"/>
  <c r="EY10" i="30" s="1"/>
  <c r="EY95" i="30" s="1"/>
  <c r="EW86" i="30"/>
  <c r="EW35" i="30" s="1"/>
  <c r="EX18" i="30" s="1"/>
  <c r="U250" i="30" s="1"/>
  <c r="EW81" i="30"/>
  <c r="EW30" i="30" s="1"/>
  <c r="EX13" i="30" s="1"/>
  <c r="U225" i="30" s="1"/>
  <c r="EW74" i="30"/>
  <c r="EW23" i="30" s="1"/>
  <c r="EX6" i="30" s="1"/>
  <c r="U190" i="30" s="1"/>
  <c r="EW71" i="30"/>
  <c r="EW20" i="30" s="1"/>
  <c r="EX3" i="30" s="1"/>
  <c r="U175" i="30" s="1"/>
  <c r="EW80" i="30"/>
  <c r="EW29" i="30" s="1"/>
  <c r="EX12" i="30" s="1"/>
  <c r="U220" i="30" s="1"/>
  <c r="EW75" i="30"/>
  <c r="EW24" i="30" s="1"/>
  <c r="EX7" i="30" s="1"/>
  <c r="U195" i="30" s="1"/>
  <c r="EW82" i="30"/>
  <c r="EW31" i="30" s="1"/>
  <c r="EX14" i="30" s="1"/>
  <c r="U230" i="30" s="1"/>
  <c r="GY104" i="30"/>
  <c r="GY36" i="30"/>
  <c r="GZ19" i="30" s="1"/>
  <c r="GY102" i="30"/>
  <c r="GY83" i="30" s="1"/>
  <c r="GY34" i="30"/>
  <c r="GZ17" i="30" s="1"/>
  <c r="GX101" i="30"/>
  <c r="GX33" i="30"/>
  <c r="GY16" i="30" s="1"/>
  <c r="GX100" i="30"/>
  <c r="GX79" i="30" s="1"/>
  <c r="GX28" i="30" s="1"/>
  <c r="GY11" i="30" s="1"/>
  <c r="GY96" i="30" s="1"/>
  <c r="GX32" i="30"/>
  <c r="GY15" i="30" s="1"/>
  <c r="GY94" i="30"/>
  <c r="GY26" i="30"/>
  <c r="GZ9" i="30" s="1"/>
  <c r="GX93" i="30"/>
  <c r="GX25" i="30"/>
  <c r="GY8" i="30" s="1"/>
  <c r="EX92" i="30" l="1"/>
  <c r="EX98" i="30"/>
  <c r="EX103" i="30"/>
  <c r="EX90" i="30"/>
  <c r="EX81" i="30" s="1"/>
  <c r="EX30" i="30" s="1"/>
  <c r="EY13" i="30" s="1"/>
  <c r="EY98" i="30" s="1"/>
  <c r="EX97" i="30"/>
  <c r="EX88" i="30"/>
  <c r="EX91" i="30"/>
  <c r="EX99" i="30"/>
  <c r="EX72" i="30" s="1"/>
  <c r="EX21" i="30" s="1"/>
  <c r="EY4" i="30" s="1"/>
  <c r="EY89" i="30" s="1"/>
  <c r="EY78" i="30" s="1"/>
  <c r="EY27" i="30" s="1"/>
  <c r="EZ10" i="30" s="1"/>
  <c r="EZ95" i="30" s="1"/>
  <c r="GZ104" i="30"/>
  <c r="GZ36" i="30"/>
  <c r="HA19" i="30" s="1"/>
  <c r="GZ34" i="30"/>
  <c r="HA17" i="30" s="1"/>
  <c r="GZ102" i="30"/>
  <c r="GZ83" i="30" s="1"/>
  <c r="GY33" i="30"/>
  <c r="GZ16" i="30" s="1"/>
  <c r="GY101" i="30"/>
  <c r="GY100" i="30"/>
  <c r="GY79" i="30" s="1"/>
  <c r="GY28" i="30" s="1"/>
  <c r="GZ11" i="30" s="1"/>
  <c r="GZ96" i="30" s="1"/>
  <c r="GY32" i="30"/>
  <c r="GZ15" i="30" s="1"/>
  <c r="GZ94" i="30"/>
  <c r="GZ26" i="30"/>
  <c r="HA9" i="30" s="1"/>
  <c r="GY93" i="30"/>
  <c r="GY25" i="30"/>
  <c r="GZ8" i="30" s="1"/>
  <c r="EX80" i="30" l="1"/>
  <c r="EX29" i="30" s="1"/>
  <c r="EY12" i="30" s="1"/>
  <c r="EY97" i="30" s="1"/>
  <c r="EX71" i="30"/>
  <c r="EX20" i="30" s="1"/>
  <c r="EY3" i="30" s="1"/>
  <c r="EY88" i="30" s="1"/>
  <c r="EX75" i="30"/>
  <c r="EX24" i="30" s="1"/>
  <c r="EY7" i="30" s="1"/>
  <c r="EY92" i="30" s="1"/>
  <c r="EX73" i="30"/>
  <c r="EX22" i="30" s="1"/>
  <c r="EY5" i="30" s="1"/>
  <c r="EY90" i="30" s="1"/>
  <c r="EX74" i="30"/>
  <c r="EX23" i="30" s="1"/>
  <c r="EY6" i="30" s="1"/>
  <c r="EY91" i="30" s="1"/>
  <c r="EY82" i="30" s="1"/>
  <c r="EX82" i="30"/>
  <c r="EX31" i="30" s="1"/>
  <c r="EY14" i="30" s="1"/>
  <c r="EY99" i="30" s="1"/>
  <c r="EY72" i="30" s="1"/>
  <c r="EY21" i="30" s="1"/>
  <c r="EZ4" i="30" s="1"/>
  <c r="EZ89" i="30" s="1"/>
  <c r="EZ78" i="30" s="1"/>
  <c r="EZ27" i="30" s="1"/>
  <c r="FA10" i="30" s="1"/>
  <c r="FA95" i="30" s="1"/>
  <c r="EX86" i="30"/>
  <c r="EX35" i="30" s="1"/>
  <c r="EY18" i="30" s="1"/>
  <c r="EY103" i="30" s="1"/>
  <c r="HA104" i="30"/>
  <c r="HA36" i="30"/>
  <c r="HB19" i="30" s="1"/>
  <c r="AB255" i="30" s="1"/>
  <c r="HA102" i="30"/>
  <c r="HA83" i="30" s="1"/>
  <c r="HA34" i="30"/>
  <c r="HB17" i="30" s="1"/>
  <c r="AB245" i="30" s="1"/>
  <c r="GZ33" i="30"/>
  <c r="HA16" i="30" s="1"/>
  <c r="GZ101" i="30"/>
  <c r="GZ100" i="30"/>
  <c r="GZ79" i="30" s="1"/>
  <c r="GZ28" i="30" s="1"/>
  <c r="HA11" i="30" s="1"/>
  <c r="HA96" i="30" s="1"/>
  <c r="GZ32" i="30"/>
  <c r="HA15" i="30" s="1"/>
  <c r="HA94" i="30"/>
  <c r="HA26" i="30"/>
  <c r="HB9" i="30" s="1"/>
  <c r="AB205" i="30" s="1"/>
  <c r="GZ93" i="30"/>
  <c r="GZ25" i="30"/>
  <c r="HA8" i="30" s="1"/>
  <c r="EY71" i="30" l="1"/>
  <c r="EY20" i="30" s="1"/>
  <c r="EZ3" i="30" s="1"/>
  <c r="EZ88" i="30" s="1"/>
  <c r="EY81" i="30"/>
  <c r="EY30" i="30" s="1"/>
  <c r="EZ13" i="30" s="1"/>
  <c r="EZ98" i="30" s="1"/>
  <c r="EY86" i="30"/>
  <c r="EY35" i="30" s="1"/>
  <c r="EZ18" i="30" s="1"/>
  <c r="EZ103" i="30" s="1"/>
  <c r="EY74" i="30"/>
  <c r="EY23" i="30" s="1"/>
  <c r="EZ6" i="30" s="1"/>
  <c r="EZ91" i="30" s="1"/>
  <c r="EY80" i="30"/>
  <c r="EY29" i="30" s="1"/>
  <c r="EZ12" i="30" s="1"/>
  <c r="EZ97" i="30" s="1"/>
  <c r="EY31" i="30"/>
  <c r="EZ14" i="30" s="1"/>
  <c r="EZ99" i="30" s="1"/>
  <c r="EZ72" i="30" s="1"/>
  <c r="EZ21" i="30" s="1"/>
  <c r="FA4" i="30" s="1"/>
  <c r="FA89" i="30" s="1"/>
  <c r="FA78" i="30" s="1"/>
  <c r="FA27" i="30" s="1"/>
  <c r="FB10" i="30" s="1"/>
  <c r="FB95" i="30" s="1"/>
  <c r="EY75" i="30"/>
  <c r="EY24" i="30" s="1"/>
  <c r="EZ7" i="30" s="1"/>
  <c r="EZ92" i="30" s="1"/>
  <c r="EY73" i="30"/>
  <c r="EY22" i="30" s="1"/>
  <c r="EZ5" i="30" s="1"/>
  <c r="EZ90" i="30" s="1"/>
  <c r="EZ81" i="30" s="1"/>
  <c r="HB104" i="30"/>
  <c r="HB36" i="30"/>
  <c r="HC19" i="30" s="1"/>
  <c r="HB34" i="30"/>
  <c r="HC17" i="30" s="1"/>
  <c r="HB102" i="30"/>
  <c r="HB83" i="30" s="1"/>
  <c r="HA101" i="30"/>
  <c r="HA33" i="30"/>
  <c r="HB16" i="30" s="1"/>
  <c r="AB240" i="30" s="1"/>
  <c r="HA100" i="30"/>
  <c r="HA79" i="30" s="1"/>
  <c r="HA28" i="30" s="1"/>
  <c r="HB11" i="30" s="1"/>
  <c r="AB215" i="30" s="1"/>
  <c r="HA32" i="30"/>
  <c r="HB15" i="30" s="1"/>
  <c r="AB235" i="30" s="1"/>
  <c r="HB94" i="30"/>
  <c r="HB26" i="30"/>
  <c r="HC9" i="30" s="1"/>
  <c r="HA93" i="30"/>
  <c r="HA25" i="30"/>
  <c r="HB8" i="30" s="1"/>
  <c r="AB200" i="30" s="1"/>
  <c r="HB96" i="30" l="1"/>
  <c r="EZ82" i="30"/>
  <c r="EZ31" i="30" s="1"/>
  <c r="FA14" i="30" s="1"/>
  <c r="FA99" i="30" s="1"/>
  <c r="FA72" i="30" s="1"/>
  <c r="FA21" i="30" s="1"/>
  <c r="FB4" i="30" s="1"/>
  <c r="FB89" i="30" s="1"/>
  <c r="FB78" i="30" s="1"/>
  <c r="FB27" i="30" s="1"/>
  <c r="FC10" i="30" s="1"/>
  <c r="FC95" i="30" s="1"/>
  <c r="EZ30" i="30"/>
  <c r="FA13" i="30" s="1"/>
  <c r="FA98" i="30" s="1"/>
  <c r="EZ86" i="30"/>
  <c r="EZ35" i="30" s="1"/>
  <c r="FA18" i="30" s="1"/>
  <c r="FA103" i="30" s="1"/>
  <c r="EZ73" i="30"/>
  <c r="EZ22" i="30" s="1"/>
  <c r="FA5" i="30" s="1"/>
  <c r="FA90" i="30" s="1"/>
  <c r="EZ71" i="30"/>
  <c r="EZ20" i="30" s="1"/>
  <c r="FA3" i="30" s="1"/>
  <c r="FA88" i="30" s="1"/>
  <c r="EZ80" i="30"/>
  <c r="EZ29" i="30" s="1"/>
  <c r="FA12" i="30" s="1"/>
  <c r="FA97" i="30" s="1"/>
  <c r="EZ75" i="30"/>
  <c r="EZ24" i="30" s="1"/>
  <c r="FA7" i="30" s="1"/>
  <c r="FA92" i="30" s="1"/>
  <c r="EZ74" i="30"/>
  <c r="EZ23" i="30" s="1"/>
  <c r="FA6" i="30" s="1"/>
  <c r="FA91" i="30" s="1"/>
  <c r="HC36" i="30"/>
  <c r="HD19" i="30" s="1"/>
  <c r="HC104" i="30"/>
  <c r="HC102" i="30"/>
  <c r="HC83" i="30" s="1"/>
  <c r="HC34" i="30"/>
  <c r="HD17" i="30" s="1"/>
  <c r="HB33" i="30"/>
  <c r="HC16" i="30" s="1"/>
  <c r="HB101" i="30"/>
  <c r="HB100" i="30"/>
  <c r="HB79" i="30" s="1"/>
  <c r="HB28" i="30" s="1"/>
  <c r="HC11" i="30" s="1"/>
  <c r="HC96" i="30" s="1"/>
  <c r="HB32" i="30"/>
  <c r="HC15" i="30" s="1"/>
  <c r="HC94" i="30"/>
  <c r="HC26" i="30"/>
  <c r="HD9" i="30" s="1"/>
  <c r="HB25" i="30"/>
  <c r="HC8" i="30" s="1"/>
  <c r="HB93" i="30"/>
  <c r="FA82" i="30" l="1"/>
  <c r="FA31" i="30" s="1"/>
  <c r="FB14" i="30" s="1"/>
  <c r="FB99" i="30" s="1"/>
  <c r="FB72" i="30" s="1"/>
  <c r="FB21" i="30" s="1"/>
  <c r="FC4" i="30" s="1"/>
  <c r="FC89" i="30" s="1"/>
  <c r="FC78" i="30" s="1"/>
  <c r="FC27" i="30" s="1"/>
  <c r="FD10" i="30" s="1"/>
  <c r="FD95" i="30" s="1"/>
  <c r="FA73" i="30"/>
  <c r="FA22" i="30" s="1"/>
  <c r="FB5" i="30" s="1"/>
  <c r="FB90" i="30" s="1"/>
  <c r="FB81" i="30" s="1"/>
  <c r="FA81" i="30"/>
  <c r="FA30" i="30" s="1"/>
  <c r="FB13" i="30" s="1"/>
  <c r="FB98" i="30" s="1"/>
  <c r="FA80" i="30"/>
  <c r="FA29" i="30" s="1"/>
  <c r="FB12" i="30" s="1"/>
  <c r="FB97" i="30" s="1"/>
  <c r="FA74" i="30"/>
  <c r="FA23" i="30" s="1"/>
  <c r="FB6" i="30" s="1"/>
  <c r="FB91" i="30" s="1"/>
  <c r="FA75" i="30"/>
  <c r="FA24" i="30" s="1"/>
  <c r="FB7" i="30" s="1"/>
  <c r="FB92" i="30" s="1"/>
  <c r="FA71" i="30"/>
  <c r="FA20" i="30" s="1"/>
  <c r="FB3" i="30" s="1"/>
  <c r="FB88" i="30" s="1"/>
  <c r="FA86" i="30"/>
  <c r="FA35" i="30" s="1"/>
  <c r="FB18" i="30" s="1"/>
  <c r="FB103" i="30" s="1"/>
  <c r="HD36" i="30"/>
  <c r="HE19" i="30" s="1"/>
  <c r="HD104" i="30"/>
  <c r="HD34" i="30"/>
  <c r="HE17" i="30" s="1"/>
  <c r="HD102" i="30"/>
  <c r="HD83" i="30" s="1"/>
  <c r="HC101" i="30"/>
  <c r="HC33" i="30"/>
  <c r="HD16" i="30" s="1"/>
  <c r="HC100" i="30"/>
  <c r="HC79" i="30" s="1"/>
  <c r="HC28" i="30" s="1"/>
  <c r="HD11" i="30" s="1"/>
  <c r="HD96" i="30" s="1"/>
  <c r="HC32" i="30"/>
  <c r="HD15" i="30" s="1"/>
  <c r="HD26" i="30"/>
  <c r="HE9" i="30" s="1"/>
  <c r="HD94" i="30"/>
  <c r="HC93" i="30"/>
  <c r="HC25" i="30"/>
  <c r="HD8" i="30" s="1"/>
  <c r="FB73" i="30" l="1"/>
  <c r="FB22" i="30" s="1"/>
  <c r="FC5" i="30" s="1"/>
  <c r="FC90" i="30" s="1"/>
  <c r="FC81" i="30" s="1"/>
  <c r="FB30" i="30"/>
  <c r="FC13" i="30" s="1"/>
  <c r="FC98" i="30" s="1"/>
  <c r="FB82" i="30"/>
  <c r="FB31" i="30" s="1"/>
  <c r="FC14" i="30" s="1"/>
  <c r="FC99" i="30" s="1"/>
  <c r="FC72" i="30" s="1"/>
  <c r="FC21" i="30" s="1"/>
  <c r="FD4" i="30" s="1"/>
  <c r="FD89" i="30" s="1"/>
  <c r="FD78" i="30" s="1"/>
  <c r="FD27" i="30" s="1"/>
  <c r="FE10" i="30" s="1"/>
  <c r="FE95" i="30" s="1"/>
  <c r="FB71" i="30"/>
  <c r="FB20" i="30" s="1"/>
  <c r="FC3" i="30" s="1"/>
  <c r="FC88" i="30" s="1"/>
  <c r="FB74" i="30"/>
  <c r="FB23" i="30" s="1"/>
  <c r="FC6" i="30" s="1"/>
  <c r="FC91" i="30" s="1"/>
  <c r="FB86" i="30"/>
  <c r="FB35" i="30" s="1"/>
  <c r="FC18" i="30" s="1"/>
  <c r="FC103" i="30" s="1"/>
  <c r="FB75" i="30"/>
  <c r="FB24" i="30" s="1"/>
  <c r="FC7" i="30" s="1"/>
  <c r="FC92" i="30" s="1"/>
  <c r="FB80" i="30"/>
  <c r="FB29" i="30" s="1"/>
  <c r="FC12" i="30" s="1"/>
  <c r="FC97" i="30" s="1"/>
  <c r="HE104" i="30"/>
  <c r="HE36" i="30"/>
  <c r="HF19" i="30" s="1"/>
  <c r="HE102" i="30"/>
  <c r="HE83" i="30" s="1"/>
  <c r="HE34" i="30"/>
  <c r="HF17" i="30" s="1"/>
  <c r="HD101" i="30"/>
  <c r="HD33" i="30"/>
  <c r="HE16" i="30" s="1"/>
  <c r="HD100" i="30"/>
  <c r="HD79" i="30" s="1"/>
  <c r="HD28" i="30" s="1"/>
  <c r="HE11" i="30" s="1"/>
  <c r="HE96" i="30" s="1"/>
  <c r="HD32" i="30"/>
  <c r="HE15" i="30" s="1"/>
  <c r="HE94" i="30"/>
  <c r="HE26" i="30"/>
  <c r="HF9" i="30" s="1"/>
  <c r="HD93" i="30"/>
  <c r="HD25" i="30"/>
  <c r="HE8" i="30" s="1"/>
  <c r="FC30" i="30" l="1"/>
  <c r="FD13" i="30" s="1"/>
  <c r="FD98" i="30" s="1"/>
  <c r="FC71" i="30"/>
  <c r="FC20" i="30" s="1"/>
  <c r="FD3" i="30" s="1"/>
  <c r="FD88" i="30" s="1"/>
  <c r="FC82" i="30"/>
  <c r="FC31" i="30" s="1"/>
  <c r="FD14" i="30" s="1"/>
  <c r="FD99" i="30" s="1"/>
  <c r="FC74" i="30"/>
  <c r="FC23" i="30" s="1"/>
  <c r="FD6" i="30" s="1"/>
  <c r="FD91" i="30" s="1"/>
  <c r="FC86" i="30"/>
  <c r="FC35" i="30" s="1"/>
  <c r="FD18" i="30" s="1"/>
  <c r="FD103" i="30" s="1"/>
  <c r="FC73" i="30"/>
  <c r="FC22" i="30" s="1"/>
  <c r="FD5" i="30" s="1"/>
  <c r="FD90" i="30" s="1"/>
  <c r="FD81" i="30" s="1"/>
  <c r="FC80" i="30"/>
  <c r="FC29" i="30" s="1"/>
  <c r="FD12" i="30" s="1"/>
  <c r="FD97" i="30" s="1"/>
  <c r="FC75" i="30"/>
  <c r="FC24" i="30" s="1"/>
  <c r="FD7" i="30" s="1"/>
  <c r="FD92" i="30" s="1"/>
  <c r="HF104" i="30"/>
  <c r="HF36" i="30"/>
  <c r="HG19" i="30" s="1"/>
  <c r="HF34" i="30"/>
  <c r="HG17" i="30" s="1"/>
  <c r="HF102" i="30"/>
  <c r="HF83" i="30" s="1"/>
  <c r="HE101" i="30"/>
  <c r="HE33" i="30"/>
  <c r="HF16" i="30" s="1"/>
  <c r="HE100" i="30"/>
  <c r="HE79" i="30" s="1"/>
  <c r="HE28" i="30" s="1"/>
  <c r="HF11" i="30" s="1"/>
  <c r="HF96" i="30" s="1"/>
  <c r="HE32" i="30"/>
  <c r="HF15" i="30" s="1"/>
  <c r="HF94" i="30"/>
  <c r="HF26" i="30"/>
  <c r="HG9" i="30" s="1"/>
  <c r="HE93" i="30"/>
  <c r="HE25" i="30"/>
  <c r="HF8" i="30" s="1"/>
  <c r="FD82" i="30" l="1"/>
  <c r="FD31" i="30" s="1"/>
  <c r="FE14" i="30" s="1"/>
  <c r="FE99" i="30" s="1"/>
  <c r="FE72" i="30" s="1"/>
  <c r="FD30" i="30"/>
  <c r="FE13" i="30" s="1"/>
  <c r="FE98" i="30" s="1"/>
  <c r="FD72" i="30"/>
  <c r="FD21" i="30" s="1"/>
  <c r="FE4" i="30" s="1"/>
  <c r="FE89" i="30" s="1"/>
  <c r="FE78" i="30" s="1"/>
  <c r="FE27" i="30" s="1"/>
  <c r="FF10" i="30" s="1"/>
  <c r="V210" i="30" s="1"/>
  <c r="FD73" i="30"/>
  <c r="FD22" i="30" s="1"/>
  <c r="FE5" i="30" s="1"/>
  <c r="FE90" i="30" s="1"/>
  <c r="FE81" i="30" s="1"/>
  <c r="FD71" i="30"/>
  <c r="FD20" i="30" s="1"/>
  <c r="FE3" i="30" s="1"/>
  <c r="FE88" i="30" s="1"/>
  <c r="FD74" i="30"/>
  <c r="FD23" i="30" s="1"/>
  <c r="FE6" i="30" s="1"/>
  <c r="FE91" i="30" s="1"/>
  <c r="FD80" i="30"/>
  <c r="FD29" i="30" s="1"/>
  <c r="FE12" i="30" s="1"/>
  <c r="FE97" i="30" s="1"/>
  <c r="FD86" i="30"/>
  <c r="FD35" i="30" s="1"/>
  <c r="FE18" i="30" s="1"/>
  <c r="FE103" i="30" s="1"/>
  <c r="FD75" i="30"/>
  <c r="FD24" i="30" s="1"/>
  <c r="FE7" i="30" s="1"/>
  <c r="FE92" i="30" s="1"/>
  <c r="HG104" i="30"/>
  <c r="HG36" i="30"/>
  <c r="HH19" i="30" s="1"/>
  <c r="HG34" i="30"/>
  <c r="HH17" i="30" s="1"/>
  <c r="HG102" i="30"/>
  <c r="HG83" i="30" s="1"/>
  <c r="HF33" i="30"/>
  <c r="HG16" i="30" s="1"/>
  <c r="HF101" i="30"/>
  <c r="HF100" i="30"/>
  <c r="HF79" i="30" s="1"/>
  <c r="HF28" i="30" s="1"/>
  <c r="HG11" i="30" s="1"/>
  <c r="HG96" i="30" s="1"/>
  <c r="HF32" i="30"/>
  <c r="HG15" i="30" s="1"/>
  <c r="HG94" i="30"/>
  <c r="HG26" i="30"/>
  <c r="HH9" i="30" s="1"/>
  <c r="HF25" i="30"/>
  <c r="HG8" i="30" s="1"/>
  <c r="HF93" i="30"/>
  <c r="FE30" i="30" l="1"/>
  <c r="FF13" i="30" s="1"/>
  <c r="V225" i="30" s="1"/>
  <c r="FE82" i="30"/>
  <c r="FE31" i="30" s="1"/>
  <c r="FF14" i="30" s="1"/>
  <c r="V230" i="30" s="1"/>
  <c r="FF95" i="30"/>
  <c r="FE73" i="30"/>
  <c r="FE22" i="30" s="1"/>
  <c r="FF5" i="30" s="1"/>
  <c r="V185" i="30" s="1"/>
  <c r="FE21" i="30"/>
  <c r="FF4" i="30" s="1"/>
  <c r="V180" i="30" s="1"/>
  <c r="FE74" i="30"/>
  <c r="FE23" i="30" s="1"/>
  <c r="FF6" i="30" s="1"/>
  <c r="V190" i="30" s="1"/>
  <c r="FE75" i="30"/>
  <c r="FE24" i="30" s="1"/>
  <c r="FF7" i="30" s="1"/>
  <c r="V195" i="30" s="1"/>
  <c r="FE80" i="30"/>
  <c r="FE29" i="30" s="1"/>
  <c r="FF12" i="30" s="1"/>
  <c r="V220" i="30" s="1"/>
  <c r="FE86" i="30"/>
  <c r="FE35" i="30" s="1"/>
  <c r="FF18" i="30" s="1"/>
  <c r="V250" i="30" s="1"/>
  <c r="FE71" i="30"/>
  <c r="FE20" i="30" s="1"/>
  <c r="FF3" i="30" s="1"/>
  <c r="V175" i="30" s="1"/>
  <c r="HH104" i="30"/>
  <c r="HH36" i="30"/>
  <c r="HI19" i="30" s="1"/>
  <c r="HH34" i="30"/>
  <c r="HI17" i="30" s="1"/>
  <c r="HH102" i="30"/>
  <c r="HH83" i="30" s="1"/>
  <c r="HG101" i="30"/>
  <c r="HG33" i="30"/>
  <c r="HH16" i="30" s="1"/>
  <c r="HG100" i="30"/>
  <c r="HG79" i="30" s="1"/>
  <c r="HG28" i="30" s="1"/>
  <c r="HH11" i="30" s="1"/>
  <c r="HH96" i="30" s="1"/>
  <c r="HG32" i="30"/>
  <c r="HH15" i="30" s="1"/>
  <c r="HH26" i="30"/>
  <c r="HI9" i="30" s="1"/>
  <c r="HH94" i="30"/>
  <c r="HG93" i="30"/>
  <c r="HG25" i="30"/>
  <c r="HH8" i="30" s="1"/>
  <c r="FF92" i="30" l="1"/>
  <c r="FF98" i="30"/>
  <c r="FF99" i="30"/>
  <c r="FF72" i="30" s="1"/>
  <c r="FF21" i="30" s="1"/>
  <c r="FG4" i="30" s="1"/>
  <c r="FG89" i="30" s="1"/>
  <c r="FG78" i="30" s="1"/>
  <c r="FF90" i="30"/>
  <c r="FF81" i="30" s="1"/>
  <c r="FF30" i="30" s="1"/>
  <c r="FG13" i="30" s="1"/>
  <c r="FG98" i="30" s="1"/>
  <c r="FF89" i="30"/>
  <c r="FF78" i="30" s="1"/>
  <c r="FF27" i="30" s="1"/>
  <c r="FG10" i="30" s="1"/>
  <c r="FG95" i="30" s="1"/>
  <c r="FF91" i="30"/>
  <c r="FF103" i="30"/>
  <c r="FF97" i="30"/>
  <c r="FF88" i="30"/>
  <c r="HI104" i="30"/>
  <c r="HI36" i="30"/>
  <c r="HJ19" i="30" s="1"/>
  <c r="AC255" i="30" s="1"/>
  <c r="HI102" i="30"/>
  <c r="HI83" i="30" s="1"/>
  <c r="HI34" i="30"/>
  <c r="HJ17" i="30" s="1"/>
  <c r="AC245" i="30" s="1"/>
  <c r="HH33" i="30"/>
  <c r="HI16" i="30" s="1"/>
  <c r="HH101" i="30"/>
  <c r="HH100" i="30"/>
  <c r="HH79" i="30" s="1"/>
  <c r="HH28" i="30" s="1"/>
  <c r="HI11" i="30" s="1"/>
  <c r="HI96" i="30" s="1"/>
  <c r="HH32" i="30"/>
  <c r="HI15" i="30" s="1"/>
  <c r="HI94" i="30"/>
  <c r="HI26" i="30"/>
  <c r="HJ9" i="30" s="1"/>
  <c r="AC205" i="30" s="1"/>
  <c r="HH25" i="30"/>
  <c r="HI8" i="30" s="1"/>
  <c r="HH93" i="30"/>
  <c r="FF71" i="30" l="1"/>
  <c r="FF20" i="30" s="1"/>
  <c r="FG3" i="30" s="1"/>
  <c r="FG88" i="30" s="1"/>
  <c r="FF74" i="30"/>
  <c r="FF23" i="30" s="1"/>
  <c r="FG6" i="30" s="1"/>
  <c r="FG91" i="30" s="1"/>
  <c r="FG82" i="30" s="1"/>
  <c r="FF75" i="30"/>
  <c r="FF24" i="30" s="1"/>
  <c r="FG7" i="30" s="1"/>
  <c r="FG92" i="30" s="1"/>
  <c r="FF82" i="30"/>
  <c r="FF31" i="30" s="1"/>
  <c r="FG14" i="30" s="1"/>
  <c r="FG99" i="30" s="1"/>
  <c r="FG72" i="30" s="1"/>
  <c r="FG21" i="30" s="1"/>
  <c r="FH4" i="30" s="1"/>
  <c r="FH89" i="30" s="1"/>
  <c r="FH78" i="30" s="1"/>
  <c r="FG27" i="30"/>
  <c r="FH10" i="30" s="1"/>
  <c r="FH95" i="30" s="1"/>
  <c r="FF73" i="30"/>
  <c r="FF22" i="30" s="1"/>
  <c r="FG5" i="30" s="1"/>
  <c r="FG90" i="30" s="1"/>
  <c r="FG81" i="30" s="1"/>
  <c r="FG30" i="30" s="1"/>
  <c r="FH13" i="30" s="1"/>
  <c r="FH98" i="30" s="1"/>
  <c r="FF80" i="30"/>
  <c r="FF29" i="30" s="1"/>
  <c r="FG12" i="30" s="1"/>
  <c r="FG97" i="30" s="1"/>
  <c r="FF86" i="30"/>
  <c r="FF35" i="30" s="1"/>
  <c r="FG18" i="30" s="1"/>
  <c r="FG103" i="30" s="1"/>
  <c r="HJ104" i="30"/>
  <c r="HJ36" i="30"/>
  <c r="HK19" i="30" s="1"/>
  <c r="HJ102" i="30"/>
  <c r="HJ83" i="30" s="1"/>
  <c r="HJ34" i="30"/>
  <c r="HK17" i="30" s="1"/>
  <c r="HI33" i="30"/>
  <c r="HJ16" i="30" s="1"/>
  <c r="AC240" i="30" s="1"/>
  <c r="HI101" i="30"/>
  <c r="HI100" i="30"/>
  <c r="HI79" i="30" s="1"/>
  <c r="HI28" i="30" s="1"/>
  <c r="HJ11" i="30" s="1"/>
  <c r="AC215" i="30" s="1"/>
  <c r="HI32" i="30"/>
  <c r="HJ15" i="30" s="1"/>
  <c r="AC235" i="30" s="1"/>
  <c r="HJ94" i="30"/>
  <c r="HJ26" i="30"/>
  <c r="HK9" i="30" s="1"/>
  <c r="HI93" i="30"/>
  <c r="HI25" i="30"/>
  <c r="HJ8" i="30" s="1"/>
  <c r="AC200" i="30" s="1"/>
  <c r="FG31" i="30" l="1"/>
  <c r="FH14" i="30" s="1"/>
  <c r="FH99" i="30" s="1"/>
  <c r="FH72" i="30" s="1"/>
  <c r="FH21" i="30" s="1"/>
  <c r="FI4" i="30" s="1"/>
  <c r="FI89" i="30" s="1"/>
  <c r="FI78" i="30" s="1"/>
  <c r="FG86" i="30"/>
  <c r="FG35" i="30" s="1"/>
  <c r="FH18" i="30" s="1"/>
  <c r="FH103" i="30" s="1"/>
  <c r="FH27" i="30"/>
  <c r="FI10" i="30" s="1"/>
  <c r="FI95" i="30" s="1"/>
  <c r="FG74" i="30"/>
  <c r="FG23" i="30" s="1"/>
  <c r="FH6" i="30" s="1"/>
  <c r="FH91" i="30" s="1"/>
  <c r="FH82" i="30" s="1"/>
  <c r="FG75" i="30"/>
  <c r="FG24" i="30" s="1"/>
  <c r="FH7" i="30" s="1"/>
  <c r="FH92" i="30" s="1"/>
  <c r="FG73" i="30"/>
  <c r="FG22" i="30" s="1"/>
  <c r="FH5" i="30" s="1"/>
  <c r="FH90" i="30" s="1"/>
  <c r="FG80" i="30"/>
  <c r="FG29" i="30" s="1"/>
  <c r="FH12" i="30" s="1"/>
  <c r="FH97" i="30" s="1"/>
  <c r="FG71" i="30"/>
  <c r="FG20" i="30" s="1"/>
  <c r="FH3" i="30" s="1"/>
  <c r="FH88" i="30" s="1"/>
  <c r="HK104" i="30"/>
  <c r="HK36" i="30"/>
  <c r="HL19" i="30" s="1"/>
  <c r="HK34" i="30"/>
  <c r="HL17" i="30" s="1"/>
  <c r="HK102" i="30"/>
  <c r="HK83" i="30" s="1"/>
  <c r="HJ96" i="30"/>
  <c r="HJ101" i="30"/>
  <c r="HJ33" i="30"/>
  <c r="HK16" i="30" s="1"/>
  <c r="HJ100" i="30"/>
  <c r="HJ79" i="30" s="1"/>
  <c r="HJ28" i="30" s="1"/>
  <c r="HK11" i="30" s="1"/>
  <c r="HK96" i="30" s="1"/>
  <c r="HJ32" i="30"/>
  <c r="HK15" i="30" s="1"/>
  <c r="HK94" i="30"/>
  <c r="HK26" i="30"/>
  <c r="HL9" i="30" s="1"/>
  <c r="HJ25" i="30"/>
  <c r="HK8" i="30" s="1"/>
  <c r="HJ93" i="30"/>
  <c r="FH73" i="30" l="1"/>
  <c r="FH22" i="30" s="1"/>
  <c r="FI5" i="30" s="1"/>
  <c r="FI90" i="30" s="1"/>
  <c r="FI81" i="30" s="1"/>
  <c r="FH31" i="30"/>
  <c r="FI14" i="30" s="1"/>
  <c r="FI99" i="30" s="1"/>
  <c r="FI72" i="30" s="1"/>
  <c r="FI21" i="30" s="1"/>
  <c r="FJ4" i="30" s="1"/>
  <c r="FJ89" i="30" s="1"/>
  <c r="FJ78" i="30" s="1"/>
  <c r="FI27" i="30"/>
  <c r="FJ10" i="30" s="1"/>
  <c r="FJ95" i="30" s="1"/>
  <c r="FH81" i="30"/>
  <c r="FH30" i="30" s="1"/>
  <c r="FI13" i="30" s="1"/>
  <c r="FI98" i="30" s="1"/>
  <c r="FH74" i="30"/>
  <c r="FH23" i="30" s="1"/>
  <c r="FI6" i="30" s="1"/>
  <c r="FI91" i="30" s="1"/>
  <c r="FH75" i="30"/>
  <c r="FH24" i="30" s="1"/>
  <c r="FI7" i="30" s="1"/>
  <c r="FI92" i="30" s="1"/>
  <c r="FH71" i="30"/>
  <c r="FH20" i="30" s="1"/>
  <c r="FI3" i="30" s="1"/>
  <c r="FI88" i="30" s="1"/>
  <c r="FH86" i="30"/>
  <c r="FH35" i="30" s="1"/>
  <c r="FI18" i="30" s="1"/>
  <c r="FI103" i="30" s="1"/>
  <c r="FH80" i="30"/>
  <c r="FH29" i="30" s="1"/>
  <c r="FI12" i="30" s="1"/>
  <c r="FI97" i="30" s="1"/>
  <c r="HL104" i="30"/>
  <c r="HL36" i="30"/>
  <c r="HM19" i="30" s="1"/>
  <c r="HL102" i="30"/>
  <c r="HL83" i="30" s="1"/>
  <c r="HL34" i="30"/>
  <c r="HM17" i="30" s="1"/>
  <c r="HK33" i="30"/>
  <c r="HL16" i="30" s="1"/>
  <c r="HK101" i="30"/>
  <c r="HK100" i="30"/>
  <c r="HK79" i="30" s="1"/>
  <c r="HK28" i="30" s="1"/>
  <c r="HL11" i="30" s="1"/>
  <c r="HL96" i="30" s="1"/>
  <c r="HK32" i="30"/>
  <c r="HL15" i="30" s="1"/>
  <c r="HL26" i="30"/>
  <c r="HM9" i="30" s="1"/>
  <c r="HL94" i="30"/>
  <c r="HK93" i="30"/>
  <c r="HK25" i="30"/>
  <c r="HL8" i="30" s="1"/>
  <c r="FI73" i="30" l="1"/>
  <c r="FI22" i="30" s="1"/>
  <c r="FJ5" i="30" s="1"/>
  <c r="FJ90" i="30" s="1"/>
  <c r="FJ81" i="30" s="1"/>
  <c r="FJ27" i="30"/>
  <c r="FK10" i="30" s="1"/>
  <c r="FK95" i="30" s="1"/>
  <c r="FI30" i="30"/>
  <c r="FJ13" i="30" s="1"/>
  <c r="FJ98" i="30" s="1"/>
  <c r="FI82" i="30"/>
  <c r="FI31" i="30" s="1"/>
  <c r="FJ14" i="30" s="1"/>
  <c r="FJ99" i="30" s="1"/>
  <c r="FJ72" i="30" s="1"/>
  <c r="FJ21" i="30" s="1"/>
  <c r="FK4" i="30" s="1"/>
  <c r="FK89" i="30" s="1"/>
  <c r="FK78" i="30" s="1"/>
  <c r="FI74" i="30"/>
  <c r="FI23" i="30" s="1"/>
  <c r="FJ6" i="30" s="1"/>
  <c r="FJ91" i="30" s="1"/>
  <c r="FI86" i="30"/>
  <c r="FI35" i="30" s="1"/>
  <c r="FJ18" i="30" s="1"/>
  <c r="FJ103" i="30" s="1"/>
  <c r="FI75" i="30"/>
  <c r="FI24" i="30" s="1"/>
  <c r="FJ7" i="30" s="1"/>
  <c r="FJ92" i="30" s="1"/>
  <c r="FI80" i="30"/>
  <c r="FI29" i="30" s="1"/>
  <c r="FJ12" i="30" s="1"/>
  <c r="FJ97" i="30" s="1"/>
  <c r="FI71" i="30"/>
  <c r="FI20" i="30" s="1"/>
  <c r="FJ3" i="30" s="1"/>
  <c r="FJ88" i="30" s="1"/>
  <c r="HM36" i="30"/>
  <c r="HN19" i="30" s="1"/>
  <c r="HM104" i="30"/>
  <c r="HM102" i="30"/>
  <c r="HM83" i="30" s="1"/>
  <c r="HM34" i="30"/>
  <c r="HN17" i="30" s="1"/>
  <c r="HL101" i="30"/>
  <c r="HL33" i="30"/>
  <c r="HM16" i="30" s="1"/>
  <c r="HL100" i="30"/>
  <c r="HL79" i="30" s="1"/>
  <c r="HL28" i="30" s="1"/>
  <c r="HM11" i="30" s="1"/>
  <c r="HM96" i="30" s="1"/>
  <c r="HL32" i="30"/>
  <c r="HM15" i="30" s="1"/>
  <c r="HM94" i="30"/>
  <c r="HM26" i="30"/>
  <c r="HN9" i="30" s="1"/>
  <c r="HL25" i="30"/>
  <c r="HM8" i="30" s="1"/>
  <c r="HL93" i="30"/>
  <c r="FK27" i="30" l="1"/>
  <c r="FL10" i="30" s="1"/>
  <c r="FL95" i="30" s="1"/>
  <c r="FJ30" i="30"/>
  <c r="FK13" i="30" s="1"/>
  <c r="FK98" i="30" s="1"/>
  <c r="FJ82" i="30"/>
  <c r="FJ31" i="30" s="1"/>
  <c r="FK14" i="30" s="1"/>
  <c r="FK99" i="30" s="1"/>
  <c r="FK72" i="30" s="1"/>
  <c r="FK21" i="30" s="1"/>
  <c r="FL4" i="30" s="1"/>
  <c r="FL89" i="30" s="1"/>
  <c r="FJ73" i="30"/>
  <c r="FJ22" i="30" s="1"/>
  <c r="FK5" i="30" s="1"/>
  <c r="FK90" i="30" s="1"/>
  <c r="FK81" i="30" s="1"/>
  <c r="FJ74" i="30"/>
  <c r="FJ23" i="30" s="1"/>
  <c r="FK6" i="30" s="1"/>
  <c r="FK91" i="30" s="1"/>
  <c r="FJ80" i="30"/>
  <c r="FJ29" i="30" s="1"/>
  <c r="FK12" i="30" s="1"/>
  <c r="FK97" i="30" s="1"/>
  <c r="FJ75" i="30"/>
  <c r="FJ24" i="30" s="1"/>
  <c r="FK7" i="30" s="1"/>
  <c r="FK92" i="30" s="1"/>
  <c r="FJ71" i="30"/>
  <c r="FJ20" i="30" s="1"/>
  <c r="FK3" i="30" s="1"/>
  <c r="FK88" i="30" s="1"/>
  <c r="FJ86" i="30"/>
  <c r="FJ35" i="30" s="1"/>
  <c r="FK18" i="30" s="1"/>
  <c r="FK103" i="30" s="1"/>
  <c r="HN36" i="30"/>
  <c r="HO19" i="30" s="1"/>
  <c r="HN104" i="30"/>
  <c r="HN102" i="30"/>
  <c r="HN83" i="30" s="1"/>
  <c r="HN34" i="30"/>
  <c r="HO17" i="30" s="1"/>
  <c r="HM33" i="30"/>
  <c r="HN16" i="30" s="1"/>
  <c r="HM101" i="30"/>
  <c r="HM100" i="30"/>
  <c r="HM79" i="30" s="1"/>
  <c r="HM28" i="30" s="1"/>
  <c r="HN11" i="30" s="1"/>
  <c r="HN96" i="30" s="1"/>
  <c r="HM32" i="30"/>
  <c r="HN15" i="30" s="1"/>
  <c r="HN26" i="30"/>
  <c r="HO9" i="30" s="1"/>
  <c r="HN94" i="30"/>
  <c r="HM93" i="30"/>
  <c r="HM25" i="30"/>
  <c r="HN8" i="30" s="1"/>
  <c r="FK30" i="30" l="1"/>
  <c r="FL13" i="30" s="1"/>
  <c r="FL98" i="30" s="1"/>
  <c r="FK74" i="30"/>
  <c r="FK23" i="30" s="1"/>
  <c r="FL6" i="30" s="1"/>
  <c r="FL91" i="30" s="1"/>
  <c r="FK80" i="30"/>
  <c r="FK29" i="30" s="1"/>
  <c r="FL12" i="30" s="1"/>
  <c r="FL97" i="30" s="1"/>
  <c r="FK75" i="30"/>
  <c r="FK24" i="30" s="1"/>
  <c r="FL7" i="30" s="1"/>
  <c r="FL92" i="30" s="1"/>
  <c r="HO36" i="30"/>
  <c r="HP19" i="30" s="1"/>
  <c r="HO104" i="30"/>
  <c r="HO34" i="30"/>
  <c r="HP17" i="30" s="1"/>
  <c r="HO102" i="30"/>
  <c r="HO83" i="30" s="1"/>
  <c r="HN33" i="30"/>
  <c r="HO16" i="30" s="1"/>
  <c r="HN101" i="30"/>
  <c r="HN100" i="30"/>
  <c r="HN79" i="30" s="1"/>
  <c r="HN28" i="30" s="1"/>
  <c r="HO11" i="30" s="1"/>
  <c r="HO96" i="30" s="1"/>
  <c r="HN32" i="30"/>
  <c r="HO15" i="30" s="1"/>
  <c r="HO94" i="30"/>
  <c r="HO26" i="30"/>
  <c r="HP9" i="30" s="1"/>
  <c r="HN93" i="30"/>
  <c r="HN25" i="30"/>
  <c r="HO8" i="30" s="1"/>
  <c r="FL78" i="30"/>
  <c r="FL27" i="30" s="1"/>
  <c r="FM10" i="30" s="1"/>
  <c r="FK71" i="30"/>
  <c r="FK20" i="30" s="1"/>
  <c r="FL3" i="30" s="1"/>
  <c r="FK73" i="30"/>
  <c r="FK22" i="30" s="1"/>
  <c r="FL5" i="30" s="1"/>
  <c r="FK86" i="30"/>
  <c r="FK35" i="30" s="1"/>
  <c r="FL18" i="30" s="1"/>
  <c r="FK82" i="30"/>
  <c r="FK31" i="30" s="1"/>
  <c r="FL14" i="30" s="1"/>
  <c r="HP104" i="30" l="1"/>
  <c r="HP36" i="30"/>
  <c r="HQ19" i="30" s="1"/>
  <c r="HP34" i="30"/>
  <c r="HQ17" i="30" s="1"/>
  <c r="HP102" i="30"/>
  <c r="HP83" i="30" s="1"/>
  <c r="HO101" i="30"/>
  <c r="HO33" i="30"/>
  <c r="HP16" i="30" s="1"/>
  <c r="HO100" i="30"/>
  <c r="HO79" i="30" s="1"/>
  <c r="HO28" i="30" s="1"/>
  <c r="HP11" i="30" s="1"/>
  <c r="HP96" i="30" s="1"/>
  <c r="HO32" i="30"/>
  <c r="HP15" i="30" s="1"/>
  <c r="HP26" i="30"/>
  <c r="HQ9" i="30" s="1"/>
  <c r="HP94" i="30"/>
  <c r="HO93" i="30"/>
  <c r="HO25" i="30"/>
  <c r="HP8" i="30" s="1"/>
  <c r="FL99" i="30"/>
  <c r="FM95" i="30"/>
  <c r="FL86" i="30"/>
  <c r="FL35" i="30" s="1"/>
  <c r="FM18" i="30" s="1"/>
  <c r="FL90" i="30"/>
  <c r="FL82" i="30"/>
  <c r="FL31" i="30" s="1"/>
  <c r="FM14" i="30" s="1"/>
  <c r="FL103" i="30"/>
  <c r="FL88" i="30"/>
  <c r="HQ104" i="30" l="1"/>
  <c r="HQ36" i="30"/>
  <c r="HR19" i="30" s="1"/>
  <c r="AD255" i="30" s="1"/>
  <c r="HQ34" i="30"/>
  <c r="HR17" i="30" s="1"/>
  <c r="AD245" i="30" s="1"/>
  <c r="HQ102" i="30"/>
  <c r="HQ83" i="30" s="1"/>
  <c r="HP101" i="30"/>
  <c r="HP33" i="30"/>
  <c r="HQ16" i="30" s="1"/>
  <c r="HP100" i="30"/>
  <c r="HP79" i="30" s="1"/>
  <c r="HP28" i="30" s="1"/>
  <c r="HQ11" i="30" s="1"/>
  <c r="HQ96" i="30" s="1"/>
  <c r="HP32" i="30"/>
  <c r="HQ15" i="30" s="1"/>
  <c r="HQ94" i="30"/>
  <c r="HQ26" i="30"/>
  <c r="HR9" i="30" s="1"/>
  <c r="AD205" i="30" s="1"/>
  <c r="HP93" i="30"/>
  <c r="HP25" i="30"/>
  <c r="HQ8" i="30" s="1"/>
  <c r="FM103" i="30"/>
  <c r="FM99" i="30"/>
  <c r="FM72" i="30" s="1"/>
  <c r="FL75" i="30"/>
  <c r="FL24" i="30" s="1"/>
  <c r="FM7" i="30" s="1"/>
  <c r="FL80" i="30"/>
  <c r="FL29" i="30" s="1"/>
  <c r="FM12" i="30" s="1"/>
  <c r="FL81" i="30"/>
  <c r="FL30" i="30" s="1"/>
  <c r="FM13" i="30" s="1"/>
  <c r="FL74" i="30"/>
  <c r="FL23" i="30" s="1"/>
  <c r="FM6" i="30" s="1"/>
  <c r="FL71" i="30"/>
  <c r="FL20" i="30" s="1"/>
  <c r="FM3" i="30" s="1"/>
  <c r="FL72" i="30"/>
  <c r="FL21" i="30" s="1"/>
  <c r="FM4" i="30" s="1"/>
  <c r="FL73" i="30"/>
  <c r="FL22" i="30" s="1"/>
  <c r="FM5" i="30" s="1"/>
  <c r="HR36" i="30" l="1"/>
  <c r="HS19" i="30" s="1"/>
  <c r="HR104" i="30"/>
  <c r="HR102" i="30"/>
  <c r="HR83" i="30" s="1"/>
  <c r="HR34" i="30"/>
  <c r="HS17" i="30" s="1"/>
  <c r="HQ101" i="30"/>
  <c r="HQ33" i="30"/>
  <c r="HR16" i="30" s="1"/>
  <c r="AD240" i="30" s="1"/>
  <c r="HQ100" i="30"/>
  <c r="HQ79" i="30" s="1"/>
  <c r="HQ28" i="30" s="1"/>
  <c r="HR11" i="30" s="1"/>
  <c r="AD215" i="30" s="1"/>
  <c r="HQ32" i="30"/>
  <c r="HR15" i="30" s="1"/>
  <c r="AD235" i="30" s="1"/>
  <c r="HR94" i="30"/>
  <c r="HR26" i="30"/>
  <c r="HS9" i="30" s="1"/>
  <c r="HQ93" i="30"/>
  <c r="HQ25" i="30"/>
  <c r="HR8" i="30" s="1"/>
  <c r="AD200" i="30" s="1"/>
  <c r="FM90" i="30"/>
  <c r="FM91" i="30"/>
  <c r="FM98" i="30"/>
  <c r="FM21" i="30"/>
  <c r="FN4" i="30" s="1"/>
  <c r="W180" i="30" s="1"/>
  <c r="FM89" i="30"/>
  <c r="FM97" i="30"/>
  <c r="FM88" i="30"/>
  <c r="FM92" i="30"/>
  <c r="HS36" i="30" l="1"/>
  <c r="HT19" i="30" s="1"/>
  <c r="HS104" i="30"/>
  <c r="HS34" i="30"/>
  <c r="HT17" i="30" s="1"/>
  <c r="HS102" i="30"/>
  <c r="HS83" i="30" s="1"/>
  <c r="HR101" i="30"/>
  <c r="HR33" i="30"/>
  <c r="HS16" i="30" s="1"/>
  <c r="HR96" i="30"/>
  <c r="HR100" i="30"/>
  <c r="HR79" i="30" s="1"/>
  <c r="HR28" i="30" s="1"/>
  <c r="HS11" i="30" s="1"/>
  <c r="HS96" i="30" s="1"/>
  <c r="HR32" i="30"/>
  <c r="HS15" i="30" s="1"/>
  <c r="HS94" i="30"/>
  <c r="HS26" i="30"/>
  <c r="HT9" i="30" s="1"/>
  <c r="HR25" i="30"/>
  <c r="HS8" i="30" s="1"/>
  <c r="HR93" i="30"/>
  <c r="FM75" i="30"/>
  <c r="FM24" i="30" s="1"/>
  <c r="FN7" i="30" s="1"/>
  <c r="W195" i="30" s="1"/>
  <c r="FM80" i="30"/>
  <c r="FM29" i="30" s="1"/>
  <c r="FN12" i="30" s="1"/>
  <c r="W220" i="30" s="1"/>
  <c r="FN89" i="30"/>
  <c r="FM86" i="30"/>
  <c r="FM35" i="30" s="1"/>
  <c r="FN18" i="30" s="1"/>
  <c r="W250" i="30" s="1"/>
  <c r="FM78" i="30"/>
  <c r="FM27" i="30" s="1"/>
  <c r="FN10" i="30" s="1"/>
  <c r="W210" i="30" s="1"/>
  <c r="FM73" i="30"/>
  <c r="FM22" i="30" s="1"/>
  <c r="FN5" i="30" s="1"/>
  <c r="W185" i="30" s="1"/>
  <c r="FM82" i="30"/>
  <c r="FM31" i="30" s="1"/>
  <c r="FN14" i="30" s="1"/>
  <c r="W230" i="30" s="1"/>
  <c r="FM71" i="30"/>
  <c r="FM20" i="30" s="1"/>
  <c r="FN3" i="30" s="1"/>
  <c r="W175" i="30" s="1"/>
  <c r="FM81" i="30"/>
  <c r="FM30" i="30" s="1"/>
  <c r="FN13" i="30" s="1"/>
  <c r="W225" i="30" s="1"/>
  <c r="FM74" i="30"/>
  <c r="FM23" i="30" s="1"/>
  <c r="FN6" i="30" s="1"/>
  <c r="W190" i="30" s="1"/>
  <c r="HT36" i="30" l="1"/>
  <c r="HU19" i="30" s="1"/>
  <c r="HT104" i="30"/>
  <c r="HT102" i="30"/>
  <c r="HT83" i="30" s="1"/>
  <c r="HT34" i="30"/>
  <c r="HU17" i="30" s="1"/>
  <c r="HS101" i="30"/>
  <c r="HS33" i="30"/>
  <c r="HT16" i="30" s="1"/>
  <c r="HS100" i="30"/>
  <c r="HS79" i="30" s="1"/>
  <c r="HS28" i="30" s="1"/>
  <c r="HT11" i="30" s="1"/>
  <c r="HT96" i="30" s="1"/>
  <c r="HS32" i="30"/>
  <c r="HT15" i="30" s="1"/>
  <c r="HT94" i="30"/>
  <c r="HT26" i="30"/>
  <c r="HU9" i="30" s="1"/>
  <c r="HS93" i="30"/>
  <c r="HS25" i="30"/>
  <c r="HT8" i="30" s="1"/>
  <c r="FN91" i="30"/>
  <c r="FN90" i="30"/>
  <c r="FN88" i="30"/>
  <c r="FN98" i="30"/>
  <c r="FN95" i="30"/>
  <c r="FN103" i="30"/>
  <c r="FN97" i="30"/>
  <c r="FN99" i="30"/>
  <c r="FN72" i="30" s="1"/>
  <c r="FN21" i="30" s="1"/>
  <c r="FO4" i="30" s="1"/>
  <c r="FN78" i="30"/>
  <c r="FN27" i="30" s="1"/>
  <c r="FO10" i="30" s="1"/>
  <c r="FN92" i="30"/>
  <c r="HU36" i="30" l="1"/>
  <c r="HV19" i="30" s="1"/>
  <c r="HU104" i="30"/>
  <c r="HU102" i="30"/>
  <c r="HU83" i="30" s="1"/>
  <c r="HU34" i="30"/>
  <c r="HV17" i="30" s="1"/>
  <c r="HT101" i="30"/>
  <c r="HT33" i="30"/>
  <c r="HU16" i="30" s="1"/>
  <c r="HT100" i="30"/>
  <c r="HT79" i="30" s="1"/>
  <c r="HT28" i="30" s="1"/>
  <c r="HU11" i="30" s="1"/>
  <c r="HU96" i="30" s="1"/>
  <c r="HT32" i="30"/>
  <c r="HU15" i="30" s="1"/>
  <c r="HU94" i="30"/>
  <c r="HU26" i="30"/>
  <c r="HV9" i="30" s="1"/>
  <c r="HT25" i="30"/>
  <c r="HU8" i="30" s="1"/>
  <c r="HT93" i="30"/>
  <c r="FN71" i="30"/>
  <c r="FN20" i="30" s="1"/>
  <c r="FO3" i="30" s="1"/>
  <c r="FO88" i="30" s="1"/>
  <c r="FN82" i="30"/>
  <c r="FN31" i="30" s="1"/>
  <c r="FO14" i="30" s="1"/>
  <c r="FO99" i="30" s="1"/>
  <c r="FO72" i="30" s="1"/>
  <c r="FO21" i="30" s="1"/>
  <c r="FP4" i="30" s="1"/>
  <c r="FO95" i="30"/>
  <c r="FN73" i="30"/>
  <c r="FN22" i="30" s="1"/>
  <c r="FO5" i="30" s="1"/>
  <c r="FO89" i="30"/>
  <c r="FN75" i="30"/>
  <c r="FN24" i="30" s="1"/>
  <c r="FO7" i="30" s="1"/>
  <c r="FN80" i="30"/>
  <c r="FN29" i="30" s="1"/>
  <c r="FO12" i="30" s="1"/>
  <c r="FN74" i="30"/>
  <c r="FN23" i="30" s="1"/>
  <c r="FO6" i="30" s="1"/>
  <c r="FN81" i="30"/>
  <c r="FN30" i="30" s="1"/>
  <c r="FO13" i="30" s="1"/>
  <c r="FN86" i="30"/>
  <c r="FN35" i="30" s="1"/>
  <c r="FO18" i="30" s="1"/>
  <c r="HV104" i="30" l="1"/>
  <c r="HV36" i="30"/>
  <c r="HW19" i="30" s="1"/>
  <c r="HV34" i="30"/>
  <c r="HW17" i="30" s="1"/>
  <c r="HV102" i="30"/>
  <c r="HV83" i="30" s="1"/>
  <c r="HU101" i="30"/>
  <c r="HU33" i="30"/>
  <c r="HV16" i="30" s="1"/>
  <c r="HU100" i="30"/>
  <c r="HU79" i="30" s="1"/>
  <c r="HU28" i="30" s="1"/>
  <c r="HV11" i="30" s="1"/>
  <c r="HV96" i="30" s="1"/>
  <c r="HU32" i="30"/>
  <c r="HV15" i="30" s="1"/>
  <c r="HV94" i="30"/>
  <c r="HV26" i="30"/>
  <c r="HW9" i="30" s="1"/>
  <c r="HU25" i="30"/>
  <c r="HV8" i="30" s="1"/>
  <c r="HU93" i="30"/>
  <c r="FO90" i="30"/>
  <c r="FO91" i="30"/>
  <c r="FP89" i="30"/>
  <c r="FO97" i="30"/>
  <c r="FO103" i="30"/>
  <c r="FO92" i="30"/>
  <c r="FO98" i="30"/>
  <c r="FO73" i="30" s="1"/>
  <c r="FO22" i="30" s="1"/>
  <c r="FP5" i="30" s="1"/>
  <c r="FO78" i="30"/>
  <c r="FO27" i="30" s="1"/>
  <c r="FP10" i="30" s="1"/>
  <c r="HW104" i="30" l="1"/>
  <c r="HW36" i="30"/>
  <c r="HX19" i="30" s="1"/>
  <c r="HW34" i="30"/>
  <c r="HX17" i="30" s="1"/>
  <c r="HW102" i="30"/>
  <c r="HW83" i="30" s="1"/>
  <c r="HV101" i="30"/>
  <c r="HV33" i="30"/>
  <c r="HW16" i="30" s="1"/>
  <c r="HV100" i="30"/>
  <c r="HV79" i="30" s="1"/>
  <c r="HV28" i="30" s="1"/>
  <c r="HW11" i="30" s="1"/>
  <c r="HW96" i="30" s="1"/>
  <c r="HV32" i="30"/>
  <c r="HW15" i="30" s="1"/>
  <c r="HW94" i="30"/>
  <c r="HW26" i="30"/>
  <c r="HX9" i="30" s="1"/>
  <c r="HV25" i="30"/>
  <c r="HW8" i="30" s="1"/>
  <c r="HV93" i="30"/>
  <c r="FP90" i="30"/>
  <c r="FP95" i="30"/>
  <c r="FO86" i="30"/>
  <c r="FO35" i="30" s="1"/>
  <c r="FP18" i="30" s="1"/>
  <c r="FO74" i="30"/>
  <c r="FO23" i="30" s="1"/>
  <c r="FP6" i="30" s="1"/>
  <c r="FO81" i="30"/>
  <c r="FO30" i="30" s="1"/>
  <c r="FP13" i="30" s="1"/>
  <c r="FO71" i="30"/>
  <c r="FO20" i="30" s="1"/>
  <c r="FP3" i="30" s="1"/>
  <c r="FO80" i="30"/>
  <c r="FO29" i="30" s="1"/>
  <c r="FP12" i="30" s="1"/>
  <c r="FO82" i="30"/>
  <c r="FO31" i="30" s="1"/>
  <c r="FP14" i="30" s="1"/>
  <c r="FO75" i="30"/>
  <c r="FO24" i="30" s="1"/>
  <c r="FP7" i="30" s="1"/>
  <c r="FP78" i="30"/>
  <c r="FP27" i="30" s="1"/>
  <c r="FQ10" i="30" s="1"/>
  <c r="HX104" i="30" l="1"/>
  <c r="HX36" i="30"/>
  <c r="HY19" i="30" s="1"/>
  <c r="HX34" i="30"/>
  <c r="HY17" i="30" s="1"/>
  <c r="HX102" i="30"/>
  <c r="HX83" i="30" s="1"/>
  <c r="HW101" i="30"/>
  <c r="HW33" i="30"/>
  <c r="HX16" i="30" s="1"/>
  <c r="HW100" i="30"/>
  <c r="HW79" i="30" s="1"/>
  <c r="HW28" i="30" s="1"/>
  <c r="HX11" i="30" s="1"/>
  <c r="HX96" i="30" s="1"/>
  <c r="HW32" i="30"/>
  <c r="HX15" i="30" s="1"/>
  <c r="HX26" i="30"/>
  <c r="HY9" i="30" s="1"/>
  <c r="HX94" i="30"/>
  <c r="HW93" i="30"/>
  <c r="HW25" i="30"/>
  <c r="HX8" i="30" s="1"/>
  <c r="FQ95" i="30"/>
  <c r="FP88" i="30"/>
  <c r="FP92" i="30"/>
  <c r="FP98" i="30"/>
  <c r="FP99" i="30"/>
  <c r="FP72" i="30" s="1"/>
  <c r="FP21" i="30" s="1"/>
  <c r="FQ4" i="30" s="1"/>
  <c r="FP91" i="30"/>
  <c r="FP97" i="30"/>
  <c r="FP103" i="30"/>
  <c r="FP81" i="30"/>
  <c r="FP30" i="30" s="1"/>
  <c r="FQ13" i="30" s="1"/>
  <c r="HY36" i="30" l="1"/>
  <c r="HZ19" i="30" s="1"/>
  <c r="AE255" i="30" s="1"/>
  <c r="HY104" i="30"/>
  <c r="HY102" i="30"/>
  <c r="HY83" i="30" s="1"/>
  <c r="HY34" i="30"/>
  <c r="HZ17" i="30" s="1"/>
  <c r="AE245" i="30" s="1"/>
  <c r="HX101" i="30"/>
  <c r="HX33" i="30"/>
  <c r="HY16" i="30" s="1"/>
  <c r="HX100" i="30"/>
  <c r="HX79" i="30" s="1"/>
  <c r="HX28" i="30" s="1"/>
  <c r="HY11" i="30" s="1"/>
  <c r="HY96" i="30" s="1"/>
  <c r="HX32" i="30"/>
  <c r="HY15" i="30" s="1"/>
  <c r="HY26" i="30"/>
  <c r="HZ9" i="30" s="1"/>
  <c r="AE205" i="30" s="1"/>
  <c r="HY94" i="30"/>
  <c r="HX25" i="30"/>
  <c r="HY8" i="30" s="1"/>
  <c r="HX93" i="30"/>
  <c r="FP73" i="30"/>
  <c r="FP22" i="30" s="1"/>
  <c r="FQ5" i="30" s="1"/>
  <c r="FQ90" i="30" s="1"/>
  <c r="FP74" i="30"/>
  <c r="FP23" i="30" s="1"/>
  <c r="FQ6" i="30" s="1"/>
  <c r="FQ91" i="30" s="1"/>
  <c r="FP71" i="30"/>
  <c r="FP20" i="30" s="1"/>
  <c r="FQ3" i="30" s="1"/>
  <c r="FQ88" i="30" s="1"/>
  <c r="FQ98" i="30"/>
  <c r="FP75" i="30"/>
  <c r="FP24" i="30" s="1"/>
  <c r="FQ7" i="30" s="1"/>
  <c r="FP80" i="30"/>
  <c r="FP29" i="30" s="1"/>
  <c r="FQ12" i="30" s="1"/>
  <c r="FP86" i="30"/>
  <c r="FP35" i="30" s="1"/>
  <c r="FQ18" i="30" s="1"/>
  <c r="FP82" i="30"/>
  <c r="FP31" i="30" s="1"/>
  <c r="FQ14" i="30" s="1"/>
  <c r="FQ89" i="30"/>
  <c r="HZ104" i="30" l="1"/>
  <c r="HZ36" i="30"/>
  <c r="IA19" i="30" s="1"/>
  <c r="HZ34" i="30"/>
  <c r="IA17" i="30" s="1"/>
  <c r="HZ102" i="30"/>
  <c r="HZ83" i="30" s="1"/>
  <c r="HY101" i="30"/>
  <c r="HY33" i="30"/>
  <c r="HZ16" i="30" s="1"/>
  <c r="AE240" i="30" s="1"/>
  <c r="HY100" i="30"/>
  <c r="HY79" i="30" s="1"/>
  <c r="HY28" i="30" s="1"/>
  <c r="HZ11" i="30" s="1"/>
  <c r="AE215" i="30" s="1"/>
  <c r="HY32" i="30"/>
  <c r="HZ15" i="30" s="1"/>
  <c r="AE235" i="30" s="1"/>
  <c r="HZ94" i="30"/>
  <c r="HZ26" i="30"/>
  <c r="IA9" i="30" s="1"/>
  <c r="HY25" i="30"/>
  <c r="HZ8" i="30" s="1"/>
  <c r="AE200" i="30" s="1"/>
  <c r="HY93" i="30"/>
  <c r="FQ97" i="30"/>
  <c r="FQ71" i="30" s="1"/>
  <c r="FQ20" i="30" s="1"/>
  <c r="FR3" i="30" s="1"/>
  <c r="FQ92" i="30"/>
  <c r="FQ75" i="30"/>
  <c r="FQ24" i="30" s="1"/>
  <c r="FR7" i="30" s="1"/>
  <c r="FQ103" i="30"/>
  <c r="FQ80" i="30" s="1"/>
  <c r="FQ29" i="30" s="1"/>
  <c r="FR12" i="30" s="1"/>
  <c r="FQ78" i="30"/>
  <c r="FQ27" i="30" s="1"/>
  <c r="FR10" i="30" s="1"/>
  <c r="FQ82" i="30"/>
  <c r="FQ31" i="30" s="1"/>
  <c r="FR14" i="30" s="1"/>
  <c r="FQ81" i="30"/>
  <c r="FQ30" i="30" s="1"/>
  <c r="FR13" i="30" s="1"/>
  <c r="FQ99" i="30"/>
  <c r="FQ72" i="30" s="1"/>
  <c r="FQ21" i="30" s="1"/>
  <c r="FR4" i="30" s="1"/>
  <c r="IA104" i="30" l="1"/>
  <c r="IA36" i="30"/>
  <c r="IB19" i="30" s="1"/>
  <c r="HZ96" i="30"/>
  <c r="IA34" i="30"/>
  <c r="IB17" i="30" s="1"/>
  <c r="IA102" i="30"/>
  <c r="IA83" i="30" s="1"/>
  <c r="HZ33" i="30"/>
  <c r="IA16" i="30" s="1"/>
  <c r="HZ101" i="30"/>
  <c r="HZ100" i="30"/>
  <c r="HZ79" i="30" s="1"/>
  <c r="HZ28" i="30" s="1"/>
  <c r="IA11" i="30" s="1"/>
  <c r="IA96" i="30" s="1"/>
  <c r="HZ32" i="30"/>
  <c r="IA15" i="30" s="1"/>
  <c r="IA26" i="30"/>
  <c r="IB9" i="30" s="1"/>
  <c r="IA94" i="30"/>
  <c r="HZ25" i="30"/>
  <c r="IA8" i="30" s="1"/>
  <c r="HZ93" i="30"/>
  <c r="FQ74" i="30"/>
  <c r="FQ23" i="30" s="1"/>
  <c r="FR6" i="30" s="1"/>
  <c r="FR91" i="30" s="1"/>
  <c r="FR97" i="30"/>
  <c r="FR92" i="30"/>
  <c r="FR99" i="30"/>
  <c r="FR72" i="30" s="1"/>
  <c r="FR21" i="30" s="1"/>
  <c r="FS4" i="30" s="1"/>
  <c r="FR88" i="30"/>
  <c r="FQ86" i="30"/>
  <c r="FQ35" i="30" s="1"/>
  <c r="FR18" i="30" s="1"/>
  <c r="FR89" i="30"/>
  <c r="FR98" i="30"/>
  <c r="FR95" i="30"/>
  <c r="FQ73" i="30"/>
  <c r="FQ22" i="30" s="1"/>
  <c r="FR5" i="30" s="1"/>
  <c r="IB36" i="30" l="1"/>
  <c r="IC19" i="30" s="1"/>
  <c r="IB104" i="30"/>
  <c r="IB102" i="30"/>
  <c r="IB83" i="30" s="1"/>
  <c r="IB34" i="30"/>
  <c r="IC17" i="30" s="1"/>
  <c r="IA101" i="30"/>
  <c r="IA33" i="30"/>
  <c r="IB16" i="30" s="1"/>
  <c r="IA100" i="30"/>
  <c r="IA79" i="30" s="1"/>
  <c r="IA28" i="30" s="1"/>
  <c r="IB11" i="30" s="1"/>
  <c r="IB96" i="30" s="1"/>
  <c r="IA32" i="30"/>
  <c r="IB15" i="30" s="1"/>
  <c r="IB26" i="30"/>
  <c r="IC9" i="30" s="1"/>
  <c r="IB94" i="30"/>
  <c r="IA25" i="30"/>
  <c r="IB8" i="30" s="1"/>
  <c r="IA93" i="30"/>
  <c r="FS89" i="30"/>
  <c r="FR78" i="30"/>
  <c r="FR27" i="30" s="1"/>
  <c r="FS10" i="30" s="1"/>
  <c r="FR73" i="30"/>
  <c r="FR22" i="30" s="1"/>
  <c r="FS5" i="30" s="1"/>
  <c r="FR82" i="30"/>
  <c r="FR31" i="30" s="1"/>
  <c r="FS14" i="30" s="1"/>
  <c r="FR103" i="30"/>
  <c r="FR90" i="30"/>
  <c r="FR86" i="30"/>
  <c r="FR35" i="30" s="1"/>
  <c r="FS18" i="30" s="1"/>
  <c r="IC104" i="30" l="1"/>
  <c r="IC36" i="30"/>
  <c r="ID19" i="30" s="1"/>
  <c r="IC102" i="30"/>
  <c r="IC83" i="30" s="1"/>
  <c r="IC34" i="30"/>
  <c r="ID17" i="30" s="1"/>
  <c r="IB101" i="30"/>
  <c r="IB33" i="30"/>
  <c r="IC16" i="30" s="1"/>
  <c r="IB100" i="30"/>
  <c r="IB79" i="30" s="1"/>
  <c r="IB28" i="30" s="1"/>
  <c r="IC11" i="30" s="1"/>
  <c r="IC96" i="30" s="1"/>
  <c r="IB32" i="30"/>
  <c r="IC15" i="30" s="1"/>
  <c r="IC94" i="30"/>
  <c r="IC26" i="30"/>
  <c r="ID9" i="30" s="1"/>
  <c r="IB93" i="30"/>
  <c r="IB25" i="30"/>
  <c r="IC8" i="30" s="1"/>
  <c r="FS103" i="30"/>
  <c r="FS90" i="30"/>
  <c r="FR81" i="30"/>
  <c r="FR30" i="30" s="1"/>
  <c r="FS13" i="30" s="1"/>
  <c r="FR74" i="30"/>
  <c r="FR23" i="30" s="1"/>
  <c r="FS6" i="30" s="1"/>
  <c r="FS95" i="30"/>
  <c r="FR80" i="30"/>
  <c r="FR29" i="30" s="1"/>
  <c r="FS12" i="30" s="1"/>
  <c r="FR75" i="30"/>
  <c r="FR24" i="30" s="1"/>
  <c r="FS7" i="30" s="1"/>
  <c r="FR71" i="30"/>
  <c r="FR20" i="30" s="1"/>
  <c r="FS3" i="30" s="1"/>
  <c r="FS78" i="30"/>
  <c r="FS27" i="30" s="1"/>
  <c r="FT10" i="30" s="1"/>
  <c r="FS99" i="30"/>
  <c r="FS72" i="30" s="1"/>
  <c r="FS21" i="30" s="1"/>
  <c r="FT4" i="30" s="1"/>
  <c r="ID104" i="30" l="1"/>
  <c r="ID36" i="30"/>
  <c r="IE19" i="30" s="1"/>
  <c r="ID34" i="30"/>
  <c r="IE17" i="30" s="1"/>
  <c r="ID102" i="30"/>
  <c r="ID83" i="30" s="1"/>
  <c r="IC101" i="30"/>
  <c r="IC33" i="30"/>
  <c r="ID16" i="30" s="1"/>
  <c r="IC100" i="30"/>
  <c r="IC79" i="30" s="1"/>
  <c r="IC28" i="30" s="1"/>
  <c r="ID11" i="30" s="1"/>
  <c r="ID96" i="30" s="1"/>
  <c r="IC32" i="30"/>
  <c r="ID15" i="30" s="1"/>
  <c r="ID94" i="30"/>
  <c r="ID26" i="30"/>
  <c r="IE9" i="30" s="1"/>
  <c r="IC93" i="30"/>
  <c r="IC25" i="30"/>
  <c r="ID8" i="30" s="1"/>
  <c r="FT95" i="30"/>
  <c r="FT89" i="30"/>
  <c r="FS88" i="30"/>
  <c r="FS81" i="30"/>
  <c r="FS30" i="30" s="1"/>
  <c r="FT13" i="30" s="1"/>
  <c r="FS91" i="30"/>
  <c r="FS92" i="30"/>
  <c r="FS74" i="30" s="1"/>
  <c r="FS23" i="30" s="1"/>
  <c r="FT6" i="30" s="1"/>
  <c r="FS97" i="30"/>
  <c r="FS98" i="30"/>
  <c r="FS73" i="30" s="1"/>
  <c r="FS22" i="30" s="1"/>
  <c r="FT5" i="30" s="1"/>
  <c r="IE104" i="30" l="1"/>
  <c r="IE36" i="30"/>
  <c r="IF19" i="30" s="1"/>
  <c r="IE102" i="30"/>
  <c r="IE83" i="30" s="1"/>
  <c r="IE34" i="30"/>
  <c r="IF17" i="30" s="1"/>
  <c r="ID33" i="30"/>
  <c r="IE16" i="30" s="1"/>
  <c r="ID101" i="30"/>
  <c r="ID100" i="30"/>
  <c r="ID79" i="30" s="1"/>
  <c r="ID28" i="30" s="1"/>
  <c r="IE11" i="30" s="1"/>
  <c r="IE96" i="30" s="1"/>
  <c r="ID32" i="30"/>
  <c r="IE15" i="30" s="1"/>
  <c r="IE94" i="30"/>
  <c r="IE26" i="30"/>
  <c r="IF9" i="30" s="1"/>
  <c r="ID93" i="30"/>
  <c r="ID25" i="30"/>
  <c r="IE8" i="30" s="1"/>
  <c r="FT91" i="30"/>
  <c r="FT98" i="30"/>
  <c r="FT90" i="30"/>
  <c r="FT78" i="30"/>
  <c r="FT27" i="30" s="1"/>
  <c r="FU10" i="30" s="1"/>
  <c r="FS71" i="30"/>
  <c r="FS20" i="30" s="1"/>
  <c r="FT3" i="30" s="1"/>
  <c r="FS86" i="30"/>
  <c r="FS35" i="30" s="1"/>
  <c r="FT18" i="30" s="1"/>
  <c r="FS82" i="30"/>
  <c r="FS31" i="30" s="1"/>
  <c r="FT14" i="30" s="1"/>
  <c r="FS75" i="30"/>
  <c r="FS24" i="30" s="1"/>
  <c r="FT7" i="30" s="1"/>
  <c r="FS80" i="30"/>
  <c r="FS29" i="30" s="1"/>
  <c r="FT12" i="30" s="1"/>
  <c r="IF104" i="30" l="1"/>
  <c r="IF36" i="30"/>
  <c r="IG19" i="30" s="1"/>
  <c r="IF34" i="30"/>
  <c r="IG17" i="30" s="1"/>
  <c r="IF102" i="30"/>
  <c r="IF83" i="30" s="1"/>
  <c r="IE101" i="30"/>
  <c r="IE33" i="30"/>
  <c r="IF16" i="30" s="1"/>
  <c r="IE100" i="30"/>
  <c r="IE79" i="30" s="1"/>
  <c r="IE28" i="30" s="1"/>
  <c r="IF11" i="30" s="1"/>
  <c r="IF96" i="30" s="1"/>
  <c r="IE32" i="30"/>
  <c r="IF15" i="30" s="1"/>
  <c r="IF94" i="30"/>
  <c r="IF26" i="30"/>
  <c r="IG9" i="30" s="1"/>
  <c r="IE93" i="30"/>
  <c r="IE25" i="30"/>
  <c r="IF8" i="30" s="1"/>
  <c r="FT82" i="30"/>
  <c r="FT31" i="30" s="1"/>
  <c r="FU14" i="30" s="1"/>
  <c r="FT88" i="30"/>
  <c r="FU95" i="30"/>
  <c r="FT92" i="30"/>
  <c r="FT81" i="30"/>
  <c r="FT30" i="30" s="1"/>
  <c r="FU13" i="30" s="1"/>
  <c r="FT103" i="30"/>
  <c r="FT97" i="30"/>
  <c r="FT99" i="30"/>
  <c r="IG36" i="30" l="1"/>
  <c r="IH19" i="30" s="1"/>
  <c r="AF255" i="30" s="1"/>
  <c r="IG104" i="30"/>
  <c r="IG102" i="30"/>
  <c r="IG83" i="30" s="1"/>
  <c r="IG34" i="30"/>
  <c r="IH17" i="30" s="1"/>
  <c r="AF245" i="30" s="1"/>
  <c r="IF101" i="30"/>
  <c r="IF33" i="30"/>
  <c r="IG16" i="30" s="1"/>
  <c r="IF100" i="30"/>
  <c r="IF79" i="30" s="1"/>
  <c r="IF28" i="30" s="1"/>
  <c r="IG11" i="30" s="1"/>
  <c r="IG96" i="30" s="1"/>
  <c r="IF32" i="30"/>
  <c r="IG15" i="30" s="1"/>
  <c r="IG26" i="30"/>
  <c r="IH9" i="30" s="1"/>
  <c r="AF205" i="30" s="1"/>
  <c r="IG94" i="30"/>
  <c r="IF93" i="30"/>
  <c r="IF25" i="30"/>
  <c r="IG8" i="30" s="1"/>
  <c r="FT86" i="30"/>
  <c r="FT35" i="30" s="1"/>
  <c r="FU18" i="30" s="1"/>
  <c r="FU103" i="30" s="1"/>
  <c r="FT74" i="30"/>
  <c r="FT23" i="30" s="1"/>
  <c r="FU6" i="30" s="1"/>
  <c r="FU91" i="30" s="1"/>
  <c r="FU99" i="30"/>
  <c r="FU72" i="30" s="1"/>
  <c r="FT71" i="30"/>
  <c r="FT20" i="30" s="1"/>
  <c r="FU3" i="30" s="1"/>
  <c r="FT72" i="30"/>
  <c r="FT21" i="30" s="1"/>
  <c r="FU4" i="30" s="1"/>
  <c r="FT73" i="30"/>
  <c r="FT22" i="30" s="1"/>
  <c r="FU5" i="30" s="1"/>
  <c r="FU98" i="30"/>
  <c r="FT80" i="30"/>
  <c r="FT29" i="30" s="1"/>
  <c r="FU12" i="30" s="1"/>
  <c r="FT75" i="30"/>
  <c r="FT24" i="30" s="1"/>
  <c r="FU7" i="30" s="1"/>
  <c r="IH36" i="30" l="1"/>
  <c r="II19" i="30" s="1"/>
  <c r="IH104" i="30"/>
  <c r="IH34" i="30"/>
  <c r="II17" i="30" s="1"/>
  <c r="IH102" i="30"/>
  <c r="IH83" i="30" s="1"/>
  <c r="IG33" i="30"/>
  <c r="IH16" i="30" s="1"/>
  <c r="AF240" i="30" s="1"/>
  <c r="IG101" i="30"/>
  <c r="IG100" i="30"/>
  <c r="IG79" i="30" s="1"/>
  <c r="IG28" i="30" s="1"/>
  <c r="IH11" i="30" s="1"/>
  <c r="AF215" i="30" s="1"/>
  <c r="IG32" i="30"/>
  <c r="IH15" i="30" s="1"/>
  <c r="AF235" i="30" s="1"/>
  <c r="IH94" i="30"/>
  <c r="IH26" i="30"/>
  <c r="II9" i="30" s="1"/>
  <c r="IG93" i="30"/>
  <c r="IG25" i="30"/>
  <c r="IH8" i="30" s="1"/>
  <c r="AF200" i="30" s="1"/>
  <c r="FU21" i="30"/>
  <c r="FV4" i="30" s="1"/>
  <c r="X180" i="30" s="1"/>
  <c r="FU97" i="30"/>
  <c r="FU89" i="30"/>
  <c r="FU90" i="30"/>
  <c r="FU88" i="30"/>
  <c r="FU92" i="30"/>
  <c r="II36" i="30" l="1"/>
  <c r="IJ19" i="30" s="1"/>
  <c r="II104" i="30"/>
  <c r="II102" i="30"/>
  <c r="II83" i="30" s="1"/>
  <c r="II34" i="30"/>
  <c r="IJ17" i="30" s="1"/>
  <c r="IH101" i="30"/>
  <c r="IH33" i="30"/>
  <c r="II16" i="30" s="1"/>
  <c r="IH96" i="30"/>
  <c r="IH100" i="30"/>
  <c r="IH79" i="30" s="1"/>
  <c r="IH28" i="30" s="1"/>
  <c r="II11" i="30" s="1"/>
  <c r="II96" i="30" s="1"/>
  <c r="IH32" i="30"/>
  <c r="II15" i="30" s="1"/>
  <c r="II94" i="30"/>
  <c r="II26" i="30"/>
  <c r="IJ9" i="30" s="1"/>
  <c r="IH25" i="30"/>
  <c r="II8" i="30" s="1"/>
  <c r="IH93" i="30"/>
  <c r="FU86" i="30"/>
  <c r="FU35" i="30" s="1"/>
  <c r="FV18" i="30" s="1"/>
  <c r="X250" i="30" s="1"/>
  <c r="FU74" i="30"/>
  <c r="FU23" i="30" s="1"/>
  <c r="FV6" i="30" s="1"/>
  <c r="X190" i="30" s="1"/>
  <c r="FU81" i="30"/>
  <c r="FU30" i="30" s="1"/>
  <c r="FV13" i="30" s="1"/>
  <c r="X225" i="30" s="1"/>
  <c r="FU75" i="30"/>
  <c r="FU24" i="30" s="1"/>
  <c r="FV7" i="30" s="1"/>
  <c r="X195" i="30" s="1"/>
  <c r="FU80" i="30"/>
  <c r="FU29" i="30" s="1"/>
  <c r="FV12" i="30" s="1"/>
  <c r="X220" i="30" s="1"/>
  <c r="FV89" i="30"/>
  <c r="FU78" i="30"/>
  <c r="FU27" i="30" s="1"/>
  <c r="FV10" i="30" s="1"/>
  <c r="X210" i="30" s="1"/>
  <c r="FU73" i="30"/>
  <c r="FU22" i="30" s="1"/>
  <c r="FV5" i="30" s="1"/>
  <c r="X185" i="30" s="1"/>
  <c r="FU82" i="30"/>
  <c r="FU31" i="30" s="1"/>
  <c r="FV14" i="30" s="1"/>
  <c r="X230" i="30" s="1"/>
  <c r="FU71" i="30"/>
  <c r="FU20" i="30" s="1"/>
  <c r="FV3" i="30" s="1"/>
  <c r="X175" i="30" s="1"/>
  <c r="IJ104" i="30" l="1"/>
  <c r="IJ36" i="30"/>
  <c r="IK19" i="30" s="1"/>
  <c r="IJ34" i="30"/>
  <c r="IK17" i="30" s="1"/>
  <c r="IJ102" i="30"/>
  <c r="IJ83" i="30" s="1"/>
  <c r="II101" i="30"/>
  <c r="II33" i="30"/>
  <c r="IJ16" i="30" s="1"/>
  <c r="II100" i="30"/>
  <c r="II79" i="30" s="1"/>
  <c r="II28" i="30" s="1"/>
  <c r="IJ11" i="30" s="1"/>
  <c r="IJ96" i="30" s="1"/>
  <c r="II32" i="30"/>
  <c r="IJ15" i="30" s="1"/>
  <c r="IJ94" i="30"/>
  <c r="IJ26" i="30"/>
  <c r="IK9" i="30" s="1"/>
  <c r="II93" i="30"/>
  <c r="II25" i="30"/>
  <c r="IJ8" i="30" s="1"/>
  <c r="FV103" i="30"/>
  <c r="FV90" i="30"/>
  <c r="FV78" i="30"/>
  <c r="FV27" i="30" s="1"/>
  <c r="FW10" i="30" s="1"/>
  <c r="FV91" i="30"/>
  <c r="FV97" i="30"/>
  <c r="FV95" i="30"/>
  <c r="FV88" i="30"/>
  <c r="FV92" i="30"/>
  <c r="FV99" i="30"/>
  <c r="FV72" i="30" s="1"/>
  <c r="FV21" i="30" s="1"/>
  <c r="FW4" i="30" s="1"/>
  <c r="FV98" i="30"/>
  <c r="IK104" i="30" l="1"/>
  <c r="IK36" i="30"/>
  <c r="IL19" i="30" s="1"/>
  <c r="IK34" i="30"/>
  <c r="IL17" i="30" s="1"/>
  <c r="IK102" i="30"/>
  <c r="IK83" i="30" s="1"/>
  <c r="IJ33" i="30"/>
  <c r="IK16" i="30" s="1"/>
  <c r="IJ101" i="30"/>
  <c r="IJ100" i="30"/>
  <c r="IJ79" i="30" s="1"/>
  <c r="IJ28" i="30" s="1"/>
  <c r="IK11" i="30" s="1"/>
  <c r="IK96" i="30" s="1"/>
  <c r="IJ32" i="30"/>
  <c r="IK15" i="30" s="1"/>
  <c r="IK94" i="30"/>
  <c r="IK26" i="30"/>
  <c r="IL9" i="30" s="1"/>
  <c r="IJ25" i="30"/>
  <c r="IK8" i="30" s="1"/>
  <c r="IJ93" i="30"/>
  <c r="FV71" i="30"/>
  <c r="FV20" i="30" s="1"/>
  <c r="FW3" i="30" s="1"/>
  <c r="FW88" i="30" s="1"/>
  <c r="FV82" i="30"/>
  <c r="FV31" i="30" s="1"/>
  <c r="FW14" i="30" s="1"/>
  <c r="FW99" i="30" s="1"/>
  <c r="FW72" i="30" s="1"/>
  <c r="FW21" i="30" s="1"/>
  <c r="FX4" i="30" s="1"/>
  <c r="FV73" i="30"/>
  <c r="FV22" i="30" s="1"/>
  <c r="FW5" i="30" s="1"/>
  <c r="FW90" i="30" s="1"/>
  <c r="FW95" i="30"/>
  <c r="FW89" i="30"/>
  <c r="FV75" i="30"/>
  <c r="FV24" i="30" s="1"/>
  <c r="FW7" i="30" s="1"/>
  <c r="FV80" i="30"/>
  <c r="FV29" i="30" s="1"/>
  <c r="FW12" i="30" s="1"/>
  <c r="FV86" i="30"/>
  <c r="FV35" i="30" s="1"/>
  <c r="FW18" i="30" s="1"/>
  <c r="FV81" i="30"/>
  <c r="FV30" i="30" s="1"/>
  <c r="FW13" i="30" s="1"/>
  <c r="FV74" i="30"/>
  <c r="FV23" i="30" s="1"/>
  <c r="FW6" i="30" s="1"/>
  <c r="IL36" i="30" l="1"/>
  <c r="IM19" i="30" s="1"/>
  <c r="IL104" i="30"/>
  <c r="IL34" i="30"/>
  <c r="IM17" i="30" s="1"/>
  <c r="IL102" i="30"/>
  <c r="IL83" i="30" s="1"/>
  <c r="IK101" i="30"/>
  <c r="IK33" i="30"/>
  <c r="IL16" i="30" s="1"/>
  <c r="IK100" i="30"/>
  <c r="IK79" i="30" s="1"/>
  <c r="IK28" i="30" s="1"/>
  <c r="IL11" i="30" s="1"/>
  <c r="IL96" i="30" s="1"/>
  <c r="IK32" i="30"/>
  <c r="IL15" i="30" s="1"/>
  <c r="IL26" i="30"/>
  <c r="IM9" i="30" s="1"/>
  <c r="IL94" i="30"/>
  <c r="IK25" i="30"/>
  <c r="IL8" i="30" s="1"/>
  <c r="IK93" i="30"/>
  <c r="FX89" i="30"/>
  <c r="FW97" i="30"/>
  <c r="FW91" i="30"/>
  <c r="FW75" i="30" s="1"/>
  <c r="FW24" i="30" s="1"/>
  <c r="FX7" i="30" s="1"/>
  <c r="FW92" i="30"/>
  <c r="FW74" i="30" s="1"/>
  <c r="FW23" i="30" s="1"/>
  <c r="FX6" i="30" s="1"/>
  <c r="FW98" i="30"/>
  <c r="FW73" i="30" s="1"/>
  <c r="FW22" i="30" s="1"/>
  <c r="FX5" i="30" s="1"/>
  <c r="FW103" i="30"/>
  <c r="FW80" i="30" s="1"/>
  <c r="FW29" i="30" s="1"/>
  <c r="FX12" i="30" s="1"/>
  <c r="FW78" i="30"/>
  <c r="FW27" i="30" s="1"/>
  <c r="FX10" i="30" s="1"/>
  <c r="FW81" i="30"/>
  <c r="FW30" i="30" s="1"/>
  <c r="FX13" i="30" s="1"/>
  <c r="IM104" i="30" l="1"/>
  <c r="IM36" i="30"/>
  <c r="IN19" i="30" s="1"/>
  <c r="IM102" i="30"/>
  <c r="IM83" i="30" s="1"/>
  <c r="IM34" i="30"/>
  <c r="IN17" i="30" s="1"/>
  <c r="IL101" i="30"/>
  <c r="IL33" i="30"/>
  <c r="IM16" i="30" s="1"/>
  <c r="IL100" i="30"/>
  <c r="IL79" i="30" s="1"/>
  <c r="IL28" i="30" s="1"/>
  <c r="IM11" i="30" s="1"/>
  <c r="IM96" i="30" s="1"/>
  <c r="IL32" i="30"/>
  <c r="IM15" i="30" s="1"/>
  <c r="IM94" i="30"/>
  <c r="IM26" i="30"/>
  <c r="IN9" i="30" s="1"/>
  <c r="IL93" i="30"/>
  <c r="IL25" i="30"/>
  <c r="IM8" i="30" s="1"/>
  <c r="FW71" i="30"/>
  <c r="FW20" i="30" s="1"/>
  <c r="FX3" i="30" s="1"/>
  <c r="FX88" i="30" s="1"/>
  <c r="FW82" i="30"/>
  <c r="FW31" i="30" s="1"/>
  <c r="FX14" i="30" s="1"/>
  <c r="FX99" i="30" s="1"/>
  <c r="FX72" i="30" s="1"/>
  <c r="FX21" i="30" s="1"/>
  <c r="FY4" i="30" s="1"/>
  <c r="FX91" i="30"/>
  <c r="FX98" i="30"/>
  <c r="FX92" i="30"/>
  <c r="FX97" i="30"/>
  <c r="FX90" i="30"/>
  <c r="FW86" i="30"/>
  <c r="FW35" i="30" s="1"/>
  <c r="FX18" i="30" s="1"/>
  <c r="FX95" i="30"/>
  <c r="FX78" i="30"/>
  <c r="FX27" i="30" s="1"/>
  <c r="FY10" i="30" s="1"/>
  <c r="IN36" i="30" l="1"/>
  <c r="IO19" i="30" s="1"/>
  <c r="IN104" i="30"/>
  <c r="IN34" i="30"/>
  <c r="IO17" i="30" s="1"/>
  <c r="IN102" i="30"/>
  <c r="IN83" i="30" s="1"/>
  <c r="IM101" i="30"/>
  <c r="IM33" i="30"/>
  <c r="IN16" i="30" s="1"/>
  <c r="IM100" i="30"/>
  <c r="IM79" i="30" s="1"/>
  <c r="IM28" i="30" s="1"/>
  <c r="IN11" i="30" s="1"/>
  <c r="IN96" i="30" s="1"/>
  <c r="IM32" i="30"/>
  <c r="IN15" i="30" s="1"/>
  <c r="IN26" i="30"/>
  <c r="IO9" i="30" s="1"/>
  <c r="IN94" i="30"/>
  <c r="IM93" i="30"/>
  <c r="IM25" i="30"/>
  <c r="IN8" i="30" s="1"/>
  <c r="FX82" i="30"/>
  <c r="FX31" i="30" s="1"/>
  <c r="FY14" i="30" s="1"/>
  <c r="FY99" i="30" s="1"/>
  <c r="FY72" i="30" s="1"/>
  <c r="FY21" i="30" s="1"/>
  <c r="FZ4" i="30" s="1"/>
  <c r="FX71" i="30"/>
  <c r="FX20" i="30" s="1"/>
  <c r="FY3" i="30" s="1"/>
  <c r="FY88" i="30" s="1"/>
  <c r="FX73" i="30"/>
  <c r="FX22" i="30" s="1"/>
  <c r="FY5" i="30" s="1"/>
  <c r="FY90" i="30" s="1"/>
  <c r="FY95" i="30"/>
  <c r="FX75" i="30"/>
  <c r="FX24" i="30" s="1"/>
  <c r="FY7" i="30" s="1"/>
  <c r="FX103" i="30"/>
  <c r="FX80" i="30" s="1"/>
  <c r="FX29" i="30" s="1"/>
  <c r="FY12" i="30" s="1"/>
  <c r="FX74" i="30"/>
  <c r="FX23" i="30" s="1"/>
  <c r="FY6" i="30" s="1"/>
  <c r="FX81" i="30"/>
  <c r="FX30" i="30" s="1"/>
  <c r="FY13" i="30" s="1"/>
  <c r="FY89" i="30"/>
  <c r="FX86" i="30"/>
  <c r="FX35" i="30" s="1"/>
  <c r="FY18" i="30" s="1"/>
  <c r="IO36" i="30" l="1"/>
  <c r="IP19" i="30" s="1"/>
  <c r="IO104" i="30"/>
  <c r="IO102" i="30"/>
  <c r="IO83" i="30" s="1"/>
  <c r="IO34" i="30"/>
  <c r="IP17" i="30" s="1"/>
  <c r="IN33" i="30"/>
  <c r="IO16" i="30" s="1"/>
  <c r="IN101" i="30"/>
  <c r="IN100" i="30"/>
  <c r="IN79" i="30" s="1"/>
  <c r="IN28" i="30" s="1"/>
  <c r="IO11" i="30" s="1"/>
  <c r="IO96" i="30" s="1"/>
  <c r="IN32" i="30"/>
  <c r="IO15" i="30" s="1"/>
  <c r="IO26" i="30"/>
  <c r="IP9" i="30" s="1"/>
  <c r="IO94" i="30"/>
  <c r="IN93" i="30"/>
  <c r="IN25" i="30"/>
  <c r="IO8" i="30" s="1"/>
  <c r="FZ89" i="30"/>
  <c r="FY97" i="30"/>
  <c r="FY103" i="30"/>
  <c r="FY80" i="30" s="1"/>
  <c r="FY29" i="30" s="1"/>
  <c r="FZ12" i="30" s="1"/>
  <c r="FY92" i="30"/>
  <c r="FY74" i="30" s="1"/>
  <c r="FY23" i="30" s="1"/>
  <c r="FZ6" i="30" s="1"/>
  <c r="FY81" i="30"/>
  <c r="FY30" i="30" s="1"/>
  <c r="FZ13" i="30" s="1"/>
  <c r="FY78" i="30"/>
  <c r="FY27" i="30" s="1"/>
  <c r="FZ10" i="30" s="1"/>
  <c r="FY98" i="30"/>
  <c r="FY91" i="30"/>
  <c r="IP36" i="30" l="1"/>
  <c r="IQ19" i="30" s="1"/>
  <c r="IP104" i="30"/>
  <c r="IP34" i="30"/>
  <c r="IQ17" i="30" s="1"/>
  <c r="IP102" i="30"/>
  <c r="IP83" i="30" s="1"/>
  <c r="IO33" i="30"/>
  <c r="IP16" i="30" s="1"/>
  <c r="IO101" i="30"/>
  <c r="IO100" i="30"/>
  <c r="IO79" i="30" s="1"/>
  <c r="IO28" i="30" s="1"/>
  <c r="IP11" i="30" s="1"/>
  <c r="IP96" i="30" s="1"/>
  <c r="IO32" i="30"/>
  <c r="IP15" i="30" s="1"/>
  <c r="IP26" i="30"/>
  <c r="IQ9" i="30" s="1"/>
  <c r="IP94" i="30"/>
  <c r="IO93" i="30"/>
  <c r="IO25" i="30"/>
  <c r="IP8" i="30" s="1"/>
  <c r="FY71" i="30"/>
  <c r="FY20" i="30" s="1"/>
  <c r="FZ3" i="30" s="1"/>
  <c r="FZ88" i="30" s="1"/>
  <c r="FY86" i="30"/>
  <c r="FY35" i="30" s="1"/>
  <c r="FZ18" i="30" s="1"/>
  <c r="FZ103" i="30" s="1"/>
  <c r="FY73" i="30"/>
  <c r="FY22" i="30" s="1"/>
  <c r="FZ5" i="30" s="1"/>
  <c r="FZ90" i="30" s="1"/>
  <c r="FY75" i="30"/>
  <c r="FY24" i="30" s="1"/>
  <c r="FZ7" i="30" s="1"/>
  <c r="FZ92" i="30" s="1"/>
  <c r="FZ97" i="30"/>
  <c r="FZ98" i="30"/>
  <c r="FZ91" i="30"/>
  <c r="FZ95" i="30"/>
  <c r="FY82" i="30"/>
  <c r="FY31" i="30" s="1"/>
  <c r="FZ14" i="30" s="1"/>
  <c r="FZ78" i="30"/>
  <c r="FZ27" i="30" s="1"/>
  <c r="GA10" i="30" s="1"/>
  <c r="IQ36" i="30" l="1"/>
  <c r="IR19" i="30" s="1"/>
  <c r="IQ104" i="30"/>
  <c r="IQ34" i="30"/>
  <c r="IR17" i="30" s="1"/>
  <c r="IQ102" i="30"/>
  <c r="IQ83" i="30" s="1"/>
  <c r="IP101" i="30"/>
  <c r="IP33" i="30"/>
  <c r="IQ16" i="30" s="1"/>
  <c r="IP100" i="30"/>
  <c r="IP79" i="30" s="1"/>
  <c r="IP28" i="30" s="1"/>
  <c r="IQ11" i="30" s="1"/>
  <c r="IQ96" i="30" s="1"/>
  <c r="IP32" i="30"/>
  <c r="IQ15" i="30" s="1"/>
  <c r="IQ94" i="30"/>
  <c r="IQ26" i="30"/>
  <c r="IR9" i="30" s="1"/>
  <c r="IP93" i="30"/>
  <c r="IP25" i="30"/>
  <c r="IQ8" i="30" s="1"/>
  <c r="FZ82" i="30"/>
  <c r="FZ31" i="30" s="1"/>
  <c r="GA14" i="30" s="1"/>
  <c r="FZ71" i="30"/>
  <c r="FZ20" i="30" s="1"/>
  <c r="GA3" i="30" s="1"/>
  <c r="GA88" i="30" s="1"/>
  <c r="GA95" i="30"/>
  <c r="FZ81" i="30"/>
  <c r="FZ30" i="30" s="1"/>
  <c r="GA13" i="30" s="1"/>
  <c r="FZ86" i="30"/>
  <c r="FZ35" i="30" s="1"/>
  <c r="GA18" i="30" s="1"/>
  <c r="FZ99" i="30"/>
  <c r="FZ75" i="30"/>
  <c r="FZ24" i="30" s="1"/>
  <c r="GA7" i="30" s="1"/>
  <c r="FZ80" i="30"/>
  <c r="FZ29" i="30" s="1"/>
  <c r="GA12" i="30" s="1"/>
  <c r="IR104" i="30" l="1"/>
  <c r="IR36" i="30"/>
  <c r="IS19" i="30" s="1"/>
  <c r="IR34" i="30"/>
  <c r="IS17" i="30" s="1"/>
  <c r="IR102" i="30"/>
  <c r="IR83" i="30" s="1"/>
  <c r="IQ101" i="30"/>
  <c r="IQ33" i="30"/>
  <c r="IR16" i="30" s="1"/>
  <c r="IQ100" i="30"/>
  <c r="IQ79" i="30" s="1"/>
  <c r="IQ28" i="30" s="1"/>
  <c r="IR11" i="30" s="1"/>
  <c r="IR96" i="30" s="1"/>
  <c r="IQ32" i="30"/>
  <c r="IR15" i="30" s="1"/>
  <c r="IR94" i="30"/>
  <c r="IR26" i="30"/>
  <c r="IS9" i="30" s="1"/>
  <c r="IQ93" i="30"/>
  <c r="IQ25" i="30"/>
  <c r="IR8" i="30" s="1"/>
  <c r="GA99" i="30"/>
  <c r="GA72" i="30" s="1"/>
  <c r="FZ72" i="30"/>
  <c r="FZ21" i="30" s="1"/>
  <c r="GA4" i="30" s="1"/>
  <c r="FZ73" i="30"/>
  <c r="FZ22" i="30" s="1"/>
  <c r="GA5" i="30" s="1"/>
  <c r="GA97" i="30"/>
  <c r="GA103" i="30"/>
  <c r="GA92" i="30"/>
  <c r="FZ74" i="30"/>
  <c r="FZ23" i="30" s="1"/>
  <c r="GA6" i="30" s="1"/>
  <c r="GA98" i="30"/>
  <c r="IS104" i="30" l="1"/>
  <c r="IS36" i="30"/>
  <c r="IT19" i="30" s="1"/>
  <c r="IS102" i="30"/>
  <c r="IS83" i="30" s="1"/>
  <c r="IS34" i="30"/>
  <c r="IT17" i="30" s="1"/>
  <c r="IR101" i="30"/>
  <c r="IR33" i="30"/>
  <c r="IS16" i="30" s="1"/>
  <c r="IR100" i="30"/>
  <c r="IR79" i="30" s="1"/>
  <c r="IR28" i="30" s="1"/>
  <c r="IS11" i="30" s="1"/>
  <c r="IS96" i="30" s="1"/>
  <c r="IR32" i="30"/>
  <c r="IS15" i="30" s="1"/>
  <c r="IS26" i="30"/>
  <c r="IT9" i="30" s="1"/>
  <c r="IS94" i="30"/>
  <c r="IR25" i="30"/>
  <c r="IS8" i="30" s="1"/>
  <c r="IR93" i="30"/>
  <c r="GA90" i="30"/>
  <c r="GA89" i="30"/>
  <c r="GA91" i="30"/>
  <c r="GA86" i="30" s="1"/>
  <c r="GA35" i="30" s="1"/>
  <c r="GB18" i="30" s="1"/>
  <c r="GA21" i="30"/>
  <c r="GB4" i="30" s="1"/>
  <c r="IT104" i="30" l="1"/>
  <c r="IT36" i="30"/>
  <c r="IU19" i="30" s="1"/>
  <c r="IT34" i="30"/>
  <c r="IU17" i="30" s="1"/>
  <c r="IT102" i="30"/>
  <c r="IT83" i="30" s="1"/>
  <c r="IS33" i="30"/>
  <c r="IT16" i="30" s="1"/>
  <c r="IS101" i="30"/>
  <c r="IS100" i="30"/>
  <c r="IS79" i="30" s="1"/>
  <c r="IS28" i="30" s="1"/>
  <c r="IT11" i="30" s="1"/>
  <c r="IT96" i="30" s="1"/>
  <c r="IS32" i="30"/>
  <c r="IT15" i="30" s="1"/>
  <c r="IT94" i="30"/>
  <c r="IT26" i="30"/>
  <c r="IU9" i="30" s="1"/>
  <c r="IS93" i="30"/>
  <c r="IS25" i="30"/>
  <c r="IT8" i="30" s="1"/>
  <c r="GB89" i="30"/>
  <c r="GB103" i="30"/>
  <c r="GA82" i="30"/>
  <c r="GA31" i="30" s="1"/>
  <c r="GB14" i="30" s="1"/>
  <c r="GA78" i="30"/>
  <c r="GA27" i="30" s="1"/>
  <c r="GB10" i="30" s="1"/>
  <c r="GA73" i="30"/>
  <c r="GA22" i="30" s="1"/>
  <c r="GB5" i="30" s="1"/>
  <c r="GA71" i="30"/>
  <c r="GA20" i="30" s="1"/>
  <c r="GB3" i="30" s="1"/>
  <c r="GA75" i="30"/>
  <c r="GA24" i="30" s="1"/>
  <c r="GB7" i="30" s="1"/>
  <c r="GA80" i="30"/>
  <c r="GA29" i="30" s="1"/>
  <c r="GB12" i="30" s="1"/>
  <c r="GA74" i="30"/>
  <c r="GA23" i="30" s="1"/>
  <c r="GB6" i="30" s="1"/>
  <c r="GA81" i="30"/>
  <c r="GA30" i="30" s="1"/>
  <c r="GB13" i="30" s="1"/>
  <c r="IU104" i="30" l="1"/>
  <c r="IU36" i="30"/>
  <c r="IV19" i="30" s="1"/>
  <c r="IU34" i="30"/>
  <c r="IV17" i="30" s="1"/>
  <c r="IU102" i="30"/>
  <c r="IU83" i="30" s="1"/>
  <c r="IT101" i="30"/>
  <c r="IT33" i="30"/>
  <c r="IU16" i="30" s="1"/>
  <c r="IT100" i="30"/>
  <c r="IT79" i="30" s="1"/>
  <c r="IT28" i="30" s="1"/>
  <c r="IU11" i="30" s="1"/>
  <c r="IU96" i="30" s="1"/>
  <c r="IT32" i="30"/>
  <c r="IU15" i="30" s="1"/>
  <c r="IU94" i="30"/>
  <c r="IU26" i="30"/>
  <c r="IV9" i="30" s="1"/>
  <c r="IT25" i="30"/>
  <c r="IU8" i="30" s="1"/>
  <c r="IT93" i="30"/>
  <c r="GB98" i="30"/>
  <c r="GB88" i="30"/>
  <c r="GB90" i="30"/>
  <c r="GB97" i="30"/>
  <c r="GB95" i="30"/>
  <c r="GB91" i="30"/>
  <c r="GB92" i="30"/>
  <c r="GB99" i="30"/>
  <c r="GB72" i="30" s="1"/>
  <c r="GB21" i="30" s="1"/>
  <c r="GC4" i="30" s="1"/>
  <c r="GB78" i="30"/>
  <c r="GB27" i="30" s="1"/>
  <c r="GC10" i="30" s="1"/>
  <c r="IV36" i="30" l="1"/>
  <c r="IV104" i="30"/>
  <c r="IV34" i="30"/>
  <c r="IV102" i="30"/>
  <c r="IV83" i="30" s="1"/>
  <c r="IU101" i="30"/>
  <c r="IU33" i="30"/>
  <c r="IV16" i="30" s="1"/>
  <c r="IU100" i="30"/>
  <c r="IU79" i="30" s="1"/>
  <c r="IU28" i="30" s="1"/>
  <c r="IV11" i="30" s="1"/>
  <c r="IV96" i="30" s="1"/>
  <c r="IU32" i="30"/>
  <c r="IV15" i="30" s="1"/>
  <c r="IV26" i="30"/>
  <c r="IV94" i="30"/>
  <c r="IU25" i="30"/>
  <c r="IV8" i="30" s="1"/>
  <c r="IU93" i="30"/>
  <c r="GB73" i="30"/>
  <c r="GB22" i="30" s="1"/>
  <c r="GC5" i="30" s="1"/>
  <c r="GC90" i="30" s="1"/>
  <c r="GB86" i="30"/>
  <c r="GB35" i="30" s="1"/>
  <c r="GC18" i="30" s="1"/>
  <c r="GC103" i="30" s="1"/>
  <c r="GC95" i="30"/>
  <c r="GB80" i="30"/>
  <c r="GB29" i="30" s="1"/>
  <c r="GC12" i="30" s="1"/>
  <c r="GB75" i="30"/>
  <c r="GB24" i="30" s="1"/>
  <c r="GC7" i="30" s="1"/>
  <c r="GB82" i="30"/>
  <c r="GB31" i="30" s="1"/>
  <c r="GC14" i="30" s="1"/>
  <c r="GB74" i="30"/>
  <c r="GB23" i="30" s="1"/>
  <c r="GC6" i="30" s="1"/>
  <c r="GB81" i="30"/>
  <c r="GB30" i="30" s="1"/>
  <c r="GC13" i="30" s="1"/>
  <c r="GC89" i="30"/>
  <c r="GB71" i="30"/>
  <c r="GB20" i="30" s="1"/>
  <c r="GC3" i="30" s="1"/>
  <c r="IV101" i="30" l="1"/>
  <c r="IV33" i="30"/>
  <c r="IV100" i="30"/>
  <c r="IV79" i="30" s="1"/>
  <c r="IV28" i="30" s="1"/>
  <c r="IV32" i="30"/>
  <c r="IV93" i="30"/>
  <c r="IV25" i="30"/>
  <c r="GC98" i="30"/>
  <c r="GC97" i="30"/>
  <c r="GC78" i="30"/>
  <c r="GC27" i="30" s="1"/>
  <c r="GD10" i="30" s="1"/>
  <c r="Y210" i="30" s="1"/>
  <c r="GC88" i="30"/>
  <c r="GC91" i="30"/>
  <c r="GC92" i="30"/>
  <c r="GC99" i="30"/>
  <c r="GC72" i="30" s="1"/>
  <c r="GC21" i="30" s="1"/>
  <c r="GD4" i="30" s="1"/>
  <c r="Y180" i="30" s="1"/>
  <c r="GC81" i="30"/>
  <c r="GC30" i="30" s="1"/>
  <c r="GD13" i="30" s="1"/>
  <c r="Y225" i="30" s="1"/>
  <c r="GC82" i="30" l="1"/>
  <c r="GC31" i="30" s="1"/>
  <c r="GD14" i="30" s="1"/>
  <c r="Y230" i="30" s="1"/>
  <c r="GC71" i="30"/>
  <c r="GC20" i="30" s="1"/>
  <c r="GD3" i="30" s="1"/>
  <c r="Y175" i="30" s="1"/>
  <c r="GC74" i="30"/>
  <c r="GC23" i="30" s="1"/>
  <c r="GD6" i="30" s="1"/>
  <c r="Y190" i="30" s="1"/>
  <c r="GD98" i="30"/>
  <c r="GD89" i="30"/>
  <c r="GC86" i="30"/>
  <c r="GC35" i="30" s="1"/>
  <c r="GD18" i="30" s="1"/>
  <c r="Y250" i="30" s="1"/>
  <c r="GC75" i="30"/>
  <c r="GC24" i="30" s="1"/>
  <c r="GD7" i="30" s="1"/>
  <c r="Y195" i="30" s="1"/>
  <c r="GC80" i="30"/>
  <c r="GC29" i="30" s="1"/>
  <c r="GD12" i="30" s="1"/>
  <c r="Y220" i="30" s="1"/>
  <c r="GC73" i="30"/>
  <c r="GC22" i="30" s="1"/>
  <c r="GD5" i="30" s="1"/>
  <c r="Y185" i="30" s="1"/>
  <c r="GD95" i="30"/>
  <c r="GD88" i="30" l="1"/>
  <c r="GD99" i="30"/>
  <c r="GD72" i="30" s="1"/>
  <c r="GD21" i="30" s="1"/>
  <c r="GE4" i="30" s="1"/>
  <c r="GE89" i="30" s="1"/>
  <c r="GD91" i="30"/>
  <c r="GD82" i="30" s="1"/>
  <c r="GD31" i="30" s="1"/>
  <c r="GE14" i="30" s="1"/>
  <c r="GD103" i="30"/>
  <c r="GD90" i="30"/>
  <c r="GD97" i="30"/>
  <c r="GD92" i="30"/>
  <c r="GD78" i="30"/>
  <c r="GD27" i="30" s="1"/>
  <c r="GE10" i="30" s="1"/>
  <c r="GD73" i="30" l="1"/>
  <c r="GD22" i="30" s="1"/>
  <c r="GE5" i="30" s="1"/>
  <c r="GE90" i="30" s="1"/>
  <c r="GD75" i="30"/>
  <c r="GD24" i="30" s="1"/>
  <c r="GE7" i="30" s="1"/>
  <c r="GE92" i="30" s="1"/>
  <c r="GD86" i="30"/>
  <c r="GD35" i="30" s="1"/>
  <c r="GE18" i="30" s="1"/>
  <c r="GE103" i="30" s="1"/>
  <c r="GD80" i="30"/>
  <c r="GD29" i="30" s="1"/>
  <c r="GE12" i="30" s="1"/>
  <c r="GE97" i="30" s="1"/>
  <c r="GD71" i="30"/>
  <c r="GD20" i="30" s="1"/>
  <c r="GE3" i="30" s="1"/>
  <c r="GE88" i="30" s="1"/>
  <c r="GE95" i="30"/>
  <c r="GE78" i="30"/>
  <c r="GE27" i="30" s="1"/>
  <c r="GF10" i="30" s="1"/>
  <c r="GD81" i="30"/>
  <c r="GD30" i="30" s="1"/>
  <c r="GE13" i="30" s="1"/>
  <c r="GD74" i="30"/>
  <c r="GD23" i="30" s="1"/>
  <c r="GE6" i="30" s="1"/>
  <c r="GE99" i="30"/>
  <c r="GE72" i="30" s="1"/>
  <c r="GE21" i="30" s="1"/>
  <c r="GF4" i="30" s="1"/>
  <c r="GF95" i="30" l="1"/>
  <c r="GE98" i="30"/>
  <c r="GE74" i="30"/>
  <c r="GE23" i="30" s="1"/>
  <c r="GF6" i="30" s="1"/>
  <c r="GE81" i="30"/>
  <c r="GE30" i="30" s="1"/>
  <c r="GF13" i="30" s="1"/>
  <c r="GF89" i="30"/>
  <c r="GE91" i="30"/>
  <c r="GE75" i="30" s="1"/>
  <c r="GE24" i="30" s="1"/>
  <c r="GF7" i="30" s="1"/>
  <c r="GE80" i="30"/>
  <c r="GE29" i="30" s="1"/>
  <c r="GF12" i="30" s="1"/>
  <c r="GF98" i="30" l="1"/>
  <c r="GF92" i="30"/>
  <c r="GE71" i="30"/>
  <c r="GE20" i="30" s="1"/>
  <c r="GF3" i="30" s="1"/>
  <c r="GE73" i="30"/>
  <c r="GE22" i="30" s="1"/>
  <c r="GF5" i="30" s="1"/>
  <c r="GF78" i="30"/>
  <c r="GF27" i="30" s="1"/>
  <c r="GG10" i="30" s="1"/>
  <c r="GF97" i="30"/>
  <c r="GF91" i="30"/>
  <c r="GE86" i="30"/>
  <c r="GE35" i="30" s="1"/>
  <c r="GF18" i="30" s="1"/>
  <c r="GE82" i="30"/>
  <c r="GE31" i="30" s="1"/>
  <c r="GF14" i="30" s="1"/>
  <c r="GF86" i="30" l="1"/>
  <c r="GF35" i="30" s="1"/>
  <c r="GG18" i="30" s="1"/>
  <c r="GF103" i="30"/>
  <c r="GF99" i="30"/>
  <c r="GF82" i="30"/>
  <c r="GF31" i="30" s="1"/>
  <c r="GG14" i="30" s="1"/>
  <c r="GG95" i="30"/>
  <c r="GF90" i="30"/>
  <c r="GF88" i="30"/>
  <c r="GG99" i="30" l="1"/>
  <c r="GG72" i="30" s="1"/>
  <c r="GF75" i="30"/>
  <c r="GF24" i="30" s="1"/>
  <c r="GG7" i="30" s="1"/>
  <c r="GF80" i="30"/>
  <c r="GF29" i="30" s="1"/>
  <c r="GG12" i="30" s="1"/>
  <c r="GF74" i="30"/>
  <c r="GF23" i="30" s="1"/>
  <c r="GG6" i="30" s="1"/>
  <c r="GF81" i="30"/>
  <c r="GF30" i="30" s="1"/>
  <c r="GG13" i="30" s="1"/>
  <c r="GF71" i="30"/>
  <c r="GF20" i="30" s="1"/>
  <c r="GG3" i="30" s="1"/>
  <c r="GF72" i="30"/>
  <c r="GF21" i="30" s="1"/>
  <c r="GG4" i="30" s="1"/>
  <c r="GF73" i="30"/>
  <c r="GF22" i="30" s="1"/>
  <c r="GG5" i="30" s="1"/>
  <c r="GG103" i="30"/>
  <c r="GG89" i="30" l="1"/>
  <c r="GG97" i="30"/>
  <c r="GG88" i="30"/>
  <c r="GG92" i="30"/>
  <c r="GG98" i="30"/>
  <c r="GG90" i="30"/>
  <c r="GG91" i="30"/>
  <c r="GG21" i="30"/>
  <c r="GH4" i="30" s="1"/>
  <c r="GH89" i="30" l="1"/>
  <c r="GG81" i="30"/>
  <c r="GG30" i="30" s="1"/>
  <c r="GH13" i="30" s="1"/>
  <c r="GG74" i="30"/>
  <c r="GG23" i="30" s="1"/>
  <c r="GH6" i="30" s="1"/>
  <c r="GG75" i="30"/>
  <c r="GG24" i="30" s="1"/>
  <c r="GH7" i="30" s="1"/>
  <c r="GG80" i="30"/>
  <c r="GG29" i="30" s="1"/>
  <c r="GH12" i="30" s="1"/>
  <c r="GG86" i="30"/>
  <c r="GG35" i="30" s="1"/>
  <c r="GH18" i="30" s="1"/>
  <c r="GG82" i="30"/>
  <c r="GG31" i="30" s="1"/>
  <c r="GH14" i="30" s="1"/>
  <c r="GG73" i="30"/>
  <c r="GG22" i="30" s="1"/>
  <c r="GH5" i="30" s="1"/>
  <c r="GG71" i="30"/>
  <c r="GG20" i="30" s="1"/>
  <c r="GH3" i="30" s="1"/>
  <c r="GG78" i="30"/>
  <c r="GG27" i="30" s="1"/>
  <c r="GH10" i="30" s="1"/>
  <c r="GH99" i="30" l="1"/>
  <c r="GH72" i="30" s="1"/>
  <c r="GH21" i="30" s="1"/>
  <c r="GI4" i="30" s="1"/>
  <c r="GH91" i="30"/>
  <c r="GH95" i="30"/>
  <c r="GH103" i="30"/>
  <c r="GH98" i="30"/>
  <c r="GH88" i="30"/>
  <c r="GH97" i="30"/>
  <c r="GH90" i="30"/>
  <c r="GH92" i="30"/>
  <c r="GH78" i="30"/>
  <c r="GH27" i="30" s="1"/>
  <c r="GI10" i="30" s="1"/>
  <c r="GH73" i="30" l="1"/>
  <c r="GH22" i="30" s="1"/>
  <c r="GI5" i="30" s="1"/>
  <c r="GI90" i="30" s="1"/>
  <c r="GH82" i="30"/>
  <c r="GH31" i="30" s="1"/>
  <c r="GI14" i="30" s="1"/>
  <c r="GI99" i="30" s="1"/>
  <c r="GI72" i="30" s="1"/>
  <c r="GI21" i="30" s="1"/>
  <c r="GJ4" i="30" s="1"/>
  <c r="GH86" i="30"/>
  <c r="GH35" i="30" s="1"/>
  <c r="GI18" i="30" s="1"/>
  <c r="GI103" i="30" s="1"/>
  <c r="GI95" i="30"/>
  <c r="GH75" i="30"/>
  <c r="GH24" i="30" s="1"/>
  <c r="GI7" i="30" s="1"/>
  <c r="GH80" i="30"/>
  <c r="GH29" i="30" s="1"/>
  <c r="GI12" i="30" s="1"/>
  <c r="GH74" i="30"/>
  <c r="GH23" i="30" s="1"/>
  <c r="GI6" i="30" s="1"/>
  <c r="GH81" i="30"/>
  <c r="GH30" i="30" s="1"/>
  <c r="GI13" i="30" s="1"/>
  <c r="GH71" i="30"/>
  <c r="GH20" i="30" s="1"/>
  <c r="GI3" i="30" s="1"/>
  <c r="GI89" i="30"/>
  <c r="GI98" i="30" l="1"/>
  <c r="GI73" i="30" s="1"/>
  <c r="GI22" i="30" s="1"/>
  <c r="GJ5" i="30" s="1"/>
  <c r="GJ89" i="30"/>
  <c r="GI92" i="30"/>
  <c r="GI74" i="30" s="1"/>
  <c r="GI23" i="30" s="1"/>
  <c r="GJ6" i="30" s="1"/>
  <c r="GI78" i="30"/>
  <c r="GI27" i="30" s="1"/>
  <c r="GJ10" i="30" s="1"/>
  <c r="GI97" i="30"/>
  <c r="GI91" i="30"/>
  <c r="GI88" i="30"/>
  <c r="GI81" i="30"/>
  <c r="GI30" i="30" s="1"/>
  <c r="GJ13" i="30" s="1"/>
  <c r="GI82" i="30" l="1"/>
  <c r="GI31" i="30" s="1"/>
  <c r="GJ14" i="30" s="1"/>
  <c r="GJ99" i="30" s="1"/>
  <c r="GJ72" i="30" s="1"/>
  <c r="GJ21" i="30" s="1"/>
  <c r="GK4" i="30" s="1"/>
  <c r="GI71" i="30"/>
  <c r="GI20" i="30" s="1"/>
  <c r="GJ3" i="30" s="1"/>
  <c r="GJ88" i="30" s="1"/>
  <c r="GJ98" i="30"/>
  <c r="GJ91" i="30"/>
  <c r="GI86" i="30"/>
  <c r="GI35" i="30" s="1"/>
  <c r="GJ18" i="30" s="1"/>
  <c r="GJ95" i="30"/>
  <c r="GI80" i="30"/>
  <c r="GI29" i="30" s="1"/>
  <c r="GJ12" i="30" s="1"/>
  <c r="GI75" i="30"/>
  <c r="GI24" i="30" s="1"/>
  <c r="GJ7" i="30" s="1"/>
  <c r="GJ90" i="30"/>
  <c r="GJ78" i="30"/>
  <c r="GJ27" i="30" s="1"/>
  <c r="GK10" i="30" s="1"/>
  <c r="GJ82" i="30" l="1"/>
  <c r="GJ31" i="30" s="1"/>
  <c r="GK14" i="30" s="1"/>
  <c r="GK99" i="30" s="1"/>
  <c r="GK72" i="30" s="1"/>
  <c r="GK21" i="30" s="1"/>
  <c r="GL4" i="30" s="1"/>
  <c r="Z180" i="30" s="1"/>
  <c r="GK95" i="30"/>
  <c r="GJ97" i="30"/>
  <c r="GJ71" i="30" s="1"/>
  <c r="GJ20" i="30" s="1"/>
  <c r="GK3" i="30" s="1"/>
  <c r="GK89" i="30"/>
  <c r="GJ81" i="30"/>
  <c r="GJ30" i="30" s="1"/>
  <c r="GK13" i="30" s="1"/>
  <c r="GJ73" i="30"/>
  <c r="GJ22" i="30" s="1"/>
  <c r="GK5" i="30" s="1"/>
  <c r="GJ92" i="30"/>
  <c r="GJ103" i="30"/>
  <c r="GJ80" i="30" s="1"/>
  <c r="GJ29" i="30" s="1"/>
  <c r="GK12" i="30" s="1"/>
  <c r="GJ75" i="30"/>
  <c r="GJ24" i="30" s="1"/>
  <c r="GK7" i="30" s="1"/>
  <c r="GJ86" i="30" l="1"/>
  <c r="GJ35" i="30" s="1"/>
  <c r="GK18" i="30" s="1"/>
  <c r="GK103" i="30" s="1"/>
  <c r="GK92" i="30"/>
  <c r="GK97" i="30"/>
  <c r="GL89" i="30"/>
  <c r="GK90" i="30"/>
  <c r="GK78" i="30"/>
  <c r="GK27" i="30" s="1"/>
  <c r="GL10" i="30" s="1"/>
  <c r="Z210" i="30" s="1"/>
  <c r="GK98" i="30"/>
  <c r="GK73" i="30" s="1"/>
  <c r="GK22" i="30" s="1"/>
  <c r="GL5" i="30" s="1"/>
  <c r="Z185" i="30" s="1"/>
  <c r="GJ74" i="30"/>
  <c r="GJ23" i="30" s="1"/>
  <c r="GK6" i="30" s="1"/>
  <c r="GK88" i="30"/>
  <c r="GK71" i="30" l="1"/>
  <c r="GK20" i="30" s="1"/>
  <c r="GL3" i="30" s="1"/>
  <c r="Z175" i="30" s="1"/>
  <c r="GL90" i="30"/>
  <c r="GL95" i="30"/>
  <c r="GK80" i="30"/>
  <c r="GK29" i="30" s="1"/>
  <c r="GL12" i="30" s="1"/>
  <c r="Z220" i="30" s="1"/>
  <c r="GL78" i="30"/>
  <c r="GL27" i="30" s="1"/>
  <c r="GM10" i="30" s="1"/>
  <c r="GK91" i="30"/>
  <c r="GK75" i="30" s="1"/>
  <c r="GK24" i="30" s="1"/>
  <c r="GL7" i="30" s="1"/>
  <c r="Z195" i="30" s="1"/>
  <c r="GK74" i="30"/>
  <c r="GK23" i="30" s="1"/>
  <c r="GL6" i="30" s="1"/>
  <c r="Z190" i="30" s="1"/>
  <c r="GK81" i="30"/>
  <c r="GK30" i="30" s="1"/>
  <c r="GL13" i="30" s="1"/>
  <c r="Z225" i="30" s="1"/>
  <c r="GL88" i="30" l="1"/>
  <c r="GM95" i="30"/>
  <c r="GL91" i="30"/>
  <c r="GL92" i="30"/>
  <c r="GL81" i="30"/>
  <c r="GL30" i="30" s="1"/>
  <c r="GM13" i="30" s="1"/>
  <c r="GL98" i="30"/>
  <c r="GL97" i="30"/>
  <c r="GK86" i="30"/>
  <c r="GK35" i="30" s="1"/>
  <c r="GL18" i="30" s="1"/>
  <c r="Z250" i="30" s="1"/>
  <c r="GK82" i="30"/>
  <c r="GK31" i="30" s="1"/>
  <c r="GL14" i="30" s="1"/>
  <c r="Z230" i="30" s="1"/>
  <c r="GL75" i="30" l="1"/>
  <c r="GL24" i="30" s="1"/>
  <c r="GM7" i="30" s="1"/>
  <c r="GM92" i="30" s="1"/>
  <c r="GL71" i="30"/>
  <c r="GL20" i="30" s="1"/>
  <c r="GM3" i="30" s="1"/>
  <c r="GM88" i="30" s="1"/>
  <c r="GL99" i="30"/>
  <c r="GL72" i="30" s="1"/>
  <c r="GL21" i="30" s="1"/>
  <c r="GM4" i="30" s="1"/>
  <c r="GM98" i="30"/>
  <c r="GL86" i="30"/>
  <c r="GL35" i="30" s="1"/>
  <c r="GM18" i="30" s="1"/>
  <c r="GL82" i="30"/>
  <c r="GL31" i="30" s="1"/>
  <c r="GM14" i="30" s="1"/>
  <c r="GL103" i="30"/>
  <c r="GL80" i="30" s="1"/>
  <c r="GL29" i="30" s="1"/>
  <c r="GM12" i="30" s="1"/>
  <c r="GL73" i="30" l="1"/>
  <c r="GL22" i="30" s="1"/>
  <c r="GM5" i="30" s="1"/>
  <c r="GM90" i="30" s="1"/>
  <c r="GL74" i="30"/>
  <c r="GL23" i="30" s="1"/>
  <c r="GM6" i="30" s="1"/>
  <c r="GM91" i="30" s="1"/>
  <c r="GM99" i="30"/>
  <c r="GM72" i="30" s="1"/>
  <c r="GM21" i="30" s="1"/>
  <c r="GN4" i="30" s="1"/>
  <c r="GM103" i="30"/>
  <c r="GM97" i="30"/>
  <c r="GM89" i="30"/>
  <c r="GM86" i="30" l="1"/>
  <c r="GM35" i="30" s="1"/>
  <c r="GN18" i="30" s="1"/>
  <c r="GN103" i="30" s="1"/>
  <c r="GM75" i="30"/>
  <c r="GM24" i="30" s="1"/>
  <c r="GN7" i="30" s="1"/>
  <c r="GN92" i="30" s="1"/>
  <c r="GN89" i="30"/>
  <c r="GM82" i="30"/>
  <c r="GM31" i="30" s="1"/>
  <c r="GN14" i="30" s="1"/>
  <c r="GM78" i="30"/>
  <c r="GM27" i="30" s="1"/>
  <c r="GN10" i="30" s="1"/>
  <c r="GM73" i="30"/>
  <c r="GM22" i="30" s="1"/>
  <c r="GN5" i="30" s="1"/>
  <c r="GM71" i="30"/>
  <c r="GM20" i="30" s="1"/>
  <c r="GN3" i="30" s="1"/>
  <c r="GM81" i="30"/>
  <c r="GM30" i="30" s="1"/>
  <c r="GN13" i="30" s="1"/>
  <c r="GM74" i="30"/>
  <c r="GM23" i="30" s="1"/>
  <c r="GN6" i="30" s="1"/>
  <c r="GM80" i="30"/>
  <c r="GM29" i="30" s="1"/>
  <c r="GN12" i="30" s="1"/>
  <c r="GN91" i="30" l="1"/>
  <c r="GN95" i="30"/>
  <c r="GN78" i="30"/>
  <c r="GN27" i="30" s="1"/>
  <c r="GO10" i="30" s="1"/>
  <c r="GN98" i="30"/>
  <c r="GN99" i="30"/>
  <c r="GN72" i="30" s="1"/>
  <c r="GN21" i="30" s="1"/>
  <c r="GO4" i="30" s="1"/>
  <c r="GN88" i="30"/>
  <c r="GN97" i="30"/>
  <c r="GN90" i="30"/>
  <c r="GN71" i="30" l="1"/>
  <c r="GN20" i="30" s="1"/>
  <c r="GO3" i="30" s="1"/>
  <c r="GO88" i="30" s="1"/>
  <c r="GN73" i="30"/>
  <c r="GN22" i="30" s="1"/>
  <c r="GO5" i="30" s="1"/>
  <c r="GO90" i="30" s="1"/>
  <c r="GN82" i="30"/>
  <c r="GN31" i="30" s="1"/>
  <c r="GO14" i="30" s="1"/>
  <c r="GO99" i="30" s="1"/>
  <c r="GO72" i="30" s="1"/>
  <c r="GO21" i="30" s="1"/>
  <c r="GP4" i="30" s="1"/>
  <c r="GO95" i="30"/>
  <c r="GO89" i="30"/>
  <c r="GN80" i="30"/>
  <c r="GN29" i="30" s="1"/>
  <c r="GO12" i="30" s="1"/>
  <c r="GN75" i="30"/>
  <c r="GN24" i="30" s="1"/>
  <c r="GO7" i="30" s="1"/>
  <c r="GN86" i="30"/>
  <c r="GN35" i="30" s="1"/>
  <c r="GO18" i="30" s="1"/>
  <c r="GN74" i="30"/>
  <c r="GN23" i="30" s="1"/>
  <c r="GO6" i="30" s="1"/>
  <c r="GN81" i="30"/>
  <c r="GN30" i="30" s="1"/>
  <c r="GO13" i="30" s="1"/>
  <c r="GP89" i="30" l="1"/>
  <c r="GO98" i="30"/>
  <c r="GO73" i="30" s="1"/>
  <c r="GO22" i="30" s="1"/>
  <c r="GP5" i="30" s="1"/>
  <c r="GO92" i="30"/>
  <c r="GO74" i="30" s="1"/>
  <c r="GO23" i="30" s="1"/>
  <c r="GP6" i="30" s="1"/>
  <c r="GO81" i="30"/>
  <c r="GO30" i="30" s="1"/>
  <c r="GP13" i="30" s="1"/>
  <c r="GO97" i="30"/>
  <c r="GO91" i="30"/>
  <c r="GO103" i="30"/>
  <c r="GO80" i="30" s="1"/>
  <c r="GO29" i="30" s="1"/>
  <c r="GP12" i="30" s="1"/>
  <c r="GO78" i="30"/>
  <c r="GO27" i="30" s="1"/>
  <c r="GP10" i="30" s="1"/>
  <c r="GO82" i="30" l="1"/>
  <c r="GO31" i="30" s="1"/>
  <c r="GP14" i="30" s="1"/>
  <c r="GP99" i="30" s="1"/>
  <c r="GP72" i="30" s="1"/>
  <c r="GP21" i="30" s="1"/>
  <c r="GQ4" i="30" s="1"/>
  <c r="GO71" i="30"/>
  <c r="GO20" i="30" s="1"/>
  <c r="GP3" i="30" s="1"/>
  <c r="GP88" i="30" s="1"/>
  <c r="GP97" i="30"/>
  <c r="GP91" i="30"/>
  <c r="GP98" i="30"/>
  <c r="GP90" i="30"/>
  <c r="GO86" i="30"/>
  <c r="GO35" i="30" s="1"/>
  <c r="GP18" i="30" s="1"/>
  <c r="GP95" i="30"/>
  <c r="GO75" i="30"/>
  <c r="GO24" i="30" s="1"/>
  <c r="GP7" i="30" s="1"/>
  <c r="GP78" i="30"/>
  <c r="GP27" i="30" s="1"/>
  <c r="GQ10" i="30" s="1"/>
  <c r="GP71" i="30" l="1"/>
  <c r="GP20" i="30" s="1"/>
  <c r="GQ3" i="30" s="1"/>
  <c r="GQ88" i="30" s="1"/>
  <c r="GQ95" i="30"/>
  <c r="GQ89" i="30"/>
  <c r="GP75" i="30"/>
  <c r="GP24" i="30" s="1"/>
  <c r="GQ7" i="30" s="1"/>
  <c r="GP103" i="30"/>
  <c r="GP80" i="30" s="1"/>
  <c r="GP29" i="30" s="1"/>
  <c r="GQ12" i="30" s="1"/>
  <c r="GP92" i="30"/>
  <c r="GP86" i="30" s="1"/>
  <c r="GP35" i="30" s="1"/>
  <c r="GQ18" i="30" s="1"/>
  <c r="GP73" i="30"/>
  <c r="GP22" i="30" s="1"/>
  <c r="GQ5" i="30" s="1"/>
  <c r="GP81" i="30"/>
  <c r="GP30" i="30" s="1"/>
  <c r="GQ13" i="30" s="1"/>
  <c r="GP82" i="30"/>
  <c r="GP31" i="30" s="1"/>
  <c r="GQ14" i="30" s="1"/>
  <c r="GP74" i="30" l="1"/>
  <c r="GP23" i="30" s="1"/>
  <c r="GQ6" i="30" s="1"/>
  <c r="GQ91" i="30" s="1"/>
  <c r="GQ92" i="30"/>
  <c r="GQ103" i="30"/>
  <c r="GQ97" i="30"/>
  <c r="GQ98" i="30"/>
  <c r="GQ90" i="30"/>
  <c r="GQ78" i="30"/>
  <c r="GQ27" i="30" s="1"/>
  <c r="GR10" i="30" s="1"/>
  <c r="GQ99" i="30"/>
  <c r="GQ72" i="30" s="1"/>
  <c r="GQ21" i="30" s="1"/>
  <c r="GR4" i="30" s="1"/>
  <c r="GQ86" i="30" l="1"/>
  <c r="GQ35" i="30" s="1"/>
  <c r="GR18" i="30" s="1"/>
  <c r="GR103" i="30" s="1"/>
  <c r="GR89" i="30"/>
  <c r="GQ74" i="30"/>
  <c r="GQ23" i="30" s="1"/>
  <c r="GR6" i="30" s="1"/>
  <c r="GQ81" i="30"/>
  <c r="GQ30" i="30" s="1"/>
  <c r="GR13" i="30" s="1"/>
  <c r="GQ82" i="30"/>
  <c r="GQ31" i="30" s="1"/>
  <c r="GR14" i="30" s="1"/>
  <c r="GQ73" i="30"/>
  <c r="GQ22" i="30" s="1"/>
  <c r="GR5" i="30" s="1"/>
  <c r="GQ71" i="30"/>
  <c r="GQ20" i="30" s="1"/>
  <c r="GR3" i="30" s="1"/>
  <c r="GQ80" i="30"/>
  <c r="GQ29" i="30" s="1"/>
  <c r="GR12" i="30" s="1"/>
  <c r="GR95" i="30"/>
  <c r="GQ75" i="30"/>
  <c r="GQ24" i="30" s="1"/>
  <c r="GR7" i="30" s="1"/>
  <c r="GR88" i="30" l="1"/>
  <c r="GR90" i="30"/>
  <c r="GR92" i="30"/>
  <c r="GR99" i="30"/>
  <c r="GR72" i="30" s="1"/>
  <c r="GR21" i="30" s="1"/>
  <c r="GS4" i="30" s="1"/>
  <c r="GR78" i="30"/>
  <c r="GR27" i="30" s="1"/>
  <c r="GS10" i="30" s="1"/>
  <c r="GR97" i="30"/>
  <c r="GR98" i="30"/>
  <c r="GR91" i="30"/>
  <c r="GR86" i="30" l="1"/>
  <c r="GR35" i="30" s="1"/>
  <c r="GS18" i="30" s="1"/>
  <c r="GS103" i="30" s="1"/>
  <c r="GR73" i="30"/>
  <c r="GR22" i="30" s="1"/>
  <c r="GS5" i="30" s="1"/>
  <c r="GS90" i="30" s="1"/>
  <c r="GR71" i="30"/>
  <c r="GR20" i="30" s="1"/>
  <c r="GS3" i="30" s="1"/>
  <c r="GS89" i="30"/>
  <c r="GR74" i="30"/>
  <c r="GR23" i="30" s="1"/>
  <c r="GS6" i="30" s="1"/>
  <c r="GR81" i="30"/>
  <c r="GR30" i="30" s="1"/>
  <c r="GS13" i="30" s="1"/>
  <c r="GR82" i="30"/>
  <c r="GR31" i="30" s="1"/>
  <c r="GS14" i="30" s="1"/>
  <c r="GS95" i="30"/>
  <c r="GR80" i="30"/>
  <c r="GR29" i="30" s="1"/>
  <c r="GS12" i="30" s="1"/>
  <c r="GR75" i="30"/>
  <c r="GR24" i="30" s="1"/>
  <c r="GS7" i="30" s="1"/>
  <c r="GS92" i="30" l="1"/>
  <c r="GS78" i="30"/>
  <c r="GS27" i="30" s="1"/>
  <c r="GT10" i="30" s="1"/>
  <c r="AA210" i="30" s="1"/>
  <c r="GS98" i="30"/>
  <c r="GS88" i="30"/>
  <c r="GS91" i="30"/>
  <c r="GS99" i="30"/>
  <c r="GS72" i="30" s="1"/>
  <c r="GS21" i="30" s="1"/>
  <c r="GT4" i="30" s="1"/>
  <c r="AA180" i="30" s="1"/>
  <c r="GS97" i="30"/>
  <c r="GS81" i="30"/>
  <c r="GS30" i="30" s="1"/>
  <c r="GT13" i="30" s="1"/>
  <c r="AA225" i="30" s="1"/>
  <c r="GS71" i="30" l="1"/>
  <c r="GS20" i="30" s="1"/>
  <c r="GT3" i="30" s="1"/>
  <c r="AA175" i="30" s="1"/>
  <c r="GS73" i="30"/>
  <c r="GS22" i="30" s="1"/>
  <c r="GT5" i="30" s="1"/>
  <c r="AA185" i="30" s="1"/>
  <c r="GS74" i="30"/>
  <c r="GS23" i="30" s="1"/>
  <c r="GT6" i="30" s="1"/>
  <c r="AA190" i="30" s="1"/>
  <c r="GT98" i="30"/>
  <c r="GS86" i="30"/>
  <c r="GS35" i="30" s="1"/>
  <c r="GT18" i="30" s="1"/>
  <c r="AA250" i="30" s="1"/>
  <c r="GS82" i="30"/>
  <c r="GS31" i="30" s="1"/>
  <c r="GT14" i="30" s="1"/>
  <c r="AA230" i="30" s="1"/>
  <c r="GT89" i="30"/>
  <c r="GS75" i="30"/>
  <c r="GS24" i="30" s="1"/>
  <c r="GT7" i="30" s="1"/>
  <c r="AA195" i="30" s="1"/>
  <c r="GS80" i="30"/>
  <c r="GS29" i="30" s="1"/>
  <c r="GT12" i="30" s="1"/>
  <c r="AA220" i="30" s="1"/>
  <c r="GT95" i="30"/>
  <c r="GT91" i="30" l="1"/>
  <c r="GT82" i="30" s="1"/>
  <c r="GT31" i="30" s="1"/>
  <c r="GU14" i="30" s="1"/>
  <c r="GT90" i="30"/>
  <c r="GT81" i="30" s="1"/>
  <c r="GT30" i="30" s="1"/>
  <c r="GU13" i="30" s="1"/>
  <c r="GT88" i="30"/>
  <c r="GT103" i="30"/>
  <c r="GT78" i="30"/>
  <c r="GT27" i="30" s="1"/>
  <c r="GU10" i="30" s="1"/>
  <c r="GT97" i="30"/>
  <c r="GT99" i="30"/>
  <c r="GT72" i="30" s="1"/>
  <c r="GT21" i="30" s="1"/>
  <c r="GU4" i="30" s="1"/>
  <c r="GT92" i="30"/>
  <c r="GT75" i="30" l="1"/>
  <c r="GT24" i="30" s="1"/>
  <c r="GU7" i="30" s="1"/>
  <c r="GU92" i="30" s="1"/>
  <c r="GT80" i="30"/>
  <c r="GT29" i="30" s="1"/>
  <c r="GU12" i="30" s="1"/>
  <c r="GU97" i="30" s="1"/>
  <c r="GT71" i="30"/>
  <c r="GT20" i="30" s="1"/>
  <c r="GU3" i="30" s="1"/>
  <c r="GU88" i="30" s="1"/>
  <c r="GT74" i="30"/>
  <c r="GT23" i="30" s="1"/>
  <c r="GU6" i="30" s="1"/>
  <c r="GU91" i="30" s="1"/>
  <c r="GT73" i="30"/>
  <c r="GT22" i="30" s="1"/>
  <c r="GU5" i="30" s="1"/>
  <c r="GU90" i="30" s="1"/>
  <c r="GT86" i="30"/>
  <c r="GT35" i="30" s="1"/>
  <c r="GU18" i="30" s="1"/>
  <c r="GU95" i="30"/>
  <c r="GU98" i="30"/>
  <c r="GU99" i="30"/>
  <c r="GU72" i="30" s="1"/>
  <c r="GU21" i="30" s="1"/>
  <c r="GV4" i="30" s="1"/>
  <c r="GU89" i="30"/>
  <c r="GV89" i="30" l="1"/>
  <c r="GU103" i="30"/>
  <c r="GU80" i="30" s="1"/>
  <c r="GU29" i="30" s="1"/>
  <c r="GV12" i="30" s="1"/>
  <c r="GU74" i="30"/>
  <c r="GU23" i="30" s="1"/>
  <c r="GV6" i="30" s="1"/>
  <c r="GU81" i="30"/>
  <c r="GU30" i="30" s="1"/>
  <c r="GV13" i="30" s="1"/>
  <c r="GU71" i="30"/>
  <c r="GU20" i="30" s="1"/>
  <c r="GV3" i="30" s="1"/>
  <c r="GU73" i="30"/>
  <c r="GU22" i="30" s="1"/>
  <c r="GV5" i="30" s="1"/>
  <c r="GU82" i="30"/>
  <c r="GU31" i="30" s="1"/>
  <c r="GV14" i="30" s="1"/>
  <c r="GU78" i="30"/>
  <c r="GU27" i="30" s="1"/>
  <c r="GV10" i="30" s="1"/>
  <c r="GU75" i="30"/>
  <c r="GU24" i="30" s="1"/>
  <c r="GV7" i="30" s="1"/>
  <c r="GU86" i="30"/>
  <c r="GU35" i="30" s="1"/>
  <c r="GV18" i="30" s="1"/>
  <c r="GV103" i="30" l="1"/>
  <c r="GV97" i="30"/>
  <c r="GV90" i="30"/>
  <c r="GV92" i="30"/>
  <c r="GV88" i="30"/>
  <c r="GV95" i="30"/>
  <c r="GV98" i="30"/>
  <c r="GV78" i="30"/>
  <c r="GV27" i="30" s="1"/>
  <c r="GW10" i="30" s="1"/>
  <c r="GV99" i="30"/>
  <c r="GV72" i="30" s="1"/>
  <c r="GV21" i="30" s="1"/>
  <c r="GW4" i="30" s="1"/>
  <c r="GV91" i="30"/>
  <c r="GV71" i="30" l="1"/>
  <c r="GV20" i="30" s="1"/>
  <c r="GW3" i="30" s="1"/>
  <c r="GW88" i="30" s="1"/>
  <c r="GV86" i="30"/>
  <c r="GV35" i="30" s="1"/>
  <c r="GW18" i="30" s="1"/>
  <c r="GW103" i="30" s="1"/>
  <c r="GW95" i="30"/>
  <c r="GW89" i="30"/>
  <c r="GV82" i="30"/>
  <c r="GV31" i="30" s="1"/>
  <c r="GW14" i="30" s="1"/>
  <c r="GV75" i="30"/>
  <c r="GV24" i="30" s="1"/>
  <c r="GW7" i="30" s="1"/>
  <c r="GV80" i="30"/>
  <c r="GV29" i="30" s="1"/>
  <c r="GW12" i="30" s="1"/>
  <c r="GV73" i="30"/>
  <c r="GV22" i="30" s="1"/>
  <c r="GW5" i="30" s="1"/>
  <c r="GV74" i="30"/>
  <c r="GV23" i="30" s="1"/>
  <c r="GW6" i="30" s="1"/>
  <c r="GV81" i="30"/>
  <c r="GV30" i="30" s="1"/>
  <c r="GW13" i="30" s="1"/>
  <c r="GW90" i="30" l="1"/>
  <c r="GW80" i="30" s="1"/>
  <c r="GW29" i="30" s="1"/>
  <c r="GX12" i="30" s="1"/>
  <c r="GW97" i="30"/>
  <c r="GW78" i="30"/>
  <c r="GW27" i="30" s="1"/>
  <c r="GX10" i="30" s="1"/>
  <c r="GW98" i="30"/>
  <c r="GW92" i="30"/>
  <c r="GW91" i="30"/>
  <c r="GW99" i="30"/>
  <c r="GW72" i="30" s="1"/>
  <c r="GW21" i="30" s="1"/>
  <c r="GX4" i="30" s="1"/>
  <c r="GW75" i="30" l="1"/>
  <c r="GW24" i="30" s="1"/>
  <c r="GX7" i="30" s="1"/>
  <c r="GX92" i="30" s="1"/>
  <c r="GW73" i="30"/>
  <c r="GW22" i="30" s="1"/>
  <c r="GX5" i="30" s="1"/>
  <c r="GX90" i="30" s="1"/>
  <c r="GX97" i="30"/>
  <c r="GW71" i="30"/>
  <c r="GW20" i="30" s="1"/>
  <c r="GX3" i="30" s="1"/>
  <c r="GX89" i="30"/>
  <c r="GW86" i="30"/>
  <c r="GW35" i="30" s="1"/>
  <c r="GX18" i="30" s="1"/>
  <c r="GW82" i="30"/>
  <c r="GW31" i="30" s="1"/>
  <c r="GX14" i="30" s="1"/>
  <c r="GX95" i="30"/>
  <c r="GW74" i="30"/>
  <c r="GW23" i="30" s="1"/>
  <c r="GX6" i="30" s="1"/>
  <c r="GW81" i="30"/>
  <c r="GW30" i="30" s="1"/>
  <c r="GX13" i="30" s="1"/>
  <c r="GX99" i="30" l="1"/>
  <c r="GX72" i="30" s="1"/>
  <c r="GX21" i="30" s="1"/>
  <c r="GY4" i="30" s="1"/>
  <c r="GX78" i="30"/>
  <c r="GX27" i="30" s="1"/>
  <c r="GY10" i="30" s="1"/>
  <c r="GX81" i="30"/>
  <c r="GX30" i="30" s="1"/>
  <c r="GY13" i="30" s="1"/>
  <c r="GX98" i="30"/>
  <c r="GX71" i="30" s="1"/>
  <c r="GX20" i="30" s="1"/>
  <c r="GY3" i="30" s="1"/>
  <c r="GX88" i="30"/>
  <c r="GX91" i="30"/>
  <c r="GX103" i="30"/>
  <c r="GX86" i="30" l="1"/>
  <c r="GX35" i="30" s="1"/>
  <c r="GY18" i="30" s="1"/>
  <c r="GY103" i="30" s="1"/>
  <c r="GX74" i="30"/>
  <c r="GX23" i="30" s="1"/>
  <c r="GY6" i="30" s="1"/>
  <c r="GY91" i="30" s="1"/>
  <c r="GY98" i="30"/>
  <c r="GY88" i="30"/>
  <c r="GX75" i="30"/>
  <c r="GX24" i="30" s="1"/>
  <c r="GY7" i="30" s="1"/>
  <c r="GX80" i="30"/>
  <c r="GX29" i="30" s="1"/>
  <c r="GY12" i="30" s="1"/>
  <c r="GX73" i="30"/>
  <c r="GX22" i="30" s="1"/>
  <c r="GY5" i="30" s="1"/>
  <c r="GY95" i="30"/>
  <c r="GX82" i="30"/>
  <c r="GX31" i="30" s="1"/>
  <c r="GY14" i="30" s="1"/>
  <c r="GY89" i="30"/>
  <c r="GY99" i="30" l="1"/>
  <c r="GY72" i="30" s="1"/>
  <c r="GY21" i="30" s="1"/>
  <c r="GZ4" i="30" s="1"/>
  <c r="GY90" i="30"/>
  <c r="GY78" i="30"/>
  <c r="GY27" i="30" s="1"/>
  <c r="GZ10" i="30" s="1"/>
  <c r="GY82" i="30"/>
  <c r="GY31" i="30" s="1"/>
  <c r="GZ14" i="30" s="1"/>
  <c r="GY97" i="30"/>
  <c r="GY92" i="30"/>
  <c r="GY71" i="30" l="1"/>
  <c r="GY20" i="30" s="1"/>
  <c r="GZ3" i="30" s="1"/>
  <c r="GZ88" i="30" s="1"/>
  <c r="GY86" i="30"/>
  <c r="GY35" i="30" s="1"/>
  <c r="GZ18" i="30" s="1"/>
  <c r="GZ103" i="30" s="1"/>
  <c r="GZ99" i="30"/>
  <c r="GZ72" i="30" s="1"/>
  <c r="GZ21" i="30" s="1"/>
  <c r="HA4" i="30" s="1"/>
  <c r="GZ95" i="30"/>
  <c r="GY74" i="30"/>
  <c r="GY23" i="30" s="1"/>
  <c r="GZ6" i="30" s="1"/>
  <c r="GY81" i="30"/>
  <c r="GY30" i="30" s="1"/>
  <c r="GZ13" i="30" s="1"/>
  <c r="GY73" i="30"/>
  <c r="GY22" i="30" s="1"/>
  <c r="GZ5" i="30" s="1"/>
  <c r="GY75" i="30"/>
  <c r="GY24" i="30" s="1"/>
  <c r="GZ7" i="30" s="1"/>
  <c r="GY80" i="30"/>
  <c r="GY29" i="30" s="1"/>
  <c r="GZ12" i="30" s="1"/>
  <c r="GZ89" i="30"/>
  <c r="GZ90" i="30" l="1"/>
  <c r="GZ80" i="30" s="1"/>
  <c r="GZ29" i="30" s="1"/>
  <c r="HA12" i="30" s="1"/>
  <c r="GZ92" i="30"/>
  <c r="HA89" i="30"/>
  <c r="GZ78" i="30"/>
  <c r="GZ27" i="30" s="1"/>
  <c r="HA10" i="30" s="1"/>
  <c r="GZ98" i="30"/>
  <c r="GZ73" i="30" s="1"/>
  <c r="GZ22" i="30" s="1"/>
  <c r="HA5" i="30" s="1"/>
  <c r="GZ97" i="30"/>
  <c r="GZ91" i="30"/>
  <c r="GZ86" i="30" l="1"/>
  <c r="GZ35" i="30" s="1"/>
  <c r="HA18" i="30" s="1"/>
  <c r="HA103" i="30" s="1"/>
  <c r="HA97" i="30"/>
  <c r="HA90" i="30"/>
  <c r="GZ71" i="30"/>
  <c r="GZ20" i="30" s="1"/>
  <c r="HA3" i="30" s="1"/>
  <c r="HA95" i="30"/>
  <c r="GZ75" i="30"/>
  <c r="GZ24" i="30" s="1"/>
  <c r="HA7" i="30" s="1"/>
  <c r="HA78" i="30"/>
  <c r="HA27" i="30" s="1"/>
  <c r="HB10" i="30" s="1"/>
  <c r="AB210" i="30" s="1"/>
  <c r="GZ74" i="30"/>
  <c r="GZ23" i="30" s="1"/>
  <c r="HA6" i="30" s="1"/>
  <c r="GZ81" i="30"/>
  <c r="GZ30" i="30" s="1"/>
  <c r="HA13" i="30" s="1"/>
  <c r="GZ82" i="30"/>
  <c r="GZ31" i="30" s="1"/>
  <c r="HA14" i="30" s="1"/>
  <c r="HB95" i="30" l="1"/>
  <c r="HA98" i="30"/>
  <c r="HA88" i="30"/>
  <c r="HA91" i="30"/>
  <c r="HA92" i="30"/>
  <c r="HA81" i="30"/>
  <c r="HA30" i="30" s="1"/>
  <c r="HB13" i="30" s="1"/>
  <c r="AB225" i="30" s="1"/>
  <c r="HA99" i="30"/>
  <c r="HA72" i="30" s="1"/>
  <c r="HA21" i="30" s="1"/>
  <c r="HB4" i="30" s="1"/>
  <c r="AB180" i="30" s="1"/>
  <c r="HA74" i="30" l="1"/>
  <c r="HA23" i="30" s="1"/>
  <c r="HB6" i="30" s="1"/>
  <c r="AB190" i="30" s="1"/>
  <c r="HA73" i="30"/>
  <c r="HA22" i="30" s="1"/>
  <c r="HB5" i="30" s="1"/>
  <c r="AB185" i="30" s="1"/>
  <c r="HB98" i="30"/>
  <c r="HA75" i="30"/>
  <c r="HA24" i="30" s="1"/>
  <c r="HB7" i="30" s="1"/>
  <c r="AB195" i="30" s="1"/>
  <c r="HA80" i="30"/>
  <c r="HA29" i="30" s="1"/>
  <c r="HB12" i="30" s="1"/>
  <c r="AB220" i="30" s="1"/>
  <c r="HA86" i="30"/>
  <c r="HA35" i="30" s="1"/>
  <c r="HB18" i="30" s="1"/>
  <c r="AB250" i="30" s="1"/>
  <c r="HA82" i="30"/>
  <c r="HA31" i="30" s="1"/>
  <c r="HB14" i="30" s="1"/>
  <c r="AB230" i="30" s="1"/>
  <c r="HB89" i="30"/>
  <c r="HA71" i="30"/>
  <c r="HA20" i="30" s="1"/>
  <c r="HB3" i="30" s="1"/>
  <c r="AB175" i="30" s="1"/>
  <c r="HB90" i="30" l="1"/>
  <c r="HB81" i="30" s="1"/>
  <c r="HB30" i="30" s="1"/>
  <c r="HC13" i="30" s="1"/>
  <c r="HB91" i="30"/>
  <c r="HB82" i="30" s="1"/>
  <c r="HB31" i="30" s="1"/>
  <c r="HC14" i="30" s="1"/>
  <c r="HB103" i="30"/>
  <c r="HB97" i="30"/>
  <c r="HB78" i="30"/>
  <c r="HB27" i="30" s="1"/>
  <c r="HC10" i="30" s="1"/>
  <c r="HB92" i="30"/>
  <c r="HB88" i="30"/>
  <c r="HB99" i="30"/>
  <c r="HB72" i="30" s="1"/>
  <c r="HB21" i="30" s="1"/>
  <c r="HC4" i="30" s="1"/>
  <c r="HB71" i="30" l="1"/>
  <c r="HB20" i="30" s="1"/>
  <c r="HC3" i="30" s="1"/>
  <c r="HC88" i="30" s="1"/>
  <c r="HB86" i="30"/>
  <c r="HB35" i="30" s="1"/>
  <c r="HC18" i="30" s="1"/>
  <c r="HC103" i="30" s="1"/>
  <c r="HC99" i="30"/>
  <c r="HC72" i="30" s="1"/>
  <c r="HC21" i="30" s="1"/>
  <c r="HD4" i="30" s="1"/>
  <c r="HC95" i="30"/>
  <c r="HB74" i="30"/>
  <c r="HB23" i="30" s="1"/>
  <c r="HC6" i="30" s="1"/>
  <c r="HC89" i="30"/>
  <c r="HC98" i="30"/>
  <c r="HB75" i="30"/>
  <c r="HB24" i="30" s="1"/>
  <c r="HC7" i="30" s="1"/>
  <c r="HB80" i="30"/>
  <c r="HB29" i="30" s="1"/>
  <c r="HC12" i="30" s="1"/>
  <c r="HB73" i="30"/>
  <c r="HB22" i="30" s="1"/>
  <c r="HC5" i="30" s="1"/>
  <c r="HD89" i="30" l="1"/>
  <c r="HC97" i="30"/>
  <c r="HC90" i="30"/>
  <c r="HC80" i="30" s="1"/>
  <c r="HC29" i="30" s="1"/>
  <c r="HD12" i="30" s="1"/>
  <c r="HC92" i="30"/>
  <c r="HC73" i="30"/>
  <c r="HC22" i="30" s="1"/>
  <c r="HD5" i="30" s="1"/>
  <c r="HC78" i="30"/>
  <c r="HC27" i="30" s="1"/>
  <c r="HD10" i="30" s="1"/>
  <c r="HC91" i="30"/>
  <c r="HC71" i="30" l="1"/>
  <c r="HC20" i="30" s="1"/>
  <c r="HD3" i="30" s="1"/>
  <c r="HD88" i="30" s="1"/>
  <c r="HC75" i="30"/>
  <c r="HC24" i="30" s="1"/>
  <c r="HD7" i="30" s="1"/>
  <c r="HD92" i="30" s="1"/>
  <c r="HD97" i="30"/>
  <c r="HD90" i="30"/>
  <c r="HC86" i="30"/>
  <c r="HC35" i="30" s="1"/>
  <c r="HD18" i="30" s="1"/>
  <c r="HC82" i="30"/>
  <c r="HC31" i="30" s="1"/>
  <c r="HD14" i="30" s="1"/>
  <c r="HD95" i="30"/>
  <c r="HC74" i="30"/>
  <c r="HC23" i="30" s="1"/>
  <c r="HD6" i="30" s="1"/>
  <c r="HC81" i="30"/>
  <c r="HC30" i="30" s="1"/>
  <c r="HD13" i="30" s="1"/>
  <c r="HD78" i="30"/>
  <c r="HD27" i="30" s="1"/>
  <c r="HE10" i="30" s="1"/>
  <c r="HE95" i="30" l="1"/>
  <c r="HD98" i="30"/>
  <c r="HD99" i="30"/>
  <c r="HD72" i="30" s="1"/>
  <c r="HD21" i="30" s="1"/>
  <c r="HE4" i="30" s="1"/>
  <c r="HD91" i="30"/>
  <c r="HD75" i="30" s="1"/>
  <c r="HD24" i="30" s="1"/>
  <c r="HE7" i="30" s="1"/>
  <c r="HD103" i="30"/>
  <c r="HD80" i="30" s="1"/>
  <c r="HD29" i="30" s="1"/>
  <c r="HE12" i="30" s="1"/>
  <c r="HD81" i="30"/>
  <c r="HD30" i="30" s="1"/>
  <c r="HE13" i="30" s="1"/>
  <c r="HE92" i="30" l="1"/>
  <c r="HE98" i="30"/>
  <c r="HE97" i="30"/>
  <c r="HD71" i="30"/>
  <c r="HD20" i="30" s="1"/>
  <c r="HE3" i="30" s="1"/>
  <c r="HD73" i="30"/>
  <c r="HD22" i="30" s="1"/>
  <c r="HE5" i="30" s="1"/>
  <c r="HE89" i="30"/>
  <c r="HD74" i="30"/>
  <c r="HD23" i="30" s="1"/>
  <c r="HE6" i="30" s="1"/>
  <c r="HD86" i="30"/>
  <c r="HD35" i="30" s="1"/>
  <c r="HE18" i="30" s="1"/>
  <c r="HD82" i="30"/>
  <c r="HD31" i="30" s="1"/>
  <c r="HE14" i="30" s="1"/>
  <c r="HE90" i="30" l="1"/>
  <c r="HE88" i="30"/>
  <c r="HE91" i="30"/>
  <c r="HE86" i="30" s="1"/>
  <c r="HE35" i="30" s="1"/>
  <c r="HF18" i="30" s="1"/>
  <c r="HE78" i="30"/>
  <c r="HE27" i="30" s="1"/>
  <c r="HF10" i="30" s="1"/>
  <c r="HE103" i="30"/>
  <c r="HE99" i="30"/>
  <c r="HE72" i="30" s="1"/>
  <c r="HE21" i="30" s="1"/>
  <c r="HF4" i="30" s="1"/>
  <c r="HE82" i="30" l="1"/>
  <c r="HE31" i="30" s="1"/>
  <c r="HF14" i="30" s="1"/>
  <c r="HF99" i="30" s="1"/>
  <c r="HF72" i="30" s="1"/>
  <c r="HF21" i="30" s="1"/>
  <c r="HG4" i="30" s="1"/>
  <c r="HE73" i="30"/>
  <c r="HE22" i="30" s="1"/>
  <c r="HF5" i="30" s="1"/>
  <c r="HF90" i="30" s="1"/>
  <c r="HE80" i="30"/>
  <c r="HE29" i="30" s="1"/>
  <c r="HF12" i="30" s="1"/>
  <c r="HE75" i="30"/>
  <c r="HE24" i="30" s="1"/>
  <c r="HF7" i="30" s="1"/>
  <c r="HF103" i="30"/>
  <c r="HE81" i="30"/>
  <c r="HE30" i="30" s="1"/>
  <c r="HF13" i="30" s="1"/>
  <c r="HE74" i="30"/>
  <c r="HE23" i="30" s="1"/>
  <c r="HF6" i="30" s="1"/>
  <c r="HF95" i="30"/>
  <c r="HF89" i="30"/>
  <c r="HE71" i="30"/>
  <c r="HE20" i="30" s="1"/>
  <c r="HF3" i="30" s="1"/>
  <c r="HG89" i="30" l="1"/>
  <c r="HF98" i="30"/>
  <c r="HF73" i="30" s="1"/>
  <c r="HF22" i="30" s="1"/>
  <c r="HG5" i="30" s="1"/>
  <c r="HF92" i="30"/>
  <c r="HF74" i="30" s="1"/>
  <c r="HF23" i="30" s="1"/>
  <c r="HG6" i="30" s="1"/>
  <c r="HF97" i="30"/>
  <c r="HF81" i="30"/>
  <c r="HF30" i="30" s="1"/>
  <c r="HG13" i="30" s="1"/>
  <c r="HF91" i="30"/>
  <c r="HF88" i="30"/>
  <c r="HF78" i="30"/>
  <c r="HF27" i="30" s="1"/>
  <c r="HG10" i="30" s="1"/>
  <c r="HF82" i="30" l="1"/>
  <c r="HF31" i="30" s="1"/>
  <c r="HG14" i="30" s="1"/>
  <c r="HG99" i="30" s="1"/>
  <c r="HG72" i="30" s="1"/>
  <c r="HG21" i="30" s="1"/>
  <c r="HH4" i="30" s="1"/>
  <c r="HF71" i="30"/>
  <c r="HF20" i="30" s="1"/>
  <c r="HG3" i="30" s="1"/>
  <c r="HG88" i="30" s="1"/>
  <c r="HF86" i="30"/>
  <c r="HF35" i="30" s="1"/>
  <c r="HG18" i="30" s="1"/>
  <c r="HG103" i="30" s="1"/>
  <c r="HG98" i="30"/>
  <c r="HG91" i="30"/>
  <c r="HG95" i="30"/>
  <c r="HG90" i="30"/>
  <c r="HF75" i="30"/>
  <c r="HF24" i="30" s="1"/>
  <c r="HG7" i="30" s="1"/>
  <c r="HF80" i="30"/>
  <c r="HF29" i="30" s="1"/>
  <c r="HG12" i="30" s="1"/>
  <c r="HG78" i="30"/>
  <c r="HG27" i="30" s="1"/>
  <c r="HH10" i="30" s="1"/>
  <c r="HG82" i="30" l="1"/>
  <c r="HG31" i="30" s="1"/>
  <c r="HH14" i="30" s="1"/>
  <c r="HH99" i="30" s="1"/>
  <c r="HH72" i="30" s="1"/>
  <c r="HH21" i="30" s="1"/>
  <c r="HI4" i="30" s="1"/>
  <c r="HH89" i="30"/>
  <c r="HG92" i="30"/>
  <c r="HG74" i="30" s="1"/>
  <c r="HG23" i="30" s="1"/>
  <c r="HH6" i="30" s="1"/>
  <c r="HG97" i="30"/>
  <c r="HG71" i="30" s="1"/>
  <c r="HG20" i="30" s="1"/>
  <c r="HH3" i="30" s="1"/>
  <c r="HG75" i="30"/>
  <c r="HG24" i="30" s="1"/>
  <c r="HH7" i="30" s="1"/>
  <c r="HG80" i="30"/>
  <c r="HG29" i="30" s="1"/>
  <c r="HH12" i="30" s="1"/>
  <c r="HG81" i="30"/>
  <c r="HG30" i="30" s="1"/>
  <c r="HH13" i="30" s="1"/>
  <c r="HH95" i="30"/>
  <c r="HG73" i="30"/>
  <c r="HG22" i="30" s="1"/>
  <c r="HH5" i="30" s="1"/>
  <c r="HG86" i="30" l="1"/>
  <c r="HG35" i="30" s="1"/>
  <c r="HH18" i="30" s="1"/>
  <c r="HH103" i="30" s="1"/>
  <c r="HH97" i="30"/>
  <c r="HH92" i="30"/>
  <c r="HH91" i="30"/>
  <c r="HH90" i="30"/>
  <c r="HH98" i="30"/>
  <c r="HH73" i="30" s="1"/>
  <c r="HH22" i="30" s="1"/>
  <c r="HI5" i="30" s="1"/>
  <c r="HH78" i="30"/>
  <c r="HH27" i="30" s="1"/>
  <c r="HI10" i="30" s="1"/>
  <c r="HH88" i="30"/>
  <c r="HI89" i="30"/>
  <c r="HH82" i="30" l="1"/>
  <c r="HH31" i="30" s="1"/>
  <c r="HI14" i="30" s="1"/>
  <c r="HI99" i="30" s="1"/>
  <c r="HI72" i="30" s="1"/>
  <c r="HI21" i="30" s="1"/>
  <c r="HJ4" i="30" s="1"/>
  <c r="AC180" i="30" s="1"/>
  <c r="HH71" i="30"/>
  <c r="HH20" i="30" s="1"/>
  <c r="HI3" i="30" s="1"/>
  <c r="HI88" i="30" s="1"/>
  <c r="HI90" i="30"/>
  <c r="HH74" i="30"/>
  <c r="HH23" i="30" s="1"/>
  <c r="HI6" i="30" s="1"/>
  <c r="HH81" i="30"/>
  <c r="HH30" i="30" s="1"/>
  <c r="HI13" i="30" s="1"/>
  <c r="HI78" i="30"/>
  <c r="HI27" i="30" s="1"/>
  <c r="HJ10" i="30" s="1"/>
  <c r="AC210" i="30" s="1"/>
  <c r="HI95" i="30"/>
  <c r="HH75" i="30"/>
  <c r="HH24" i="30" s="1"/>
  <c r="HI7" i="30" s="1"/>
  <c r="HH80" i="30"/>
  <c r="HH29" i="30" s="1"/>
  <c r="HI12" i="30" s="1"/>
  <c r="HH86" i="30"/>
  <c r="HH35" i="30" s="1"/>
  <c r="HI18" i="30" s="1"/>
  <c r="HJ95" i="30" l="1"/>
  <c r="HI97" i="30"/>
  <c r="HJ89" i="30"/>
  <c r="HI92" i="30"/>
  <c r="HI74" i="30" s="1"/>
  <c r="HI23" i="30" s="1"/>
  <c r="HJ6" i="30" s="1"/>
  <c r="AC190" i="30" s="1"/>
  <c r="HI98" i="30"/>
  <c r="HI73" i="30" s="1"/>
  <c r="HI22" i="30" s="1"/>
  <c r="HJ5" i="30" s="1"/>
  <c r="AC185" i="30" s="1"/>
  <c r="HI103" i="30"/>
  <c r="HI80" i="30" s="1"/>
  <c r="HI29" i="30" s="1"/>
  <c r="HJ12" i="30" s="1"/>
  <c r="AC220" i="30" s="1"/>
  <c r="HI91" i="30"/>
  <c r="HI75" i="30" s="1"/>
  <c r="HI24" i="30" s="1"/>
  <c r="HJ7" i="30" s="1"/>
  <c r="AC195" i="30" s="1"/>
  <c r="HI81" i="30"/>
  <c r="HI30" i="30" s="1"/>
  <c r="HJ13" i="30" s="1"/>
  <c r="AC225" i="30" s="1"/>
  <c r="HJ98" i="30" l="1"/>
  <c r="HJ92" i="30"/>
  <c r="HJ91" i="30"/>
  <c r="HJ97" i="30"/>
  <c r="HJ90" i="30"/>
  <c r="HJ78" i="30"/>
  <c r="HJ27" i="30" s="1"/>
  <c r="HK10" i="30" s="1"/>
  <c r="HI86" i="30"/>
  <c r="HI35" i="30" s="1"/>
  <c r="HJ18" i="30" s="1"/>
  <c r="AC250" i="30" s="1"/>
  <c r="HI82" i="30"/>
  <c r="HI31" i="30" s="1"/>
  <c r="HJ14" i="30" s="1"/>
  <c r="AC230" i="30" s="1"/>
  <c r="HI71" i="30"/>
  <c r="HI20" i="30" s="1"/>
  <c r="HJ3" i="30" s="1"/>
  <c r="AC175" i="30" s="1"/>
  <c r="HJ82" i="30" l="1"/>
  <c r="HJ31" i="30" s="1"/>
  <c r="HK14" i="30" s="1"/>
  <c r="HJ71" i="30"/>
  <c r="HJ20" i="30" s="1"/>
  <c r="HK3" i="30" s="1"/>
  <c r="HK95" i="30"/>
  <c r="HJ103" i="30"/>
  <c r="HJ88" i="30"/>
  <c r="HJ99" i="30"/>
  <c r="HJ74" i="30" s="1"/>
  <c r="HJ23" i="30" s="1"/>
  <c r="HK6" i="30" s="1"/>
  <c r="HJ81" i="30"/>
  <c r="HJ30" i="30" s="1"/>
  <c r="HK13" i="30" s="1"/>
  <c r="HJ86" i="30"/>
  <c r="HJ35" i="30" s="1"/>
  <c r="HK18" i="30" s="1"/>
  <c r="HK103" i="30" l="1"/>
  <c r="HK88" i="30"/>
  <c r="HK99" i="30"/>
  <c r="HK72" i="30" s="1"/>
  <c r="HK91" i="30"/>
  <c r="HJ72" i="30"/>
  <c r="HJ21" i="30" s="1"/>
  <c r="HK4" i="30" s="1"/>
  <c r="HJ73" i="30"/>
  <c r="HJ22" i="30" s="1"/>
  <c r="HK5" i="30" s="1"/>
  <c r="HK98" i="30"/>
  <c r="HJ80" i="30"/>
  <c r="HJ29" i="30" s="1"/>
  <c r="HK12" i="30" s="1"/>
  <c r="HJ75" i="30"/>
  <c r="HJ24" i="30" s="1"/>
  <c r="HK7" i="30" s="1"/>
  <c r="HK92" i="30" l="1"/>
  <c r="HK90" i="30"/>
  <c r="HK97" i="30"/>
  <c r="HK89" i="30"/>
  <c r="HK21" i="30"/>
  <c r="HL4" i="30" s="1"/>
  <c r="HK75" i="30" l="1"/>
  <c r="HK24" i="30" s="1"/>
  <c r="HL7" i="30" s="1"/>
  <c r="HL92" i="30" s="1"/>
  <c r="HK86" i="30"/>
  <c r="HK35" i="30" s="1"/>
  <c r="HL18" i="30" s="1"/>
  <c r="HL103" i="30" s="1"/>
  <c r="HL89" i="30"/>
  <c r="HK73" i="30"/>
  <c r="HK22" i="30" s="1"/>
  <c r="HL5" i="30" s="1"/>
  <c r="HK82" i="30"/>
  <c r="HK31" i="30" s="1"/>
  <c r="HL14" i="30" s="1"/>
  <c r="HK78" i="30"/>
  <c r="HK27" i="30" s="1"/>
  <c r="HL10" i="30" s="1"/>
  <c r="HK71" i="30"/>
  <c r="HK20" i="30" s="1"/>
  <c r="HL3" i="30" s="1"/>
  <c r="HK74" i="30"/>
  <c r="HK23" i="30" s="1"/>
  <c r="HL6" i="30" s="1"/>
  <c r="HK81" i="30"/>
  <c r="HK30" i="30" s="1"/>
  <c r="HL13" i="30" s="1"/>
  <c r="HK80" i="30"/>
  <c r="HK29" i="30" s="1"/>
  <c r="HL12" i="30" s="1"/>
  <c r="HL98" i="30" l="1"/>
  <c r="HL91" i="30"/>
  <c r="HL90" i="30"/>
  <c r="HL88" i="30"/>
  <c r="HL78" i="30"/>
  <c r="HL27" i="30" s="1"/>
  <c r="HM10" i="30" s="1"/>
  <c r="HL99" i="30"/>
  <c r="HL72" i="30" s="1"/>
  <c r="HL21" i="30" s="1"/>
  <c r="HM4" i="30" s="1"/>
  <c r="HL97" i="30"/>
  <c r="HL95" i="30"/>
  <c r="HL73" i="30" l="1"/>
  <c r="HL22" i="30" s="1"/>
  <c r="HM5" i="30" s="1"/>
  <c r="HM90" i="30" s="1"/>
  <c r="HL71" i="30"/>
  <c r="HL20" i="30" s="1"/>
  <c r="HM3" i="30" s="1"/>
  <c r="HM88" i="30" s="1"/>
  <c r="HM95" i="30"/>
  <c r="HL86" i="30"/>
  <c r="HL35" i="30" s="1"/>
  <c r="HM18" i="30" s="1"/>
  <c r="HL75" i="30"/>
  <c r="HL24" i="30" s="1"/>
  <c r="HM7" i="30" s="1"/>
  <c r="HL80" i="30"/>
  <c r="HL29" i="30" s="1"/>
  <c r="HM12" i="30" s="1"/>
  <c r="HL82" i="30"/>
  <c r="HL31" i="30" s="1"/>
  <c r="HM14" i="30" s="1"/>
  <c r="HL81" i="30"/>
  <c r="HL30" i="30" s="1"/>
  <c r="HM13" i="30" s="1"/>
  <c r="HL74" i="30"/>
  <c r="HL23" i="30" s="1"/>
  <c r="HM6" i="30" s="1"/>
  <c r="HM89" i="30"/>
  <c r="HM91" i="30" l="1"/>
  <c r="HM75" i="30" s="1"/>
  <c r="HM24" i="30" s="1"/>
  <c r="HN7" i="30" s="1"/>
  <c r="HM98" i="30"/>
  <c r="HM99" i="30"/>
  <c r="HM72" i="30" s="1"/>
  <c r="HM21" i="30" s="1"/>
  <c r="HN4" i="30" s="1"/>
  <c r="HM92" i="30"/>
  <c r="HM103" i="30"/>
  <c r="HM80" i="30" s="1"/>
  <c r="HM29" i="30" s="1"/>
  <c r="HN12" i="30" s="1"/>
  <c r="HM81" i="30"/>
  <c r="HM30" i="30" s="1"/>
  <c r="HN13" i="30" s="1"/>
  <c r="HM78" i="30"/>
  <c r="HM27" i="30" s="1"/>
  <c r="HN10" i="30" s="1"/>
  <c r="HM97" i="30"/>
  <c r="HM82" i="30" l="1"/>
  <c r="HM31" i="30" s="1"/>
  <c r="HN14" i="30" s="1"/>
  <c r="HN99" i="30" s="1"/>
  <c r="HN72" i="30" s="1"/>
  <c r="HN21" i="30" s="1"/>
  <c r="HO4" i="30" s="1"/>
  <c r="HM74" i="30"/>
  <c r="HM23" i="30" s="1"/>
  <c r="HN6" i="30" s="1"/>
  <c r="HN91" i="30" s="1"/>
  <c r="HM71" i="30"/>
  <c r="HM20" i="30" s="1"/>
  <c r="HN3" i="30" s="1"/>
  <c r="HN88" i="30" s="1"/>
  <c r="HM73" i="30"/>
  <c r="HM22" i="30" s="1"/>
  <c r="HN5" i="30" s="1"/>
  <c r="HN90" i="30" s="1"/>
  <c r="HN98" i="30"/>
  <c r="HN97" i="30"/>
  <c r="HN92" i="30"/>
  <c r="HN95" i="30"/>
  <c r="HN89" i="30"/>
  <c r="HM86" i="30"/>
  <c r="HM35" i="30" s="1"/>
  <c r="HN18" i="30" s="1"/>
  <c r="HO89" i="30" l="1"/>
  <c r="HN75" i="30"/>
  <c r="HN24" i="30" s="1"/>
  <c r="HO7" i="30" s="1"/>
  <c r="HN103" i="30"/>
  <c r="HN80" i="30" s="1"/>
  <c r="HN29" i="30" s="1"/>
  <c r="HO12" i="30" s="1"/>
  <c r="HN73" i="30"/>
  <c r="HN22" i="30" s="1"/>
  <c r="HO5" i="30" s="1"/>
  <c r="HN78" i="30"/>
  <c r="HN27" i="30" s="1"/>
  <c r="HO10" i="30" s="1"/>
  <c r="HN82" i="30"/>
  <c r="HN31" i="30" s="1"/>
  <c r="HO14" i="30" s="1"/>
  <c r="HN71" i="30"/>
  <c r="HN20" i="30" s="1"/>
  <c r="HO3" i="30" s="1"/>
  <c r="HN86" i="30"/>
  <c r="HN35" i="30" s="1"/>
  <c r="HO18" i="30" s="1"/>
  <c r="HN81" i="30"/>
  <c r="HN30" i="30" s="1"/>
  <c r="HO13" i="30" s="1"/>
  <c r="HN74" i="30"/>
  <c r="HN23" i="30" s="1"/>
  <c r="HO6" i="30" s="1"/>
  <c r="HO103" i="30" l="1"/>
  <c r="HO95" i="30"/>
  <c r="HO90" i="30"/>
  <c r="HO92" i="30"/>
  <c r="HO97" i="30"/>
  <c r="HO88" i="30"/>
  <c r="HO78" i="30"/>
  <c r="HO27" i="30" s="1"/>
  <c r="HP10" i="30" s="1"/>
  <c r="HO98" i="30"/>
  <c r="HO91" i="30"/>
  <c r="HO99" i="30"/>
  <c r="HO72" i="30" s="1"/>
  <c r="HO21" i="30" s="1"/>
  <c r="HP4" i="30" s="1"/>
  <c r="HO71" i="30" l="1"/>
  <c r="HO20" i="30" s="1"/>
  <c r="HP3" i="30" s="1"/>
  <c r="HP88" i="30" s="1"/>
  <c r="HO86" i="30"/>
  <c r="HO35" i="30" s="1"/>
  <c r="HP18" i="30" s="1"/>
  <c r="HP103" i="30" s="1"/>
  <c r="HO73" i="30"/>
  <c r="HO22" i="30" s="1"/>
  <c r="HP5" i="30" s="1"/>
  <c r="HP90" i="30" s="1"/>
  <c r="HP95" i="30"/>
  <c r="HO75" i="30"/>
  <c r="HO24" i="30" s="1"/>
  <c r="HP7" i="30" s="1"/>
  <c r="HO80" i="30"/>
  <c r="HO29" i="30" s="1"/>
  <c r="HP12" i="30" s="1"/>
  <c r="HO82" i="30"/>
  <c r="HO31" i="30" s="1"/>
  <c r="HP14" i="30" s="1"/>
  <c r="HP89" i="30"/>
  <c r="HO74" i="30"/>
  <c r="HO23" i="30" s="1"/>
  <c r="HP6" i="30" s="1"/>
  <c r="HO81" i="30"/>
  <c r="HO30" i="30" s="1"/>
  <c r="HP13" i="30" s="1"/>
  <c r="HP99" i="30" l="1"/>
  <c r="HP72" i="30" s="1"/>
  <c r="HP21" i="30" s="1"/>
  <c r="HQ4" i="30" s="1"/>
  <c r="HP80" i="30"/>
  <c r="HP29" i="30" s="1"/>
  <c r="HQ12" i="30" s="1"/>
  <c r="HP78" i="30"/>
  <c r="HP27" i="30" s="1"/>
  <c r="HQ10" i="30" s="1"/>
  <c r="HP81" i="30"/>
  <c r="HP30" i="30" s="1"/>
  <c r="HQ13" i="30" s="1"/>
  <c r="HP97" i="30"/>
  <c r="HP98" i="30"/>
  <c r="HP91" i="30"/>
  <c r="HP75" i="30" s="1"/>
  <c r="HP24" i="30" s="1"/>
  <c r="HQ7" i="30" s="1"/>
  <c r="HP92" i="30"/>
  <c r="HP73" i="30" l="1"/>
  <c r="HP22" i="30" s="1"/>
  <c r="HQ5" i="30" s="1"/>
  <c r="HQ90" i="30" s="1"/>
  <c r="HP74" i="30"/>
  <c r="HP23" i="30" s="1"/>
  <c r="HQ6" i="30" s="1"/>
  <c r="HQ91" i="30" s="1"/>
  <c r="HP71" i="30"/>
  <c r="HP20" i="30" s="1"/>
  <c r="HQ3" i="30" s="1"/>
  <c r="HQ88" i="30" s="1"/>
  <c r="HQ92" i="30"/>
  <c r="HQ98" i="30"/>
  <c r="HQ97" i="30"/>
  <c r="HP86" i="30"/>
  <c r="HP35" i="30" s="1"/>
  <c r="HQ18" i="30" s="1"/>
  <c r="HP82" i="30"/>
  <c r="HP31" i="30" s="1"/>
  <c r="HQ14" i="30" s="1"/>
  <c r="HQ95" i="30"/>
  <c r="HQ89" i="30"/>
  <c r="HQ99" i="30" l="1"/>
  <c r="HQ72" i="30" s="1"/>
  <c r="HQ21" i="30" s="1"/>
  <c r="HR4" i="30" s="1"/>
  <c r="AD180" i="30" s="1"/>
  <c r="HQ86" i="30"/>
  <c r="HQ35" i="30" s="1"/>
  <c r="HR18" i="30" s="1"/>
  <c r="AD250" i="30" s="1"/>
  <c r="HQ75" i="30"/>
  <c r="HQ24" i="30" s="1"/>
  <c r="HR7" i="30" s="1"/>
  <c r="AD195" i="30" s="1"/>
  <c r="HQ103" i="30"/>
  <c r="HQ80" i="30" s="1"/>
  <c r="HQ29" i="30" s="1"/>
  <c r="HR12" i="30" s="1"/>
  <c r="AD220" i="30" s="1"/>
  <c r="HQ71" i="30"/>
  <c r="HQ20" i="30" s="1"/>
  <c r="HR3" i="30" s="1"/>
  <c r="AD175" i="30" s="1"/>
  <c r="HQ78" i="30"/>
  <c r="HQ27" i="30" s="1"/>
  <c r="HR10" i="30" s="1"/>
  <c r="AD210" i="30" s="1"/>
  <c r="HQ82" i="30"/>
  <c r="HQ31" i="30" s="1"/>
  <c r="HR14" i="30" s="1"/>
  <c r="AD230" i="30" s="1"/>
  <c r="HQ81" i="30"/>
  <c r="HQ30" i="30" s="1"/>
  <c r="HR13" i="30" s="1"/>
  <c r="AD225" i="30" s="1"/>
  <c r="HQ74" i="30" l="1"/>
  <c r="HQ23" i="30" s="1"/>
  <c r="HR6" i="30" s="1"/>
  <c r="AD190" i="30" s="1"/>
  <c r="HQ73" i="30"/>
  <c r="HQ22" i="30" s="1"/>
  <c r="HR5" i="30" s="1"/>
  <c r="AD185" i="30" s="1"/>
  <c r="HR99" i="30"/>
  <c r="HR72" i="30" s="1"/>
  <c r="HR21" i="30" s="1"/>
  <c r="HS4" i="30" s="1"/>
  <c r="HR97" i="30"/>
  <c r="HR103" i="30"/>
  <c r="HR98" i="30"/>
  <c r="HR92" i="30"/>
  <c r="HR88" i="30"/>
  <c r="HR95" i="30"/>
  <c r="HR89" i="30"/>
  <c r="HR91" i="30" l="1"/>
  <c r="HR82" i="30" s="1"/>
  <c r="HR31" i="30" s="1"/>
  <c r="HS14" i="30" s="1"/>
  <c r="HR90" i="30"/>
  <c r="HR74" i="30" s="1"/>
  <c r="HR23" i="30" s="1"/>
  <c r="HS6" i="30" s="1"/>
  <c r="HS89" i="30"/>
  <c r="HR73" i="30"/>
  <c r="HR22" i="30" s="1"/>
  <c r="HS5" i="30" s="1"/>
  <c r="HR78" i="30"/>
  <c r="HR27" i="30" s="1"/>
  <c r="HS10" i="30" s="1"/>
  <c r="HR86" i="30" l="1"/>
  <c r="HR35" i="30" s="1"/>
  <c r="HS18" i="30" s="1"/>
  <c r="HS103" i="30" s="1"/>
  <c r="HR71" i="30"/>
  <c r="HR20" i="30" s="1"/>
  <c r="HS3" i="30" s="1"/>
  <c r="HS88" i="30" s="1"/>
  <c r="HR81" i="30"/>
  <c r="HR30" i="30" s="1"/>
  <c r="HS13" i="30" s="1"/>
  <c r="HS98" i="30" s="1"/>
  <c r="HR80" i="30"/>
  <c r="HR29" i="30" s="1"/>
  <c r="HS12" i="30" s="1"/>
  <c r="HS97" i="30" s="1"/>
  <c r="HR75" i="30"/>
  <c r="HR24" i="30" s="1"/>
  <c r="HS7" i="30" s="1"/>
  <c r="HS92" i="30" s="1"/>
  <c r="HS95" i="30"/>
  <c r="HS91" i="30"/>
  <c r="HS90" i="30"/>
  <c r="HS99" i="30"/>
  <c r="HS72" i="30" s="1"/>
  <c r="HS21" i="30" s="1"/>
  <c r="HT4" i="30" s="1"/>
  <c r="HS78" i="30"/>
  <c r="HS27" i="30" s="1"/>
  <c r="HT10" i="30" s="1"/>
  <c r="HS82" i="30" l="1"/>
  <c r="HS31" i="30" s="1"/>
  <c r="HT14" i="30" s="1"/>
  <c r="HT99" i="30" s="1"/>
  <c r="HT72" i="30" s="1"/>
  <c r="HT21" i="30" s="1"/>
  <c r="HU4" i="30" s="1"/>
  <c r="HS73" i="30"/>
  <c r="HS22" i="30" s="1"/>
  <c r="HT5" i="30" s="1"/>
  <c r="HT90" i="30" s="1"/>
  <c r="HT95" i="30"/>
  <c r="HS74" i="30"/>
  <c r="HS23" i="30" s="1"/>
  <c r="HT6" i="30" s="1"/>
  <c r="HS81" i="30"/>
  <c r="HS30" i="30" s="1"/>
  <c r="HT13" i="30" s="1"/>
  <c r="HT89" i="30"/>
  <c r="HS86" i="30"/>
  <c r="HS35" i="30" s="1"/>
  <c r="HT18" i="30" s="1"/>
  <c r="HS71" i="30"/>
  <c r="HS20" i="30" s="1"/>
  <c r="HT3" i="30" s="1"/>
  <c r="HS80" i="30"/>
  <c r="HS29" i="30" s="1"/>
  <c r="HT12" i="30" s="1"/>
  <c r="HS75" i="30"/>
  <c r="HS24" i="30" s="1"/>
  <c r="HT7" i="30" s="1"/>
  <c r="HU89" i="30" l="1"/>
  <c r="HT98" i="30"/>
  <c r="HT91" i="30"/>
  <c r="HT92" i="30"/>
  <c r="HT74" i="30" s="1"/>
  <c r="HT23" i="30" s="1"/>
  <c r="HU6" i="30" s="1"/>
  <c r="HT88" i="30"/>
  <c r="HT103" i="30"/>
  <c r="HT97" i="30"/>
  <c r="HT78" i="30"/>
  <c r="HT27" i="30" s="1"/>
  <c r="HU10" i="30" s="1"/>
  <c r="HT81" i="30"/>
  <c r="HT30" i="30" s="1"/>
  <c r="HU13" i="30" s="1"/>
  <c r="HT71" i="30" l="1"/>
  <c r="HT20" i="30" s="1"/>
  <c r="HU3" i="30" s="1"/>
  <c r="HU88" i="30" s="1"/>
  <c r="HT82" i="30"/>
  <c r="HT31" i="30" s="1"/>
  <c r="HU14" i="30" s="1"/>
  <c r="HU99" i="30" s="1"/>
  <c r="HU72" i="30" s="1"/>
  <c r="HU21" i="30" s="1"/>
  <c r="HV4" i="30" s="1"/>
  <c r="HT73" i="30"/>
  <c r="HT22" i="30" s="1"/>
  <c r="HU5" i="30" s="1"/>
  <c r="HU90" i="30" s="1"/>
  <c r="HU91" i="30"/>
  <c r="HU98" i="30"/>
  <c r="HU78" i="30"/>
  <c r="HU27" i="30" s="1"/>
  <c r="HV10" i="30" s="1"/>
  <c r="HU95" i="30"/>
  <c r="HT75" i="30"/>
  <c r="HT24" i="30" s="1"/>
  <c r="HU7" i="30" s="1"/>
  <c r="HT80" i="30"/>
  <c r="HT29" i="30" s="1"/>
  <c r="HU12" i="30" s="1"/>
  <c r="HT86" i="30"/>
  <c r="HT35" i="30" s="1"/>
  <c r="HU18" i="30" s="1"/>
  <c r="HU82" i="30" l="1"/>
  <c r="HU31" i="30" s="1"/>
  <c r="HV14" i="30" s="1"/>
  <c r="HV99" i="30" s="1"/>
  <c r="HV72" i="30" s="1"/>
  <c r="HV21" i="30" s="1"/>
  <c r="HW4" i="30" s="1"/>
  <c r="HU73" i="30"/>
  <c r="HU22" i="30" s="1"/>
  <c r="HV5" i="30" s="1"/>
  <c r="HV90" i="30" s="1"/>
  <c r="HV95" i="30"/>
  <c r="HV89" i="30"/>
  <c r="HU97" i="30"/>
  <c r="HU71" i="30" s="1"/>
  <c r="HU20" i="30" s="1"/>
  <c r="HV3" i="30" s="1"/>
  <c r="HU81" i="30"/>
  <c r="HU30" i="30" s="1"/>
  <c r="HV13" i="30" s="1"/>
  <c r="HU75" i="30"/>
  <c r="HU24" i="30" s="1"/>
  <c r="HV7" i="30" s="1"/>
  <c r="HU103" i="30"/>
  <c r="HU80" i="30" s="1"/>
  <c r="HU29" i="30" s="1"/>
  <c r="HV12" i="30" s="1"/>
  <c r="HU92" i="30"/>
  <c r="HU86" i="30" l="1"/>
  <c r="HU35" i="30" s="1"/>
  <c r="HV18" i="30" s="1"/>
  <c r="HV103" i="30" s="1"/>
  <c r="HU74" i="30"/>
  <c r="HU23" i="30" s="1"/>
  <c r="HV6" i="30" s="1"/>
  <c r="HV91" i="30" s="1"/>
  <c r="HW89" i="30"/>
  <c r="HV97" i="30"/>
  <c r="HV98" i="30"/>
  <c r="HV73" i="30" s="1"/>
  <c r="HV22" i="30" s="1"/>
  <c r="HW5" i="30" s="1"/>
  <c r="HV88" i="30"/>
  <c r="HV81" i="30"/>
  <c r="HV30" i="30" s="1"/>
  <c r="HW13" i="30" s="1"/>
  <c r="HV78" i="30"/>
  <c r="HV27" i="30" s="1"/>
  <c r="HW10" i="30" s="1"/>
  <c r="HV92" i="30"/>
  <c r="HV74" i="30" s="1"/>
  <c r="HV82" i="30" l="1"/>
  <c r="HV31" i="30" s="1"/>
  <c r="HW14" i="30" s="1"/>
  <c r="HW99" i="30" s="1"/>
  <c r="HW72" i="30" s="1"/>
  <c r="HW21" i="30" s="1"/>
  <c r="HX4" i="30" s="1"/>
  <c r="HV71" i="30"/>
  <c r="HV20" i="30" s="1"/>
  <c r="HW3" i="30" s="1"/>
  <c r="HW88" i="30" s="1"/>
  <c r="HV23" i="30"/>
  <c r="HW6" i="30" s="1"/>
  <c r="HW91" i="30" s="1"/>
  <c r="HW98" i="30"/>
  <c r="HV80" i="30"/>
  <c r="HV29" i="30" s="1"/>
  <c r="HW12" i="30" s="1"/>
  <c r="HV75" i="30"/>
  <c r="HV24" i="30" s="1"/>
  <c r="HW7" i="30" s="1"/>
  <c r="HV86" i="30"/>
  <c r="HV35" i="30" s="1"/>
  <c r="HW18" i="30" s="1"/>
  <c r="HW78" i="30"/>
  <c r="HW27" i="30" s="1"/>
  <c r="HX10" i="30" s="1"/>
  <c r="HW95" i="30"/>
  <c r="HW90" i="30"/>
  <c r="HX89" i="30" l="1"/>
  <c r="HW97" i="30"/>
  <c r="HW71" i="30" s="1"/>
  <c r="HW20" i="30" s="1"/>
  <c r="HX3" i="30" s="1"/>
  <c r="HW92" i="30"/>
  <c r="HW74" i="30" s="1"/>
  <c r="HW23" i="30" s="1"/>
  <c r="HX6" i="30" s="1"/>
  <c r="HW81" i="30"/>
  <c r="HW30" i="30" s="1"/>
  <c r="HX13" i="30" s="1"/>
  <c r="HW73" i="30"/>
  <c r="HW22" i="30" s="1"/>
  <c r="HX5" i="30" s="1"/>
  <c r="HX95" i="30"/>
  <c r="HW82" i="30"/>
  <c r="HW31" i="30" s="1"/>
  <c r="HX14" i="30" s="1"/>
  <c r="HW103" i="30"/>
  <c r="HW80" i="30" s="1"/>
  <c r="HW29" i="30" s="1"/>
  <c r="HX12" i="30" s="1"/>
  <c r="HW75" i="30"/>
  <c r="HW24" i="30" s="1"/>
  <c r="HX7" i="30" s="1"/>
  <c r="HX91" i="30" l="1"/>
  <c r="HX92" i="30"/>
  <c r="HX97" i="30"/>
  <c r="HX88" i="30"/>
  <c r="HW86" i="30"/>
  <c r="HW35" i="30" s="1"/>
  <c r="HX18" i="30" s="1"/>
  <c r="HX98" i="30"/>
  <c r="HX90" i="30"/>
  <c r="HX78" i="30"/>
  <c r="HX27" i="30" s="1"/>
  <c r="HY10" i="30" s="1"/>
  <c r="HX99" i="30"/>
  <c r="HX72" i="30" s="1"/>
  <c r="HX21" i="30" s="1"/>
  <c r="HY4" i="30" s="1"/>
  <c r="HX82" i="30" l="1"/>
  <c r="HX31" i="30" s="1"/>
  <c r="HY14" i="30" s="1"/>
  <c r="HY99" i="30" s="1"/>
  <c r="HY72" i="30" s="1"/>
  <c r="HY21" i="30" s="1"/>
  <c r="HZ4" i="30" s="1"/>
  <c r="AE180" i="30" s="1"/>
  <c r="HX73" i="30"/>
  <c r="HX22" i="30" s="1"/>
  <c r="HY5" i="30" s="1"/>
  <c r="HY90" i="30" s="1"/>
  <c r="HX74" i="30"/>
  <c r="HX23" i="30" s="1"/>
  <c r="HY6" i="30" s="1"/>
  <c r="HX81" i="30"/>
  <c r="HX30" i="30" s="1"/>
  <c r="HY13" i="30" s="1"/>
  <c r="HX75" i="30"/>
  <c r="HX24" i="30" s="1"/>
  <c r="HY7" i="30" s="1"/>
  <c r="HX71" i="30"/>
  <c r="HX20" i="30" s="1"/>
  <c r="HY3" i="30" s="1"/>
  <c r="HY89" i="30"/>
  <c r="HY95" i="30"/>
  <c r="HX103" i="30"/>
  <c r="HX80" i="30" s="1"/>
  <c r="HX29" i="30" s="1"/>
  <c r="HY12" i="30" s="1"/>
  <c r="HX86" i="30"/>
  <c r="HX35" i="30" s="1"/>
  <c r="HY18" i="30" s="1"/>
  <c r="HY103" i="30" l="1"/>
  <c r="HY92" i="30"/>
  <c r="HY74" i="30" s="1"/>
  <c r="HY23" i="30" s="1"/>
  <c r="HZ6" i="30" s="1"/>
  <c r="AE190" i="30" s="1"/>
  <c r="HY97" i="30"/>
  <c r="HZ89" i="30"/>
  <c r="HY78" i="30"/>
  <c r="HY27" i="30" s="1"/>
  <c r="HZ10" i="30" s="1"/>
  <c r="AE210" i="30" s="1"/>
  <c r="HY98" i="30"/>
  <c r="HY73" i="30" s="1"/>
  <c r="HY22" i="30" s="1"/>
  <c r="HZ5" i="30" s="1"/>
  <c r="AE185" i="30" s="1"/>
  <c r="HY88" i="30"/>
  <c r="HY91" i="30"/>
  <c r="HY81" i="30"/>
  <c r="HY30" i="30" s="1"/>
  <c r="HZ13" i="30" s="1"/>
  <c r="AE225" i="30" s="1"/>
  <c r="HY82" i="30" l="1"/>
  <c r="HY31" i="30" s="1"/>
  <c r="HZ14" i="30" s="1"/>
  <c r="AE230" i="30" s="1"/>
  <c r="HZ90" i="30"/>
  <c r="HZ98" i="30"/>
  <c r="HZ91" i="30"/>
  <c r="HY80" i="30"/>
  <c r="HY29" i="30" s="1"/>
  <c r="HZ12" i="30" s="1"/>
  <c r="AE220" i="30" s="1"/>
  <c r="HY75" i="30"/>
  <c r="HY24" i="30" s="1"/>
  <c r="HZ7" i="30" s="1"/>
  <c r="AE195" i="30" s="1"/>
  <c r="HY71" i="30"/>
  <c r="HY20" i="30" s="1"/>
  <c r="HZ3" i="30" s="1"/>
  <c r="AE175" i="30" s="1"/>
  <c r="HZ95" i="30"/>
  <c r="HY86" i="30"/>
  <c r="HY35" i="30" s="1"/>
  <c r="HZ18" i="30" s="1"/>
  <c r="AE250" i="30" s="1"/>
  <c r="HZ78" i="30"/>
  <c r="HZ27" i="30" s="1"/>
  <c r="IA10" i="30" s="1"/>
  <c r="HZ99" i="30" l="1"/>
  <c r="HZ72" i="30" s="1"/>
  <c r="HZ21" i="30" s="1"/>
  <c r="IA4" i="30" s="1"/>
  <c r="IA89" i="30" s="1"/>
  <c r="HZ82" i="30"/>
  <c r="HZ31" i="30" s="1"/>
  <c r="IA14" i="30" s="1"/>
  <c r="IA99" i="30" s="1"/>
  <c r="IA72" i="30" s="1"/>
  <c r="HZ88" i="30"/>
  <c r="IA95" i="30"/>
  <c r="HZ92" i="30"/>
  <c r="HZ103" i="30"/>
  <c r="HZ97" i="30"/>
  <c r="HZ71" i="30" s="1"/>
  <c r="HZ20" i="30" s="1"/>
  <c r="IA3" i="30" s="1"/>
  <c r="HZ81" i="30"/>
  <c r="HZ30" i="30" s="1"/>
  <c r="IA13" i="30" s="1"/>
  <c r="IA21" i="30" l="1"/>
  <c r="IB4" i="30" s="1"/>
  <c r="IB89" i="30" s="1"/>
  <c r="HZ74" i="30"/>
  <c r="HZ23" i="30" s="1"/>
  <c r="IA6" i="30" s="1"/>
  <c r="IA91" i="30" s="1"/>
  <c r="HZ73" i="30"/>
  <c r="HZ22" i="30" s="1"/>
  <c r="IA5" i="30" s="1"/>
  <c r="IA90" i="30" s="1"/>
  <c r="IA81" i="30" s="1"/>
  <c r="IA30" i="30" s="1"/>
  <c r="IB13" i="30" s="1"/>
  <c r="HZ86" i="30"/>
  <c r="HZ35" i="30" s="1"/>
  <c r="IA18" i="30" s="1"/>
  <c r="IA103" i="30" s="1"/>
  <c r="IA88" i="30"/>
  <c r="IA98" i="30"/>
  <c r="IA73" i="30" s="1"/>
  <c r="HZ80" i="30"/>
  <c r="HZ29" i="30" s="1"/>
  <c r="IA12" i="30" s="1"/>
  <c r="HZ75" i="30"/>
  <c r="HZ24" i="30" s="1"/>
  <c r="IA7" i="30" s="1"/>
  <c r="IA78" i="30"/>
  <c r="IA27" i="30" s="1"/>
  <c r="IB10" i="30" s="1"/>
  <c r="IA22" i="30" l="1"/>
  <c r="IB5" i="30" s="1"/>
  <c r="IB90" i="30" s="1"/>
  <c r="IA82" i="30"/>
  <c r="IA31" i="30" s="1"/>
  <c r="IB14" i="30" s="1"/>
  <c r="IB99" i="30" s="1"/>
  <c r="IB72" i="30" s="1"/>
  <c r="IB21" i="30" s="1"/>
  <c r="IC4" i="30" s="1"/>
  <c r="IB98" i="30"/>
  <c r="IB78" i="30"/>
  <c r="IB27" i="30" s="1"/>
  <c r="IC10" i="30" s="1"/>
  <c r="IA75" i="30"/>
  <c r="IA24" i="30" s="1"/>
  <c r="IB7" i="30" s="1"/>
  <c r="IA80" i="30"/>
  <c r="IA29" i="30" s="1"/>
  <c r="IB12" i="30" s="1"/>
  <c r="IB95" i="30"/>
  <c r="IA92" i="30"/>
  <c r="IA74" i="30" s="1"/>
  <c r="IA23" i="30" s="1"/>
  <c r="IB6" i="30" s="1"/>
  <c r="IA97" i="30"/>
  <c r="IA71" i="30" s="1"/>
  <c r="IA20" i="30" s="1"/>
  <c r="IB3" i="30" s="1"/>
  <c r="IC89" i="30" l="1"/>
  <c r="IC95" i="30"/>
  <c r="IB81" i="30"/>
  <c r="IB30" i="30" s="1"/>
  <c r="IC13" i="30" s="1"/>
  <c r="IA86" i="30"/>
  <c r="IA35" i="30" s="1"/>
  <c r="IB18" i="30" s="1"/>
  <c r="IB73" i="30"/>
  <c r="IB22" i="30" s="1"/>
  <c r="IC5" i="30" s="1"/>
  <c r="IB88" i="30"/>
  <c r="IB92" i="30"/>
  <c r="IB74" i="30" s="1"/>
  <c r="IB23" i="30" s="1"/>
  <c r="IC6" i="30" s="1"/>
  <c r="IB97" i="30"/>
  <c r="IB71" i="30" s="1"/>
  <c r="IB20" i="30" s="1"/>
  <c r="IC3" i="30" s="1"/>
  <c r="IB91" i="30"/>
  <c r="IC88" i="30" l="1"/>
  <c r="IC91" i="30"/>
  <c r="IB103" i="30"/>
  <c r="IB80" i="30" s="1"/>
  <c r="IB29" i="30" s="1"/>
  <c r="IC12" i="30" s="1"/>
  <c r="IC90" i="30"/>
  <c r="IC98" i="30"/>
  <c r="IB86" i="30"/>
  <c r="IB35" i="30" s="1"/>
  <c r="IC18" i="30" s="1"/>
  <c r="IB82" i="30"/>
  <c r="IB31" i="30" s="1"/>
  <c r="IC14" i="30" s="1"/>
  <c r="IB75" i="30"/>
  <c r="IB24" i="30" s="1"/>
  <c r="IC7" i="30" s="1"/>
  <c r="IC78" i="30"/>
  <c r="IC27" i="30" s="1"/>
  <c r="ID10" i="30" s="1"/>
  <c r="IC103" i="30" l="1"/>
  <c r="IC80" i="30" s="1"/>
  <c r="IC29" i="30" s="1"/>
  <c r="ID12" i="30" s="1"/>
  <c r="ID95" i="30"/>
  <c r="IC81" i="30"/>
  <c r="IC30" i="30" s="1"/>
  <c r="ID13" i="30" s="1"/>
  <c r="IC97" i="30"/>
  <c r="IC71" i="30" s="1"/>
  <c r="IC20" i="30" s="1"/>
  <c r="ID3" i="30" s="1"/>
  <c r="IC99" i="30"/>
  <c r="IC82" i="30"/>
  <c r="IC31" i="30" s="1"/>
  <c r="ID14" i="30" s="1"/>
  <c r="IC92" i="30"/>
  <c r="IC75" i="30"/>
  <c r="IC24" i="30" s="1"/>
  <c r="ID7" i="30" s="1"/>
  <c r="IC74" i="30" l="1"/>
  <c r="IC23" i="30" s="1"/>
  <c r="ID6" i="30" s="1"/>
  <c r="ID91" i="30" s="1"/>
  <c r="ID97" i="30"/>
  <c r="ID99" i="30"/>
  <c r="ID72" i="30" s="1"/>
  <c r="ID92" i="30"/>
  <c r="IC86" i="30"/>
  <c r="IC35" i="30" s="1"/>
  <c r="ID18" i="30" s="1"/>
  <c r="IC72" i="30"/>
  <c r="IC21" i="30" s="1"/>
  <c r="ID4" i="30" s="1"/>
  <c r="IC73" i="30"/>
  <c r="IC22" i="30" s="1"/>
  <c r="ID5" i="30" s="1"/>
  <c r="ID88" i="30"/>
  <c r="ID98" i="30"/>
  <c r="ID90" i="30" l="1"/>
  <c r="ID89" i="30"/>
  <c r="ID103" i="30"/>
  <c r="ID21" i="30"/>
  <c r="IE4" i="30" s="1"/>
  <c r="ID86" i="30"/>
  <c r="ID35" i="30" s="1"/>
  <c r="IE18" i="30" s="1"/>
  <c r="IE89" i="30" l="1"/>
  <c r="IE103" i="30"/>
  <c r="ID78" i="30"/>
  <c r="ID27" i="30" s="1"/>
  <c r="IE10" i="30" s="1"/>
  <c r="ID82" i="30"/>
  <c r="ID31" i="30" s="1"/>
  <c r="IE14" i="30" s="1"/>
  <c r="ID73" i="30"/>
  <c r="ID22" i="30" s="1"/>
  <c r="IE5" i="30" s="1"/>
  <c r="ID71" i="30"/>
  <c r="ID20" i="30" s="1"/>
  <c r="IE3" i="30" s="1"/>
  <c r="ID80" i="30"/>
  <c r="ID29" i="30" s="1"/>
  <c r="IE12" i="30" s="1"/>
  <c r="ID74" i="30"/>
  <c r="ID23" i="30" s="1"/>
  <c r="IE6" i="30" s="1"/>
  <c r="ID81" i="30"/>
  <c r="ID30" i="30" s="1"/>
  <c r="IE13" i="30" s="1"/>
  <c r="ID75" i="30"/>
  <c r="ID24" i="30" s="1"/>
  <c r="IE7" i="30" s="1"/>
  <c r="IE92" i="30" l="1"/>
  <c r="IE98" i="30"/>
  <c r="IE90" i="30"/>
  <c r="IE88" i="30"/>
  <c r="IE91" i="30"/>
  <c r="IE99" i="30"/>
  <c r="IE72" i="30" s="1"/>
  <c r="IE21" i="30" s="1"/>
  <c r="IF4" i="30" s="1"/>
  <c r="IE78" i="30"/>
  <c r="IE27" i="30" s="1"/>
  <c r="IF10" i="30" s="1"/>
  <c r="IE97" i="30"/>
  <c r="IE95" i="30"/>
  <c r="IE73" i="30" l="1"/>
  <c r="IE22" i="30" s="1"/>
  <c r="IF5" i="30" s="1"/>
  <c r="IF90" i="30" s="1"/>
  <c r="IE82" i="30"/>
  <c r="IE31" i="30" s="1"/>
  <c r="IF14" i="30" s="1"/>
  <c r="IF99" i="30" s="1"/>
  <c r="IF72" i="30" s="1"/>
  <c r="IF21" i="30" s="1"/>
  <c r="IG4" i="30" s="1"/>
  <c r="IE71" i="30"/>
  <c r="IE20" i="30" s="1"/>
  <c r="IF3" i="30" s="1"/>
  <c r="IF88" i="30" s="1"/>
  <c r="IF89" i="30"/>
  <c r="IE86" i="30"/>
  <c r="IE35" i="30" s="1"/>
  <c r="IF18" i="30" s="1"/>
  <c r="IE81" i="30"/>
  <c r="IE30" i="30" s="1"/>
  <c r="IF13" i="30" s="1"/>
  <c r="IE74" i="30"/>
  <c r="IE23" i="30" s="1"/>
  <c r="IF6" i="30" s="1"/>
  <c r="IF95" i="30"/>
  <c r="IE75" i="30"/>
  <c r="IE24" i="30" s="1"/>
  <c r="IF7" i="30" s="1"/>
  <c r="IE80" i="30"/>
  <c r="IE29" i="30" s="1"/>
  <c r="IF12" i="30" s="1"/>
  <c r="IG89" i="30" l="1"/>
  <c r="IF91" i="30"/>
  <c r="IF75" i="30" s="1"/>
  <c r="IF24" i="30" s="1"/>
  <c r="IG7" i="30" s="1"/>
  <c r="IF78" i="30"/>
  <c r="IF27" i="30" s="1"/>
  <c r="IG10" i="30" s="1"/>
  <c r="IF92" i="30"/>
  <c r="IF74" i="30" s="1"/>
  <c r="IF23" i="30" s="1"/>
  <c r="IG6" i="30" s="1"/>
  <c r="IF98" i="30"/>
  <c r="IF97" i="30"/>
  <c r="IF103" i="30"/>
  <c r="IF80" i="30" s="1"/>
  <c r="IF29" i="30" s="1"/>
  <c r="IG12" i="30" s="1"/>
  <c r="IF81" i="30"/>
  <c r="IF30" i="30" s="1"/>
  <c r="IG13" i="30" s="1"/>
  <c r="IF71" i="30" l="1"/>
  <c r="IF20" i="30" s="1"/>
  <c r="IG3" i="30" s="1"/>
  <c r="IG88" i="30" s="1"/>
  <c r="IF82" i="30"/>
  <c r="IF31" i="30" s="1"/>
  <c r="IG14" i="30" s="1"/>
  <c r="IG99" i="30" s="1"/>
  <c r="IG72" i="30" s="1"/>
  <c r="IG21" i="30" s="1"/>
  <c r="IH4" i="30" s="1"/>
  <c r="AF180" i="30" s="1"/>
  <c r="IG91" i="30"/>
  <c r="IG92" i="30"/>
  <c r="IG97" i="30"/>
  <c r="IF73" i="30"/>
  <c r="IF22" i="30" s="1"/>
  <c r="IG5" i="30" s="1"/>
  <c r="IF86" i="30"/>
  <c r="IF35" i="30" s="1"/>
  <c r="IG18" i="30" s="1"/>
  <c r="IG98" i="30"/>
  <c r="IG95" i="30"/>
  <c r="IG78" i="30"/>
  <c r="IG27" i="30" s="1"/>
  <c r="IH10" i="30" s="1"/>
  <c r="AF210" i="30" s="1"/>
  <c r="IG73" i="30" l="1"/>
  <c r="IG22" i="30" s="1"/>
  <c r="IH5" i="30" s="1"/>
  <c r="AF185" i="30" s="1"/>
  <c r="IG82" i="30"/>
  <c r="IG31" i="30" s="1"/>
  <c r="IH14" i="30" s="1"/>
  <c r="AF230" i="30" s="1"/>
  <c r="IH89" i="30"/>
  <c r="IH95" i="30"/>
  <c r="IG90" i="30"/>
  <c r="IG75" i="30" s="1"/>
  <c r="IG24" i="30" s="1"/>
  <c r="IH7" i="30" s="1"/>
  <c r="AF195" i="30" s="1"/>
  <c r="IG103" i="30"/>
  <c r="IG86" i="30"/>
  <c r="IG35" i="30" s="1"/>
  <c r="IH18" i="30" s="1"/>
  <c r="AF250" i="30" s="1"/>
  <c r="IH99" i="30" l="1"/>
  <c r="IH72" i="30" s="1"/>
  <c r="IH21" i="30" s="1"/>
  <c r="II4" i="30" s="1"/>
  <c r="II89" i="30" s="1"/>
  <c r="IG80" i="30"/>
  <c r="IG29" i="30" s="1"/>
  <c r="IH12" i="30" s="1"/>
  <c r="AF220" i="30" s="1"/>
  <c r="IH103" i="30"/>
  <c r="IH92" i="30"/>
  <c r="IH90" i="30"/>
  <c r="IG74" i="30"/>
  <c r="IG23" i="30" s="1"/>
  <c r="IH6" i="30" s="1"/>
  <c r="AF190" i="30" s="1"/>
  <c r="IG81" i="30"/>
  <c r="IG30" i="30" s="1"/>
  <c r="IH13" i="30" s="1"/>
  <c r="AF225" i="30" s="1"/>
  <c r="IG71" i="30"/>
  <c r="IG20" i="30" s="1"/>
  <c r="IH3" i="30" s="1"/>
  <c r="AF175" i="30" s="1"/>
  <c r="IH78" i="30"/>
  <c r="IH27" i="30" s="1"/>
  <c r="II10" i="30" s="1"/>
  <c r="IH97" i="30" l="1"/>
  <c r="IH91" i="30"/>
  <c r="II78" i="30"/>
  <c r="II27" i="30" s="1"/>
  <c r="IJ10" i="30" s="1"/>
  <c r="IH74" i="30"/>
  <c r="IH23" i="30" s="1"/>
  <c r="II6" i="30" s="1"/>
  <c r="IH81" i="30"/>
  <c r="IH30" i="30" s="1"/>
  <c r="II13" i="30" s="1"/>
  <c r="II95" i="30"/>
  <c r="IH98" i="30"/>
  <c r="IH73" i="30" s="1"/>
  <c r="IH22" i="30" s="1"/>
  <c r="II5" i="30" s="1"/>
  <c r="IH88" i="30"/>
  <c r="II91" i="30" l="1"/>
  <c r="IJ95" i="30"/>
  <c r="IH86" i="30"/>
  <c r="IH35" i="30" s="1"/>
  <c r="II18" i="30" s="1"/>
  <c r="IH82" i="30"/>
  <c r="IH31" i="30" s="1"/>
  <c r="II14" i="30" s="1"/>
  <c r="IH75" i="30"/>
  <c r="IH24" i="30" s="1"/>
  <c r="II7" i="30" s="1"/>
  <c r="IH80" i="30"/>
  <c r="IH29" i="30" s="1"/>
  <c r="II12" i="30" s="1"/>
  <c r="II98" i="30"/>
  <c r="II90" i="30"/>
  <c r="IH71" i="30"/>
  <c r="IH20" i="30" s="1"/>
  <c r="II3" i="30" s="1"/>
  <c r="II92" i="30" l="1"/>
  <c r="II97" i="30"/>
  <c r="II81" i="30"/>
  <c r="II30" i="30" s="1"/>
  <c r="IJ13" i="30" s="1"/>
  <c r="II99" i="30"/>
  <c r="II72" i="30" s="1"/>
  <c r="II21" i="30" s="1"/>
  <c r="IJ4" i="30" s="1"/>
  <c r="II88" i="30"/>
  <c r="II103" i="30"/>
  <c r="II82" i="30"/>
  <c r="II31" i="30" s="1"/>
  <c r="IJ14" i="30" s="1"/>
  <c r="II73" i="30" l="1"/>
  <c r="II22" i="30" s="1"/>
  <c r="IJ5" i="30" s="1"/>
  <c r="IJ90" i="30" s="1"/>
  <c r="II86" i="30"/>
  <c r="II35" i="30" s="1"/>
  <c r="IJ18" i="30" s="1"/>
  <c r="IJ103" i="30" s="1"/>
  <c r="II71" i="30"/>
  <c r="II20" i="30" s="1"/>
  <c r="IJ3" i="30" s="1"/>
  <c r="IJ88" i="30" s="1"/>
  <c r="IJ99" i="30"/>
  <c r="IJ72" i="30" s="1"/>
  <c r="IJ21" i="30" s="1"/>
  <c r="IK4" i="30" s="1"/>
  <c r="II75" i="30"/>
  <c r="II24" i="30" s="1"/>
  <c r="IJ7" i="30" s="1"/>
  <c r="II80" i="30"/>
  <c r="II29" i="30" s="1"/>
  <c r="IJ12" i="30" s="1"/>
  <c r="II74" i="30"/>
  <c r="II23" i="30" s="1"/>
  <c r="IJ6" i="30" s="1"/>
  <c r="IJ89" i="30"/>
  <c r="IJ98" i="30"/>
  <c r="IK89" i="30" l="1"/>
  <c r="IJ91" i="30"/>
  <c r="IJ75" i="30" s="1"/>
  <c r="IJ24" i="30" s="1"/>
  <c r="IK7" i="30" s="1"/>
  <c r="IJ81" i="30"/>
  <c r="IJ30" i="30" s="1"/>
  <c r="IK13" i="30" s="1"/>
  <c r="IJ97" i="30"/>
  <c r="IJ71" i="30" s="1"/>
  <c r="IJ20" i="30" s="1"/>
  <c r="IK3" i="30" s="1"/>
  <c r="IJ78" i="30"/>
  <c r="IJ27" i="30" s="1"/>
  <c r="IK10" i="30" s="1"/>
  <c r="IJ73" i="30"/>
  <c r="IJ22" i="30" s="1"/>
  <c r="IK5" i="30" s="1"/>
  <c r="IJ92" i="30"/>
  <c r="IJ74" i="30" s="1"/>
  <c r="IJ23" i="30" s="1"/>
  <c r="IK6" i="30" s="1"/>
  <c r="IJ80" i="30"/>
  <c r="IJ29" i="30" s="1"/>
  <c r="IK12" i="30" s="1"/>
  <c r="IJ82" i="30" l="1"/>
  <c r="IJ31" i="30" s="1"/>
  <c r="IK14" i="30" s="1"/>
  <c r="IK99" i="30" s="1"/>
  <c r="IK72" i="30" s="1"/>
  <c r="IK21" i="30" s="1"/>
  <c r="IL4" i="30" s="1"/>
  <c r="IK88" i="30"/>
  <c r="IK91" i="30"/>
  <c r="IK97" i="30"/>
  <c r="IK92" i="30"/>
  <c r="IJ86" i="30"/>
  <c r="IJ35" i="30" s="1"/>
  <c r="IK18" i="30" s="1"/>
  <c r="IK98" i="30"/>
  <c r="IK90" i="30"/>
  <c r="IK95" i="30"/>
  <c r="IK78" i="30"/>
  <c r="IK27" i="30" s="1"/>
  <c r="IL10" i="30" s="1"/>
  <c r="IK73" i="30" l="1"/>
  <c r="IK22" i="30" s="1"/>
  <c r="IL5" i="30" s="1"/>
  <c r="IL90" i="30" s="1"/>
  <c r="IK82" i="30"/>
  <c r="IK31" i="30" s="1"/>
  <c r="IL14" i="30" s="1"/>
  <c r="IL99" i="30" s="1"/>
  <c r="IL72" i="30" s="1"/>
  <c r="IL21" i="30" s="1"/>
  <c r="IM4" i="30" s="1"/>
  <c r="IL95" i="30"/>
  <c r="IK103" i="30"/>
  <c r="IK80" i="30" s="1"/>
  <c r="IK29" i="30" s="1"/>
  <c r="IL12" i="30" s="1"/>
  <c r="IK86" i="30"/>
  <c r="IK35" i="30" s="1"/>
  <c r="IL18" i="30" s="1"/>
  <c r="IK81" i="30"/>
  <c r="IK30" i="30" s="1"/>
  <c r="IL13" i="30" s="1"/>
  <c r="IK74" i="30"/>
  <c r="IK23" i="30" s="1"/>
  <c r="IL6" i="30" s="1"/>
  <c r="IL89" i="30"/>
  <c r="IK75" i="30"/>
  <c r="IK24" i="30" s="1"/>
  <c r="IL7" i="30" s="1"/>
  <c r="IK71" i="30"/>
  <c r="IK20" i="30" s="1"/>
  <c r="IL3" i="30" s="1"/>
  <c r="IL97" i="30" l="1"/>
  <c r="IL103" i="30"/>
  <c r="IL88" i="30"/>
  <c r="IL91" i="30"/>
  <c r="IL92" i="30"/>
  <c r="IL74" i="30" s="1"/>
  <c r="IL23" i="30" s="1"/>
  <c r="IM6" i="30" s="1"/>
  <c r="IL98" i="30"/>
  <c r="IM89" i="30"/>
  <c r="IL78" i="30"/>
  <c r="IL27" i="30" s="1"/>
  <c r="IM10" i="30" s="1"/>
  <c r="IL81" i="30"/>
  <c r="IL30" i="30" s="1"/>
  <c r="IM13" i="30" s="1"/>
  <c r="IL71" i="30" l="1"/>
  <c r="IL20" i="30" s="1"/>
  <c r="IM3" i="30" s="1"/>
  <c r="IM88" i="30" s="1"/>
  <c r="IL82" i="30"/>
  <c r="IL31" i="30" s="1"/>
  <c r="IM14" i="30" s="1"/>
  <c r="IM99" i="30" s="1"/>
  <c r="IM98" i="30"/>
  <c r="IM91" i="30"/>
  <c r="IL86" i="30"/>
  <c r="IL35" i="30" s="1"/>
  <c r="IM18" i="30" s="1"/>
  <c r="IM95" i="30"/>
  <c r="IL73" i="30"/>
  <c r="IL22" i="30" s="1"/>
  <c r="IM5" i="30" s="1"/>
  <c r="IM78" i="30"/>
  <c r="IM27" i="30" s="1"/>
  <c r="IN10" i="30" s="1"/>
  <c r="IL80" i="30"/>
  <c r="IL29" i="30" s="1"/>
  <c r="IM12" i="30" s="1"/>
  <c r="IL75" i="30"/>
  <c r="IL24" i="30" s="1"/>
  <c r="IM7" i="30" s="1"/>
  <c r="IM72" i="30" l="1"/>
  <c r="IM21" i="30" s="1"/>
  <c r="IN4" i="30" s="1"/>
  <c r="IN89" i="30" s="1"/>
  <c r="IM73" i="30"/>
  <c r="IM22" i="30" s="1"/>
  <c r="IN5" i="30" s="1"/>
  <c r="IN95" i="30"/>
  <c r="IM90" i="30"/>
  <c r="IM75" i="30" s="1"/>
  <c r="IM24" i="30" s="1"/>
  <c r="IN7" i="30" s="1"/>
  <c r="IM92" i="30"/>
  <c r="IM82" i="30"/>
  <c r="IM31" i="30" s="1"/>
  <c r="IN14" i="30" s="1"/>
  <c r="IM97" i="30"/>
  <c r="IM103" i="30"/>
  <c r="IM80" i="30" l="1"/>
  <c r="IM29" i="30" s="1"/>
  <c r="IN12" i="30" s="1"/>
  <c r="IN97" i="30" s="1"/>
  <c r="IM86" i="30"/>
  <c r="IM35" i="30" s="1"/>
  <c r="IN18" i="30" s="1"/>
  <c r="IN103" i="30" s="1"/>
  <c r="IN92" i="30"/>
  <c r="IN90" i="30"/>
  <c r="IN99" i="30"/>
  <c r="IN72" i="30" s="1"/>
  <c r="IN21" i="30" s="1"/>
  <c r="IO4" i="30" s="1"/>
  <c r="IM74" i="30"/>
  <c r="IM23" i="30" s="1"/>
  <c r="IN6" i="30" s="1"/>
  <c r="IM81" i="30"/>
  <c r="IM30" i="30" s="1"/>
  <c r="IN13" i="30" s="1"/>
  <c r="IM71" i="30"/>
  <c r="IM20" i="30" s="1"/>
  <c r="IN3" i="30" s="1"/>
  <c r="IN78" i="30"/>
  <c r="IN27" i="30" s="1"/>
  <c r="IO10" i="30" s="1"/>
  <c r="IN91" i="30" l="1"/>
  <c r="IO95" i="30"/>
  <c r="IN98" i="30"/>
  <c r="IN73" i="30" s="1"/>
  <c r="IN22" i="30" s="1"/>
  <c r="IO5" i="30" s="1"/>
  <c r="IN74" i="30"/>
  <c r="IN23" i="30" s="1"/>
  <c r="IO6" i="30" s="1"/>
  <c r="IN81" i="30"/>
  <c r="IN30" i="30" s="1"/>
  <c r="IO13" i="30" s="1"/>
  <c r="IN88" i="30"/>
  <c r="IO89" i="30"/>
  <c r="IN71" i="30" l="1"/>
  <c r="IN20" i="30" s="1"/>
  <c r="IO3" i="30" s="1"/>
  <c r="IO88" i="30" s="1"/>
  <c r="IO91" i="30"/>
  <c r="IO98" i="30"/>
  <c r="IN80" i="30"/>
  <c r="IN29" i="30" s="1"/>
  <c r="IO12" i="30" s="1"/>
  <c r="IN75" i="30"/>
  <c r="IN24" i="30" s="1"/>
  <c r="IO7" i="30" s="1"/>
  <c r="IO90" i="30"/>
  <c r="IO78" i="30"/>
  <c r="IO27" i="30" s="1"/>
  <c r="IP10" i="30" s="1"/>
  <c r="IN86" i="30"/>
  <c r="IN35" i="30" s="1"/>
  <c r="IO18" i="30" s="1"/>
  <c r="IN82" i="30"/>
  <c r="IN31" i="30" s="1"/>
  <c r="IO14" i="30" s="1"/>
  <c r="IO82" i="30" l="1"/>
  <c r="IO31" i="30" s="1"/>
  <c r="IP14" i="30" s="1"/>
  <c r="IO81" i="30"/>
  <c r="IO30" i="30" s="1"/>
  <c r="IP13" i="30" s="1"/>
  <c r="IO99" i="30"/>
  <c r="IP95" i="30"/>
  <c r="IO92" i="30"/>
  <c r="IO103" i="30"/>
  <c r="IO80" i="30" s="1"/>
  <c r="IO29" i="30" s="1"/>
  <c r="IP12" i="30" s="1"/>
  <c r="IO75" i="30"/>
  <c r="IO24" i="30" s="1"/>
  <c r="IP7" i="30" s="1"/>
  <c r="IO97" i="30"/>
  <c r="IO71" i="30" s="1"/>
  <c r="IO20" i="30" s="1"/>
  <c r="IP3" i="30" s="1"/>
  <c r="IO74" i="30" l="1"/>
  <c r="IO23" i="30" s="1"/>
  <c r="IP6" i="30" s="1"/>
  <c r="IP91" i="30" s="1"/>
  <c r="IO86" i="30"/>
  <c r="IO35" i="30" s="1"/>
  <c r="IP18" i="30" s="1"/>
  <c r="IP103" i="30" s="1"/>
  <c r="IP97" i="30"/>
  <c r="IP88" i="30"/>
  <c r="IP92" i="30"/>
  <c r="IP98" i="30"/>
  <c r="IO72" i="30"/>
  <c r="IO21" i="30" s="1"/>
  <c r="IP4" i="30" s="1"/>
  <c r="IO73" i="30"/>
  <c r="IO22" i="30" s="1"/>
  <c r="IP5" i="30" s="1"/>
  <c r="IP99" i="30"/>
  <c r="IP72" i="30" s="1"/>
  <c r="IP21" i="30" l="1"/>
  <c r="IQ4" i="30" s="1"/>
  <c r="IP86" i="30"/>
  <c r="IP35" i="30" s="1"/>
  <c r="IQ18" i="30" s="1"/>
  <c r="IP90" i="30"/>
  <c r="IP89" i="30"/>
  <c r="IQ103" i="30" l="1"/>
  <c r="IQ89" i="30"/>
  <c r="IP71" i="30"/>
  <c r="IP20" i="30" s="1"/>
  <c r="IQ3" i="30" s="1"/>
  <c r="IP73" i="30"/>
  <c r="IP22" i="30" s="1"/>
  <c r="IQ5" i="30" s="1"/>
  <c r="IP78" i="30"/>
  <c r="IP27" i="30" s="1"/>
  <c r="IQ10" i="30" s="1"/>
  <c r="IP82" i="30"/>
  <c r="IP31" i="30" s="1"/>
  <c r="IQ14" i="30" s="1"/>
  <c r="IP75" i="30"/>
  <c r="IP24" i="30" s="1"/>
  <c r="IQ7" i="30" s="1"/>
  <c r="IP81" i="30"/>
  <c r="IP30" i="30" s="1"/>
  <c r="IQ13" i="30" s="1"/>
  <c r="IP74" i="30"/>
  <c r="IP23" i="30" s="1"/>
  <c r="IQ6" i="30" s="1"/>
  <c r="IP80" i="30"/>
  <c r="IP29" i="30" s="1"/>
  <c r="IQ12" i="30" s="1"/>
  <c r="IQ99" i="30" l="1"/>
  <c r="IQ72" i="30" s="1"/>
  <c r="IQ21" i="30" s="1"/>
  <c r="IR4" i="30" s="1"/>
  <c r="IQ91" i="30"/>
  <c r="IQ95" i="30"/>
  <c r="IQ97" i="30"/>
  <c r="IQ78" i="30"/>
  <c r="IQ27" i="30" s="1"/>
  <c r="IR10" i="30" s="1"/>
  <c r="IQ98" i="30"/>
  <c r="IQ90" i="30"/>
  <c r="IQ92" i="30"/>
  <c r="IQ88" i="30"/>
  <c r="IQ73" i="30" l="1"/>
  <c r="IQ22" i="30" s="1"/>
  <c r="IR5" i="30" s="1"/>
  <c r="IR90" i="30" s="1"/>
  <c r="IQ71" i="30"/>
  <c r="IQ20" i="30" s="1"/>
  <c r="IR3" i="30" s="1"/>
  <c r="IR88" i="30" s="1"/>
  <c r="IR95" i="30"/>
  <c r="IQ86" i="30"/>
  <c r="IQ35" i="30" s="1"/>
  <c r="IR18" i="30" s="1"/>
  <c r="IQ75" i="30"/>
  <c r="IQ24" i="30" s="1"/>
  <c r="IR7" i="30" s="1"/>
  <c r="IQ80" i="30"/>
  <c r="IQ29" i="30" s="1"/>
  <c r="IR12" i="30" s="1"/>
  <c r="IR89" i="30"/>
  <c r="IQ74" i="30"/>
  <c r="IQ23" i="30" s="1"/>
  <c r="IR6" i="30" s="1"/>
  <c r="IQ81" i="30"/>
  <c r="IQ30" i="30" s="1"/>
  <c r="IR13" i="30" s="1"/>
  <c r="IQ82" i="30"/>
  <c r="IQ31" i="30" s="1"/>
  <c r="IR14" i="30" s="1"/>
  <c r="IR92" i="30" l="1"/>
  <c r="IR78" i="30"/>
  <c r="IR27" i="30" s="1"/>
  <c r="IS10" i="30" s="1"/>
  <c r="IR103" i="30"/>
  <c r="IR80" i="30" s="1"/>
  <c r="IR29" i="30" s="1"/>
  <c r="IS12" i="30" s="1"/>
  <c r="IR91" i="30"/>
  <c r="IR75" i="30" s="1"/>
  <c r="IR24" i="30" s="1"/>
  <c r="IS7" i="30" s="1"/>
  <c r="IR99" i="30"/>
  <c r="IR72" i="30" s="1"/>
  <c r="IR21" i="30" s="1"/>
  <c r="IS4" i="30" s="1"/>
  <c r="IR81" i="30"/>
  <c r="IR30" i="30" s="1"/>
  <c r="IS13" i="30" s="1"/>
  <c r="IR98" i="30"/>
  <c r="IR97" i="30"/>
  <c r="IR74" i="30" l="1"/>
  <c r="IR23" i="30" s="1"/>
  <c r="IS6" i="30" s="1"/>
  <c r="IS91" i="30" s="1"/>
  <c r="IR71" i="30"/>
  <c r="IR20" i="30" s="1"/>
  <c r="IS3" i="30" s="1"/>
  <c r="IS88" i="30" s="1"/>
  <c r="IR73" i="30"/>
  <c r="IR22" i="30" s="1"/>
  <c r="IS5" i="30" s="1"/>
  <c r="IS90" i="30" s="1"/>
  <c r="IR82" i="30"/>
  <c r="IR31" i="30" s="1"/>
  <c r="IS14" i="30" s="1"/>
  <c r="IS99" i="30" s="1"/>
  <c r="IS72" i="30" s="1"/>
  <c r="IS21" i="30" s="1"/>
  <c r="IT4" i="30" s="1"/>
  <c r="IS92" i="30"/>
  <c r="IS98" i="30"/>
  <c r="IS97" i="30"/>
  <c r="IS95" i="30"/>
  <c r="IS89" i="30"/>
  <c r="IR86" i="30"/>
  <c r="IR35" i="30" s="1"/>
  <c r="IS18" i="30" s="1"/>
  <c r="IS103" i="30" l="1"/>
  <c r="IS80" i="30" s="1"/>
  <c r="IS29" i="30" s="1"/>
  <c r="IT12" i="30" s="1"/>
  <c r="IS86" i="30"/>
  <c r="IS35" i="30" s="1"/>
  <c r="IT18" i="30" s="1"/>
  <c r="IT89" i="30"/>
  <c r="IS78" i="30"/>
  <c r="IS27" i="30" s="1"/>
  <c r="IT10" i="30" s="1"/>
  <c r="IS73" i="30"/>
  <c r="IS22" i="30" s="1"/>
  <c r="IT5" i="30" s="1"/>
  <c r="IS82" i="30"/>
  <c r="IS31" i="30" s="1"/>
  <c r="IT14" i="30" s="1"/>
  <c r="IS71" i="30"/>
  <c r="IS20" i="30" s="1"/>
  <c r="IT3" i="30" s="1"/>
  <c r="IS75" i="30"/>
  <c r="IS24" i="30" s="1"/>
  <c r="IT7" i="30" s="1"/>
  <c r="IS81" i="30"/>
  <c r="IS30" i="30" s="1"/>
  <c r="IT13" i="30" s="1"/>
  <c r="IS74" i="30"/>
  <c r="IS23" i="30" s="1"/>
  <c r="IT6" i="30" s="1"/>
  <c r="IT103" i="30" l="1"/>
  <c r="IT97" i="30"/>
  <c r="IT90" i="30"/>
  <c r="IT99" i="30"/>
  <c r="IT72" i="30" s="1"/>
  <c r="IT21" i="30" s="1"/>
  <c r="IU4" i="30" s="1"/>
  <c r="IT78" i="30"/>
  <c r="IT27" i="30" s="1"/>
  <c r="IU10" i="30" s="1"/>
  <c r="IT92" i="30"/>
  <c r="IT95" i="30"/>
  <c r="IT98" i="30"/>
  <c r="IT91" i="30"/>
  <c r="IT88" i="30"/>
  <c r="IT73" i="30" l="1"/>
  <c r="IT22" i="30" s="1"/>
  <c r="IU5" i="30" s="1"/>
  <c r="IU90" i="30" s="1"/>
  <c r="IT86" i="30"/>
  <c r="IT35" i="30" s="1"/>
  <c r="IU18" i="30" s="1"/>
  <c r="IU103" i="30" s="1"/>
  <c r="IT71" i="30"/>
  <c r="IT20" i="30" s="1"/>
  <c r="IU3" i="30" s="1"/>
  <c r="IU88" i="30" s="1"/>
  <c r="IU95" i="30"/>
  <c r="IU89" i="30"/>
  <c r="IT75" i="30"/>
  <c r="IT24" i="30" s="1"/>
  <c r="IU7" i="30" s="1"/>
  <c r="IT80" i="30"/>
  <c r="IT29" i="30" s="1"/>
  <c r="IU12" i="30" s="1"/>
  <c r="IT82" i="30"/>
  <c r="IT31" i="30" s="1"/>
  <c r="IU14" i="30" s="1"/>
  <c r="IT81" i="30"/>
  <c r="IT30" i="30" s="1"/>
  <c r="IU13" i="30" s="1"/>
  <c r="IT74" i="30"/>
  <c r="IT23" i="30" s="1"/>
  <c r="IU6" i="30" s="1"/>
  <c r="IU97" i="30" l="1"/>
  <c r="IU80" i="30"/>
  <c r="IU29" i="30" s="1"/>
  <c r="IV12" i="30" s="1"/>
  <c r="IV97" i="30" s="1"/>
  <c r="IU92" i="30"/>
  <c r="IU91" i="30"/>
  <c r="IU98" i="30"/>
  <c r="IU78" i="30"/>
  <c r="IU27" i="30" s="1"/>
  <c r="IV10" i="30" s="1"/>
  <c r="IV95" i="30" s="1"/>
  <c r="IU99" i="30"/>
  <c r="IU72" i="30" s="1"/>
  <c r="IU21" i="30" s="1"/>
  <c r="IV4" i="30" s="1"/>
  <c r="IV89" i="30" s="1"/>
  <c r="IU81" i="30"/>
  <c r="IU30" i="30" s="1"/>
  <c r="IV13" i="30" s="1"/>
  <c r="IV98" i="30" s="1"/>
  <c r="IU71" i="30" l="1"/>
  <c r="IU20" i="30" s="1"/>
  <c r="IV3" i="30" s="1"/>
  <c r="IV88" i="30" s="1"/>
  <c r="IU86" i="30"/>
  <c r="IU35" i="30" s="1"/>
  <c r="IV18" i="30" s="1"/>
  <c r="IV103" i="30" s="1"/>
  <c r="IU82" i="30"/>
  <c r="IU31" i="30" s="1"/>
  <c r="IV14" i="30" s="1"/>
  <c r="IV99" i="30" s="1"/>
  <c r="IV72" i="30" s="1"/>
  <c r="IV21" i="30" s="1"/>
  <c r="IU75" i="30"/>
  <c r="IU24" i="30" s="1"/>
  <c r="IV7" i="30" s="1"/>
  <c r="IV92" i="30" s="1"/>
  <c r="IV78" i="30"/>
  <c r="IV27" i="30" s="1"/>
  <c r="IU74" i="30"/>
  <c r="IU23" i="30" s="1"/>
  <c r="IV6" i="30" s="1"/>
  <c r="IV91" i="30" s="1"/>
  <c r="IU73" i="30"/>
  <c r="IU22" i="30" s="1"/>
  <c r="IV5" i="30" s="1"/>
  <c r="IV90" i="30" s="1"/>
  <c r="IV75" i="30" l="1"/>
  <c r="IV24" i="30" s="1"/>
  <c r="IV86" i="30"/>
  <c r="IV35" i="30" s="1"/>
  <c r="IV73" i="30"/>
  <c r="IV22" i="30" s="1"/>
  <c r="IV80" i="30"/>
  <c r="IV29" i="30" s="1"/>
  <c r="IV82" i="30"/>
  <c r="IV31" i="30" s="1"/>
  <c r="IV74" i="30"/>
  <c r="IV23" i="30" s="1"/>
  <c r="IV81" i="30"/>
  <c r="IV30" i="30" s="1"/>
  <c r="IV71" i="30"/>
  <c r="IV20" i="30" s="1"/>
</calcChain>
</file>

<file path=xl/sharedStrings.xml><?xml version="1.0" encoding="utf-8"?>
<sst xmlns="http://schemas.openxmlformats.org/spreadsheetml/2006/main" count="3581" uniqueCount="948">
  <si>
    <t>Country</t>
  </si>
  <si>
    <t>Country Code ISO3</t>
  </si>
  <si>
    <t>2023 SDG Index Score</t>
  </si>
  <si>
    <t>2023 SDG Index Rank</t>
  </si>
  <si>
    <t>Goal 1 Score</t>
  </si>
  <si>
    <t>Goal 2 Score</t>
  </si>
  <si>
    <t>Goal 3 Score</t>
  </si>
  <si>
    <t>Goal 4 Score</t>
  </si>
  <si>
    <t>Goal 5 Score</t>
  </si>
  <si>
    <t>Goal 6 Score</t>
  </si>
  <si>
    <t>Goal 7 Score</t>
  </si>
  <si>
    <t>Goal 8 Score</t>
  </si>
  <si>
    <t>Goal 9 Score</t>
  </si>
  <si>
    <t>Goal 10 Score</t>
  </si>
  <si>
    <t>Goal 11 Score</t>
  </si>
  <si>
    <t>Goal 12 Score</t>
  </si>
  <si>
    <t>Goal 13 Score</t>
  </si>
  <si>
    <t>Goal 14 Score</t>
  </si>
  <si>
    <t>Goal 15 Score</t>
  </si>
  <si>
    <t>Goal 16 Score</t>
  </si>
  <si>
    <t>Goal 17 Score</t>
  </si>
  <si>
    <t>Finland</t>
  </si>
  <si>
    <t>FIN</t>
  </si>
  <si>
    <t>Sweden</t>
  </si>
  <si>
    <t>SWE</t>
  </si>
  <si>
    <t>Denmark</t>
  </si>
  <si>
    <t>DNK</t>
  </si>
  <si>
    <t>Germany</t>
  </si>
  <si>
    <t>DEU</t>
  </si>
  <si>
    <t>Austria</t>
  </si>
  <si>
    <t>AUT</t>
  </si>
  <si>
    <t>France</t>
  </si>
  <si>
    <t>FRA</t>
  </si>
  <si>
    <t>Norway</t>
  </si>
  <si>
    <t>NOR</t>
  </si>
  <si>
    <t>Czechia</t>
  </si>
  <si>
    <t>CZE</t>
  </si>
  <si>
    <t>Poland</t>
  </si>
  <si>
    <t>POL</t>
  </si>
  <si>
    <t>Estonia</t>
  </si>
  <si>
    <t>EST</t>
  </si>
  <si>
    <t>United Kingdom</t>
  </si>
  <si>
    <t>GBR</t>
  </si>
  <si>
    <t>Croatia</t>
  </si>
  <si>
    <t>HRV</t>
  </si>
  <si>
    <t>Slovenia</t>
  </si>
  <si>
    <t>SVN</t>
  </si>
  <si>
    <t>Latvia</t>
  </si>
  <si>
    <t>LVA</t>
  </si>
  <si>
    <t>Switzerland</t>
  </si>
  <si>
    <t>CHE</t>
  </si>
  <si>
    <t>Spain</t>
  </si>
  <si>
    <t>ESP</t>
  </si>
  <si>
    <t>Ireland</t>
  </si>
  <si>
    <t>IRL</t>
  </si>
  <si>
    <t>Portugal</t>
  </si>
  <si>
    <t>PRT</t>
  </si>
  <si>
    <t>Belgium</t>
  </si>
  <si>
    <t>BEL</t>
  </si>
  <si>
    <t>Netherlands</t>
  </si>
  <si>
    <t>NLD</t>
  </si>
  <si>
    <t>Japan</t>
  </si>
  <si>
    <t>JPN</t>
  </si>
  <si>
    <t>Hungary</t>
  </si>
  <si>
    <t>HUN</t>
  </si>
  <si>
    <t>Slovak Republic</t>
  </si>
  <si>
    <t>SVK</t>
  </si>
  <si>
    <t>Italy</t>
  </si>
  <si>
    <t>ITA</t>
  </si>
  <si>
    <t>Moldova</t>
  </si>
  <si>
    <t>MDA</t>
  </si>
  <si>
    <t>Canada</t>
  </si>
  <si>
    <t>CAN</t>
  </si>
  <si>
    <t>New Zealand</t>
  </si>
  <si>
    <t>NZL</t>
  </si>
  <si>
    <t>Greece</t>
  </si>
  <si>
    <t>GRC</t>
  </si>
  <si>
    <t>Iceland</t>
  </si>
  <si>
    <t>ISL</t>
  </si>
  <si>
    <t>Chile</t>
  </si>
  <si>
    <t>CHL</t>
  </si>
  <si>
    <t>Korea, Rep.</t>
  </si>
  <si>
    <t>KOR</t>
  </si>
  <si>
    <t>Uruguay</t>
  </si>
  <si>
    <t>URY</t>
  </si>
  <si>
    <t>Luxembourg</t>
  </si>
  <si>
    <t>LUX</t>
  </si>
  <si>
    <t>Belarus</t>
  </si>
  <si>
    <t>BLR</t>
  </si>
  <si>
    <t>Romania</t>
  </si>
  <si>
    <t>ROU</t>
  </si>
  <si>
    <t>Serbia</t>
  </si>
  <si>
    <t>SRB</t>
  </si>
  <si>
    <t>Lithuania</t>
  </si>
  <si>
    <t>LTU</t>
  </si>
  <si>
    <t>Ukraine</t>
  </si>
  <si>
    <t>UKR</t>
  </si>
  <si>
    <t>United States</t>
  </si>
  <si>
    <t>USA</t>
  </si>
  <si>
    <t>Australia</t>
  </si>
  <si>
    <t>AUS</t>
  </si>
  <si>
    <t>Malta</t>
  </si>
  <si>
    <t>MLT</t>
  </si>
  <si>
    <t>Georgia</t>
  </si>
  <si>
    <t>GEO</t>
  </si>
  <si>
    <t>Thailand</t>
  </si>
  <si>
    <t>THA</t>
  </si>
  <si>
    <t>Bulgaria</t>
  </si>
  <si>
    <t>BGR</t>
  </si>
  <si>
    <t>Kyrgyz Republic</t>
  </si>
  <si>
    <t>KGZ</t>
  </si>
  <si>
    <t>Cuba</t>
  </si>
  <si>
    <t>CUB</t>
  </si>
  <si>
    <t>Bosnia and Herzegovina</t>
  </si>
  <si>
    <t>BIH</t>
  </si>
  <si>
    <t>Israel</t>
  </si>
  <si>
    <t>ISR</t>
  </si>
  <si>
    <t>Russian Federation</t>
  </si>
  <si>
    <t>RUS</t>
  </si>
  <si>
    <t>Brazil</t>
  </si>
  <si>
    <t>BRA</t>
  </si>
  <si>
    <t>Argentina</t>
  </si>
  <si>
    <t>ARG</t>
  </si>
  <si>
    <t>Costa Rica</t>
  </si>
  <si>
    <t>CRI</t>
  </si>
  <si>
    <t>Azerbaijan</t>
  </si>
  <si>
    <t>AZE</t>
  </si>
  <si>
    <t>Albania</t>
  </si>
  <si>
    <t>ALB</t>
  </si>
  <si>
    <t>Vietnam</t>
  </si>
  <si>
    <t>VNM</t>
  </si>
  <si>
    <t>Armenia</t>
  </si>
  <si>
    <t>ARM</t>
  </si>
  <si>
    <t>Fiji</t>
  </si>
  <si>
    <t>FJI</t>
  </si>
  <si>
    <t>Tunisia</t>
  </si>
  <si>
    <t>TUN</t>
  </si>
  <si>
    <t>Cyprus</t>
  </si>
  <si>
    <t>CYP</t>
  </si>
  <si>
    <t>North Macedonia</t>
  </si>
  <si>
    <t>MKD</t>
  </si>
  <si>
    <t>Bhutan</t>
  </si>
  <si>
    <t>BTN</t>
  </si>
  <si>
    <t>Dominican Republic</t>
  </si>
  <si>
    <t>DOM</t>
  </si>
  <si>
    <t>China</t>
  </si>
  <si>
    <t>CHN</t>
  </si>
  <si>
    <t>Singapore</t>
  </si>
  <si>
    <t>SGP</t>
  </si>
  <si>
    <t>Peru</t>
  </si>
  <si>
    <t>PER</t>
  </si>
  <si>
    <t>Kazakhstan</t>
  </si>
  <si>
    <t>KAZ</t>
  </si>
  <si>
    <t>Montenegro</t>
  </si>
  <si>
    <t>MNE</t>
  </si>
  <si>
    <t>Maldives</t>
  </si>
  <si>
    <t>MDV</t>
  </si>
  <si>
    <t>Uzbekistan</t>
  </si>
  <si>
    <t>UZB</t>
  </si>
  <si>
    <t>Morocco</t>
  </si>
  <si>
    <t>MAR</t>
  </si>
  <si>
    <t>Algeria</t>
  </si>
  <si>
    <t>DZA</t>
  </si>
  <si>
    <t>Türkiye</t>
  </si>
  <si>
    <t>TUR</t>
  </si>
  <si>
    <t>El Salvador</t>
  </si>
  <si>
    <t>SLV</t>
  </si>
  <si>
    <t>Ecuador</t>
  </si>
  <si>
    <t>ECU</t>
  </si>
  <si>
    <t>Indonesia</t>
  </si>
  <si>
    <t>IDN</t>
  </si>
  <si>
    <t>Colombia</t>
  </si>
  <si>
    <t>COL</t>
  </si>
  <si>
    <t>Jordan</t>
  </si>
  <si>
    <t>JOR</t>
  </si>
  <si>
    <t>Malaysia</t>
  </si>
  <si>
    <t>MYS</t>
  </si>
  <si>
    <t>United Arab Emirates</t>
  </si>
  <si>
    <t>ARE</t>
  </si>
  <si>
    <t>Mexico</t>
  </si>
  <si>
    <t>MEX</t>
  </si>
  <si>
    <t>Egypt, Arab Rep.</t>
  </si>
  <si>
    <t>EGY</t>
  </si>
  <si>
    <t>Jamaica</t>
  </si>
  <si>
    <t>JAM</t>
  </si>
  <si>
    <t>Sri Lanka</t>
  </si>
  <si>
    <t>LKA</t>
  </si>
  <si>
    <t>Barbados</t>
  </si>
  <si>
    <t>BRB</t>
  </si>
  <si>
    <t>Tajikistan</t>
  </si>
  <si>
    <t>TJK</t>
  </si>
  <si>
    <t>Iran, Islamic Rep.</t>
  </si>
  <si>
    <t>IRN</t>
  </si>
  <si>
    <t>Bolivia</t>
  </si>
  <si>
    <t>BOL</t>
  </si>
  <si>
    <t>Paraguay</t>
  </si>
  <si>
    <t>PRY</t>
  </si>
  <si>
    <t>Cabo Verde</t>
  </si>
  <si>
    <t>CPV</t>
  </si>
  <si>
    <t>Oman</t>
  </si>
  <si>
    <t>OMN</t>
  </si>
  <si>
    <t>Turkmenistan</t>
  </si>
  <si>
    <t>TKM</t>
  </si>
  <si>
    <t>Suriname</t>
  </si>
  <si>
    <t>SUR</t>
  </si>
  <si>
    <t>Mauritius</t>
  </si>
  <si>
    <t>MUS</t>
  </si>
  <si>
    <t>Saudi Arabia</t>
  </si>
  <si>
    <t>SAU</t>
  </si>
  <si>
    <t>Lebanon</t>
  </si>
  <si>
    <t>LBN</t>
  </si>
  <si>
    <t>Guyana</t>
  </si>
  <si>
    <t>GUY</t>
  </si>
  <si>
    <t>Panama</t>
  </si>
  <si>
    <t>PAN</t>
  </si>
  <si>
    <t>Philippines</t>
  </si>
  <si>
    <t>PHL</t>
  </si>
  <si>
    <t>Nepal</t>
  </si>
  <si>
    <t>NPL</t>
  </si>
  <si>
    <t>Qatar</t>
  </si>
  <si>
    <t>QAT</t>
  </si>
  <si>
    <t>Bangladesh</t>
  </si>
  <si>
    <t>BGD</t>
  </si>
  <si>
    <t>Brunei Darussalam</t>
  </si>
  <si>
    <t>BRN</t>
  </si>
  <si>
    <t>Cambodia</t>
  </si>
  <si>
    <t>KHM</t>
  </si>
  <si>
    <t>Nicaragua</t>
  </si>
  <si>
    <t>NIC</t>
  </si>
  <si>
    <t>Iraq</t>
  </si>
  <si>
    <t>IRQ</t>
  </si>
  <si>
    <t>Mongolia</t>
  </si>
  <si>
    <t>MNG</t>
  </si>
  <si>
    <t>Belize</t>
  </si>
  <si>
    <t>BLZ</t>
  </si>
  <si>
    <t>Kuwait</t>
  </si>
  <si>
    <t>KWT</t>
  </si>
  <si>
    <t>Namibia</t>
  </si>
  <si>
    <t>NAM</t>
  </si>
  <si>
    <t>South Africa</t>
  </si>
  <si>
    <t>ZAF</t>
  </si>
  <si>
    <t>Bahrain</t>
  </si>
  <si>
    <t>BHR</t>
  </si>
  <si>
    <t>India</t>
  </si>
  <si>
    <t>IND</t>
  </si>
  <si>
    <t>Gabon</t>
  </si>
  <si>
    <t>GAB</t>
  </si>
  <si>
    <t>Trinidad and Tobago</t>
  </si>
  <si>
    <t>TTO</t>
  </si>
  <si>
    <t>Lao PDR</t>
  </si>
  <si>
    <t>LAO</t>
  </si>
  <si>
    <t>Honduras</t>
  </si>
  <si>
    <t>HND</t>
  </si>
  <si>
    <t>Venezuela, RB</t>
  </si>
  <si>
    <t>VEN</t>
  </si>
  <si>
    <t>Botswana</t>
  </si>
  <si>
    <t>BWA</t>
  </si>
  <si>
    <t>Sao Tome and Principe</t>
  </si>
  <si>
    <t>STP</t>
  </si>
  <si>
    <t>Cote d'Ivoire</t>
  </si>
  <si>
    <t>CIV</t>
  </si>
  <si>
    <t>Senegal</t>
  </si>
  <si>
    <t>SEN</t>
  </si>
  <si>
    <t>Ghana</t>
  </si>
  <si>
    <t>GHA</t>
  </si>
  <si>
    <t>Kenya</t>
  </si>
  <si>
    <t>KEN</t>
  </si>
  <si>
    <t>Bahamas, The</t>
  </si>
  <si>
    <t>BHS</t>
  </si>
  <si>
    <t>Myanmar</t>
  </si>
  <si>
    <t>MMR</t>
  </si>
  <si>
    <t>Rwanda</t>
  </si>
  <si>
    <t>RWA</t>
  </si>
  <si>
    <t>Guatemala</t>
  </si>
  <si>
    <t>GTM</t>
  </si>
  <si>
    <t>Pakistan</t>
  </si>
  <si>
    <t>PAK</t>
  </si>
  <si>
    <t>Gambia, The</t>
  </si>
  <si>
    <t>GMB</t>
  </si>
  <si>
    <t>Syrian Arab Republic</t>
  </si>
  <si>
    <t>SYR</t>
  </si>
  <si>
    <t>Mali</t>
  </si>
  <si>
    <t>MLI</t>
  </si>
  <si>
    <t>Eswatini</t>
  </si>
  <si>
    <t>SWZ</t>
  </si>
  <si>
    <t>Mauritania</t>
  </si>
  <si>
    <t>MRT</t>
  </si>
  <si>
    <t>Tanzania</t>
  </si>
  <si>
    <t>TZA</t>
  </si>
  <si>
    <t>Malawi</t>
  </si>
  <si>
    <t>MWI</t>
  </si>
  <si>
    <t>Togo</t>
  </si>
  <si>
    <t>TGO</t>
  </si>
  <si>
    <t>Sierra Leone</t>
  </si>
  <si>
    <t>SLE</t>
  </si>
  <si>
    <t>Zimbabwe</t>
  </si>
  <si>
    <t>ZWE</t>
  </si>
  <si>
    <t>Cameroon</t>
  </si>
  <si>
    <t>CMR</t>
  </si>
  <si>
    <t>Benin</t>
  </si>
  <si>
    <t>BEN</t>
  </si>
  <si>
    <t>Uganda</t>
  </si>
  <si>
    <t>UGA</t>
  </si>
  <si>
    <t>Guinea</t>
  </si>
  <si>
    <t>GIN</t>
  </si>
  <si>
    <t>Lesotho</t>
  </si>
  <si>
    <t>LSO</t>
  </si>
  <si>
    <t>Ethiopia</t>
  </si>
  <si>
    <t>ETH</t>
  </si>
  <si>
    <t>Zambia</t>
  </si>
  <si>
    <t>ZMB</t>
  </si>
  <si>
    <t>Nigeria</t>
  </si>
  <si>
    <t>NGA</t>
  </si>
  <si>
    <t>Burundi</t>
  </si>
  <si>
    <t>BDI</t>
  </si>
  <si>
    <t>Papua New Guinea</t>
  </si>
  <si>
    <t>PNG</t>
  </si>
  <si>
    <t>Mozambique</t>
  </si>
  <si>
    <t>MOZ</t>
  </si>
  <si>
    <t>Djibouti</t>
  </si>
  <si>
    <t>DJI</t>
  </si>
  <si>
    <t>Congo, Rep.</t>
  </si>
  <si>
    <t>COG</t>
  </si>
  <si>
    <t>Haiti</t>
  </si>
  <si>
    <t>HTI</t>
  </si>
  <si>
    <t>Burkina Faso</t>
  </si>
  <si>
    <t>BFA</t>
  </si>
  <si>
    <t>Comoros</t>
  </si>
  <si>
    <t>COM</t>
  </si>
  <si>
    <t>Angola</t>
  </si>
  <si>
    <t>AGO</t>
  </si>
  <si>
    <t>Madagascar</t>
  </si>
  <si>
    <t>MDG</t>
  </si>
  <si>
    <t>Liberia</t>
  </si>
  <si>
    <t>LBR</t>
  </si>
  <si>
    <t>Afghanistan</t>
  </si>
  <si>
    <t>AFG</t>
  </si>
  <si>
    <t>Congo, Dem. Rep.</t>
  </si>
  <si>
    <t>COD</t>
  </si>
  <si>
    <t>Sudan</t>
  </si>
  <si>
    <t>SDN</t>
  </si>
  <si>
    <t>Niger</t>
  </si>
  <si>
    <t>NER</t>
  </si>
  <si>
    <t>Somalia</t>
  </si>
  <si>
    <t>SOM</t>
  </si>
  <si>
    <t>Yemen, Rep.</t>
  </si>
  <si>
    <t>YEM</t>
  </si>
  <si>
    <t>Chad</t>
  </si>
  <si>
    <t>TCD</t>
  </si>
  <si>
    <t>Central African Republic</t>
  </si>
  <si>
    <t>CAF</t>
  </si>
  <si>
    <t>South Sudan</t>
  </si>
  <si>
    <t>SSD</t>
  </si>
  <si>
    <t>Andorra</t>
  </si>
  <si>
    <t>AND</t>
  </si>
  <si>
    <t>Antigua and Barbuda</t>
  </si>
  <si>
    <t>ATG</t>
  </si>
  <si>
    <t>Dominica</t>
  </si>
  <si>
    <t>DMA</t>
  </si>
  <si>
    <t>Eritrea</t>
  </si>
  <si>
    <t>ERI</t>
  </si>
  <si>
    <t>Micronesia, Fed. Sts.</t>
  </si>
  <si>
    <t>FSM</t>
  </si>
  <si>
    <t>Guinea-Bissau</t>
  </si>
  <si>
    <t>GNB</t>
  </si>
  <si>
    <t>Equatorial Guinea</t>
  </si>
  <si>
    <t>GNQ</t>
  </si>
  <si>
    <t>Grenada</t>
  </si>
  <si>
    <t>GRD</t>
  </si>
  <si>
    <t>Kiribati</t>
  </si>
  <si>
    <t>KIR</t>
  </si>
  <si>
    <t>St. Kitts and Nevis</t>
  </si>
  <si>
    <t>KNA</t>
  </si>
  <si>
    <t>Libya</t>
  </si>
  <si>
    <t>LBY</t>
  </si>
  <si>
    <t>St. Lucia</t>
  </si>
  <si>
    <t>LCA</t>
  </si>
  <si>
    <t>Liechtenstein</t>
  </si>
  <si>
    <t>LIE</t>
  </si>
  <si>
    <t>Monaco</t>
  </si>
  <si>
    <t>MCO</t>
  </si>
  <si>
    <t>Marshall Islands</t>
  </si>
  <si>
    <t>MHL</t>
  </si>
  <si>
    <t>Nauru</t>
  </si>
  <si>
    <t>NRU</t>
  </si>
  <si>
    <t>Palau</t>
  </si>
  <si>
    <t>PLW</t>
  </si>
  <si>
    <t>Korea, Dem. Rep.</t>
  </si>
  <si>
    <t>PRK</t>
  </si>
  <si>
    <t>Solomon Islands</t>
  </si>
  <si>
    <t>SLB</t>
  </si>
  <si>
    <t>San Marino</t>
  </si>
  <si>
    <t>SMR</t>
  </si>
  <si>
    <t>Seychelles</t>
  </si>
  <si>
    <t>SYC</t>
  </si>
  <si>
    <t>Timor-Leste</t>
  </si>
  <si>
    <t>TLS</t>
  </si>
  <si>
    <t>Tonga</t>
  </si>
  <si>
    <t>TON</t>
  </si>
  <si>
    <t>Tuvalu</t>
  </si>
  <si>
    <t>TUV</t>
  </si>
  <si>
    <t>St. Vincent and the Grenadines</t>
  </si>
  <si>
    <t>VCT</t>
  </si>
  <si>
    <t>Vanuatu</t>
  </si>
  <si>
    <t>VUT</t>
  </si>
  <si>
    <t>Samoa</t>
  </si>
  <si>
    <t>WSM</t>
  </si>
  <si>
    <t>Eastern Europe and Central Asia</t>
  </si>
  <si>
    <t>_E_Euro_Asia</t>
  </si>
  <si>
    <t>East and South Asia</t>
  </si>
  <si>
    <t>_E_S_Asia</t>
  </si>
  <si>
    <t>Latin America and the Caribbean</t>
  </si>
  <si>
    <t>_LAC</t>
  </si>
  <si>
    <t>Middle East and North Africa</t>
  </si>
  <si>
    <t>_MENA</t>
  </si>
  <si>
    <t>Oceania</t>
  </si>
  <si>
    <t>_Oceania</t>
  </si>
  <si>
    <t>OECD members</t>
  </si>
  <si>
    <t>_OECD</t>
  </si>
  <si>
    <t>Small Island Developing States</t>
  </si>
  <si>
    <t>_SIDS</t>
  </si>
  <si>
    <t>Sub-Saharan Africa</t>
  </si>
  <si>
    <t>_Africa</t>
  </si>
  <si>
    <t>Low-income Countries</t>
  </si>
  <si>
    <t>_LIC</t>
  </si>
  <si>
    <t>Lower-middle-income Countries</t>
  </si>
  <si>
    <t>_LMIC</t>
  </si>
  <si>
    <t>Upper-middle-income Countries</t>
  </si>
  <si>
    <t>_UMIC</t>
  </si>
  <si>
    <t>High-income Countries</t>
  </si>
  <si>
    <t>_HIC</t>
  </si>
  <si>
    <t>World</t>
  </si>
  <si>
    <t>_World</t>
  </si>
  <si>
    <t>2022 SDG Index Score</t>
  </si>
  <si>
    <t>2022 SDG Index Rank</t>
  </si>
  <si>
    <t>Czech Republic</t>
  </si>
  <si>
    <t>Turkey</t>
  </si>
  <si>
    <t>id</t>
  </si>
  <si>
    <t>2020 SDG Index Score</t>
  </si>
  <si>
    <t>2020 SDG Index Rank</t>
  </si>
  <si>
    <t>2019 Global Index Score (0-100)</t>
  </si>
  <si>
    <t>2019 Global Index Rank</t>
  </si>
  <si>
    <t>Abbrev</t>
  </si>
  <si>
    <t>Average Score</t>
  </si>
  <si>
    <t>Rank</t>
  </si>
  <si>
    <t>Goal 1</t>
  </si>
  <si>
    <t>Goal 2</t>
  </si>
  <si>
    <t>Goal 3</t>
  </si>
  <si>
    <t>Goal 4</t>
  </si>
  <si>
    <t>Goal 5</t>
  </si>
  <si>
    <t>Goal 6</t>
  </si>
  <si>
    <t>Goal 7</t>
  </si>
  <si>
    <t>Goal 8</t>
  </si>
  <si>
    <t>Goal 9</t>
  </si>
  <si>
    <t>Goal 10</t>
  </si>
  <si>
    <t>Goal 11</t>
  </si>
  <si>
    <t>Goal 12</t>
  </si>
  <si>
    <t>Goal 13</t>
  </si>
  <si>
    <t>Goal 14</t>
  </si>
  <si>
    <t>Goal 15</t>
  </si>
  <si>
    <t>Goal 16</t>
  </si>
  <si>
    <t>Goal 17</t>
  </si>
  <si>
    <t>Former Yugoslav Republic of Macedonia (FYROM)</t>
  </si>
  <si>
    <t>Swaziland</t>
  </si>
  <si>
    <t>n.d.</t>
  </si>
  <si>
    <t>Macedonia, FYR</t>
  </si>
  <si>
    <t>Model Structure</t>
  </si>
  <si>
    <t>SDG</t>
  </si>
  <si>
    <t>+</t>
  </si>
  <si>
    <t>-</t>
  </si>
  <si>
    <t>Year</t>
  </si>
  <si>
    <t>With Effort</t>
  </si>
  <si>
    <t>No Change</t>
  </si>
  <si>
    <t>SDG1</t>
  </si>
  <si>
    <t>SDG2</t>
  </si>
  <si>
    <t>SDG3</t>
  </si>
  <si>
    <t>SDG4</t>
  </si>
  <si>
    <t>SDG5</t>
  </si>
  <si>
    <t>SDG6</t>
  </si>
  <si>
    <t>SDG7</t>
  </si>
  <si>
    <t>SDG8</t>
  </si>
  <si>
    <t>SDG9</t>
  </si>
  <si>
    <t>SDG10</t>
  </si>
  <si>
    <t>SDG11</t>
  </si>
  <si>
    <t>SDG12</t>
  </si>
  <si>
    <t>SDG13</t>
  </si>
  <si>
    <t>SDG14</t>
  </si>
  <si>
    <t>SDG15</t>
  </si>
  <si>
    <t>SDG16</t>
  </si>
  <si>
    <t>SDG17</t>
  </si>
  <si>
    <t>Status Quo</t>
  </si>
  <si>
    <t>changing --- SDG1</t>
  </si>
  <si>
    <t>changing --- SDG2</t>
  </si>
  <si>
    <t>changing --- SDG3</t>
  </si>
  <si>
    <t>changing --- SDG4</t>
  </si>
  <si>
    <t>changing --- SDG5</t>
  </si>
  <si>
    <t>changing --- SDG6</t>
  </si>
  <si>
    <t>changing --- SDG7</t>
  </si>
  <si>
    <t>changing --- SDG8</t>
  </si>
  <si>
    <t>changing --- SDG9</t>
  </si>
  <si>
    <t>changing --- SDG10</t>
  </si>
  <si>
    <t>changing --- SDG11</t>
  </si>
  <si>
    <t>changing --- SDG12</t>
  </si>
  <si>
    <t>changing --- SDG13</t>
  </si>
  <si>
    <t>changing --- SDG14</t>
  </si>
  <si>
    <t>changing --- SDG15</t>
  </si>
  <si>
    <t>changing --- SDG16</t>
  </si>
  <si>
    <t>changing --- SDG17</t>
  </si>
  <si>
    <t>target --- SDG1</t>
  </si>
  <si>
    <t>target --- SDG2</t>
  </si>
  <si>
    <t>target --- SDG3</t>
  </si>
  <si>
    <t>target --- SDG4</t>
  </si>
  <si>
    <t>target --- SDG5</t>
  </si>
  <si>
    <t>target --- SDG6</t>
  </si>
  <si>
    <t>target --- SDG7</t>
  </si>
  <si>
    <t>target --- SDG8</t>
  </si>
  <si>
    <t>target --- SDG9</t>
  </si>
  <si>
    <t>target --- SDG10</t>
  </si>
  <si>
    <t>target --- SDG11</t>
  </si>
  <si>
    <t>target --- SDG12</t>
  </si>
  <si>
    <t>target --- SDG13</t>
  </si>
  <si>
    <t>target --- SDG14</t>
  </si>
  <si>
    <t>target --- SDG15</t>
  </si>
  <si>
    <t>target --- SDG16</t>
  </si>
  <si>
    <t>target --- SDG17</t>
  </si>
  <si>
    <t>TIME TO CHANGE --- SDG1</t>
  </si>
  <si>
    <t>TIME TO CHANGE --- SDG2</t>
  </si>
  <si>
    <t>TIME TO CHANGE --- SDG3</t>
  </si>
  <si>
    <t>TIME TO CHANGE --- SDG4</t>
  </si>
  <si>
    <t>TIME TO CHANGE --- SDG5</t>
  </si>
  <si>
    <t>TIME TO CHANGE --- SDG6</t>
  </si>
  <si>
    <t>TIME TO CHANGE --- SDG7</t>
  </si>
  <si>
    <t>TIME TO CHANGE --- SDG8</t>
  </si>
  <si>
    <t>TIME TO CHANGE --- SDG9</t>
  </si>
  <si>
    <t>TIME TO CHANGE --- SDG10</t>
  </si>
  <si>
    <t>TIME TO CHANGE --- SDG11</t>
  </si>
  <si>
    <t>TIME TO CHANGE --- SDG12</t>
  </si>
  <si>
    <t>TIME TO CHANGE --- SDG13</t>
  </si>
  <si>
    <t>TIME TO CHANGE --- SDG14</t>
  </si>
  <si>
    <t>TIME TO CHANGE --- SDG15</t>
  </si>
  <si>
    <t>TIME TO CHANGE --- SDG16</t>
  </si>
  <si>
    <t>TIME TO CHANGE --- SDG17</t>
  </si>
  <si>
    <t>modified target --- SDG1</t>
  </si>
  <si>
    <t>modified target --- SDG2</t>
  </si>
  <si>
    <t>modified target --- SDG3</t>
  </si>
  <si>
    <t>modified target --- SDG4</t>
  </si>
  <si>
    <t>modified target --- SDG5</t>
  </si>
  <si>
    <t>modified target --- SDG6</t>
  </si>
  <si>
    <t>modified target --- SDG7</t>
  </si>
  <si>
    <t>modified target --- SDG8</t>
  </si>
  <si>
    <t>modified target --- SDG9</t>
  </si>
  <si>
    <t>modified target --- SDG10</t>
  </si>
  <si>
    <t>modified target --- SDG11</t>
  </si>
  <si>
    <t>modified target --- SDG12</t>
  </si>
  <si>
    <t>modified target --- SDG13</t>
  </si>
  <si>
    <t>modified target --- SDG14</t>
  </si>
  <si>
    <t>modified target --- SDG15</t>
  </si>
  <si>
    <t>modified target --- SDG16</t>
  </si>
  <si>
    <t>modified target --- SDG17</t>
  </si>
  <si>
    <t>progress --- SDG1</t>
  </si>
  <si>
    <t>progress --- SDG2</t>
  </si>
  <si>
    <t>progress --- SDG3</t>
  </si>
  <si>
    <t>progress --- SDG4</t>
  </si>
  <si>
    <t>progress --- SDG5</t>
  </si>
  <si>
    <t>progress --- SDG6</t>
  </si>
  <si>
    <t>progress --- SDG7</t>
  </si>
  <si>
    <t>progress --- SDG8</t>
  </si>
  <si>
    <t>progress --- SDG9</t>
  </si>
  <si>
    <t>progress --- SDG10</t>
  </si>
  <si>
    <t>progress --- SDG11</t>
  </si>
  <si>
    <t>progress --- SDG12</t>
  </si>
  <si>
    <t>progress --- SDG13</t>
  </si>
  <si>
    <t>progress --- SDG14</t>
  </si>
  <si>
    <t>progress --- SDG15</t>
  </si>
  <si>
    <t>progress --- SDG16</t>
  </si>
  <si>
    <t>progress --- SDG17</t>
  </si>
  <si>
    <t>2017 --- SDG1</t>
  </si>
  <si>
    <t>2017 --- SDG2</t>
  </si>
  <si>
    <t>2017 --- SDG3</t>
  </si>
  <si>
    <t>2017 --- SDG4</t>
  </si>
  <si>
    <t>2017 --- SDG5</t>
  </si>
  <si>
    <t>2017 --- SDG6</t>
  </si>
  <si>
    <t>2017 --- SDG7</t>
  </si>
  <si>
    <t>2017 --- SDG8</t>
  </si>
  <si>
    <t>2017 --- SDG9</t>
  </si>
  <si>
    <t>2017 --- SDG10</t>
  </si>
  <si>
    <t>2017 --- SDG11</t>
  </si>
  <si>
    <t>2017 --- SDG12</t>
  </si>
  <si>
    <t>2017 --- SDG13</t>
  </si>
  <si>
    <t>2017 --- SDG14</t>
  </si>
  <si>
    <t>2017 --- SDG15</t>
  </si>
  <si>
    <t>2017 --- SDG16</t>
  </si>
  <si>
    <t>2017 --- SDG17</t>
  </si>
  <si>
    <t>Extra Effort</t>
  </si>
  <si>
    <t>Minimum Score</t>
  </si>
  <si>
    <t>Targets</t>
  </si>
  <si>
    <t>Multipliers</t>
  </si>
  <si>
    <t>Minimum</t>
  </si>
  <si>
    <t>Effort</t>
  </si>
  <si>
    <t>Budget</t>
  </si>
  <si>
    <t>Goal Average Canada</t>
  </si>
  <si>
    <t>TARGET --- SDG1</t>
  </si>
  <si>
    <t>TARGET --- SDG2</t>
  </si>
  <si>
    <t>TARGET --- SDG3</t>
  </si>
  <si>
    <t>TARGET --- SDG4</t>
  </si>
  <si>
    <t>TARGET --- SDG5</t>
  </si>
  <si>
    <t>TARGET --- SDG6</t>
  </si>
  <si>
    <t>TARGET --- SDG7</t>
  </si>
  <si>
    <t>TARGET --- SDG8</t>
  </si>
  <si>
    <t>TARGET --- SDG9</t>
  </si>
  <si>
    <t>TARGET --- SDG10</t>
  </si>
  <si>
    <t>TARGET --- SDG11</t>
  </si>
  <si>
    <t>TARGET --- SDG12</t>
  </si>
  <si>
    <t>TARGET --- SDG13</t>
  </si>
  <si>
    <t>TARGET --- SDG14</t>
  </si>
  <si>
    <t>TARGET --- SDG15</t>
  </si>
  <si>
    <t>TARGET --- SDG16</t>
  </si>
  <si>
    <t>TARGET --- SDG17</t>
  </si>
  <si>
    <t>SDG1 SE</t>
  </si>
  <si>
    <t>SDG1 SSE</t>
  </si>
  <si>
    <t>SDG2 SE</t>
  </si>
  <si>
    <t>SDG2 SSE</t>
  </si>
  <si>
    <t>SDG3 SE</t>
  </si>
  <si>
    <t>SDG3 SSE</t>
  </si>
  <si>
    <t>SDG4 SE</t>
  </si>
  <si>
    <t>SDG4 SSE</t>
  </si>
  <si>
    <t>SDG5 SE</t>
  </si>
  <si>
    <t>SDG5 SSE</t>
  </si>
  <si>
    <t>SDG6 SE</t>
  </si>
  <si>
    <t>SDG6 SSE</t>
  </si>
  <si>
    <t>SDG7 SE</t>
  </si>
  <si>
    <t>SDG7 SSE</t>
  </si>
  <si>
    <t>SDG8 SE</t>
  </si>
  <si>
    <t>SDG8 SSE</t>
  </si>
  <si>
    <t>SDG9 SE</t>
  </si>
  <si>
    <t>SDG9 SSE</t>
  </si>
  <si>
    <t>SDG10 SE</t>
  </si>
  <si>
    <t>SDG10 SSE</t>
  </si>
  <si>
    <t>SDG11 SE</t>
  </si>
  <si>
    <t>SDG11 SSE</t>
  </si>
  <si>
    <t>SDG12 SE</t>
  </si>
  <si>
    <t>SDG12 SSE</t>
  </si>
  <si>
    <t>SDG13 SE</t>
  </si>
  <si>
    <t>SDG13 SSE</t>
  </si>
  <si>
    <t>SDG14 SE</t>
  </si>
  <si>
    <t>SDG14 SSE</t>
  </si>
  <si>
    <t>SDG15 SE</t>
  </si>
  <si>
    <t>SDG15 SSE</t>
  </si>
  <si>
    <t>SDG16 SE</t>
  </si>
  <si>
    <t>SDG16 SSE</t>
  </si>
  <si>
    <t>SDG17 SE</t>
  </si>
  <si>
    <t>SDG17 SSE</t>
  </si>
  <si>
    <t>SSE SDG1</t>
  </si>
  <si>
    <t>SSE SDG2</t>
  </si>
  <si>
    <t>SSE SDG3</t>
  </si>
  <si>
    <t>SSE SDG4</t>
  </si>
  <si>
    <t>SSE SDG5</t>
  </si>
  <si>
    <t>SSE SDG6</t>
  </si>
  <si>
    <t>SSE SDG7</t>
  </si>
  <si>
    <t>SSE SDG8</t>
  </si>
  <si>
    <t>SSE SDG9</t>
  </si>
  <si>
    <t>SSE SDG10</t>
  </si>
  <si>
    <t>SSE SDG11</t>
  </si>
  <si>
    <t>SSE SDG12</t>
  </si>
  <si>
    <t>SSE SDG13</t>
  </si>
  <si>
    <t>SSE SDG14</t>
  </si>
  <si>
    <t>SSE SDG15</t>
  </si>
  <si>
    <t>SSE SDG16</t>
  </si>
  <si>
    <t>SSE SDG17</t>
  </si>
  <si>
    <t>TSSE</t>
  </si>
  <si>
    <t>Baseline</t>
  </si>
  <si>
    <t>Current</t>
  </si>
  <si>
    <t>SDG 1 (No Poverty)</t>
  </si>
  <si>
    <t>Explanation</t>
  </si>
  <si>
    <t>Effectiveness</t>
  </si>
  <si>
    <t>Implement social protection programs targeting vulnerable populations:</t>
  </si>
  <si>
    <t>Explanation: Social protection programs targeting vulnerable populations were limited in the past, with insufficient coverage and effectiveness in providing support to those in need.</t>
  </si>
  <si>
    <t>Explanation: Significant efforts have been made to implement social protection programs targeting vulnerable populations in the present, leading to expanded coverage and effectiveness in providing support to those in need.</t>
  </si>
  <si>
    <t>Increase access to education and vocational training for marginalized communities:</t>
  </si>
  <si>
    <t>Explanation: Access to education and vocational training for marginalized communities was restricted in the past, with limited opportunities for skill development and economic empowerment.</t>
  </si>
  <si>
    <t>Explanation: Access to education and vocational training for marginalized communities has increased in the present, with initiatives aimed at enhancing skill development and economic empowerment.</t>
  </si>
  <si>
    <t>Establish minimum wage regulations and ensure fair labor practices:</t>
  </si>
  <si>
    <t>Explanation: Minimum wage regulations and fair labor practices were inadequately enforced in the past, leading to exploitation and inequality in the labor market.</t>
  </si>
  <si>
    <t>Explanation: Minimum wage regulations and fair labor practices have been strengthened in the present, leading to improved working conditions and reduced exploitation in the labor market.</t>
  </si>
  <si>
    <t>Promote inclusive economic growth through job creation initiatives:</t>
  </si>
  <si>
    <t>Explanation: Job creation initiatives to promote inclusive economic growth were limited in the past, with insufficient focus on addressing unemployment and poverty among marginalized populations.</t>
  </si>
  <si>
    <t>Explanation: Efforts to promote inclusive economic growth through job creation initiatives have intensified in the present, with measures aimed at addressing unemployment and poverty among marginalized populations, although challenges remain in achieving inclusive growth for all.</t>
  </si>
  <si>
    <t>SDG 2 (Zero Hunger)</t>
  </si>
  <si>
    <t>Invest in agricultural infrastructure and technology to enhance productivity:</t>
  </si>
  <si>
    <t>Explanation: Past investments in agricultural infrastructure and technology were limited, with insufficient focus on enhancing productivity and addressing challenges such as inadequate irrigation systems and outdated farming practices.</t>
  </si>
  <si>
    <t>Explanation: Significant investments have been made in agricultural infrastructure and technology in the present, leading to improvements in productivity, efficiency, and resilience in the agriculture sector.</t>
  </si>
  <si>
    <t>Subsidize inputs for small-scale farmers and promote sustainable farming practices:</t>
  </si>
  <si>
    <t>Explanation: Subsidies for inputs and promotion of sustainable farming practices were minimal in the past, with limited support for small-scale farmers and insufficient emphasis on environmentally-friendly agricultural practices.</t>
  </si>
  <si>
    <t>Explanation: Subsidies for inputs and promotion of sustainable farming practices have increased in the present, with targeted support for small-scale farmers and initiatives to promote environmentally-friendly agricultural techniques.</t>
  </si>
  <si>
    <t>Implement food distribution programs to address food insecurity in remote areas:</t>
  </si>
  <si>
    <t>Explanation: Food distribution programs to address food insecurity in remote areas were limited in the past, with challenges such as poor infrastructure and logistical constraints hindering effective distribution of food resources to vulnerable populations.</t>
  </si>
  <si>
    <t>Explanation: Food distribution programs have been expanded and improved in the present, with enhanced infrastructure and logistical support enabling more effective distribution of food resources to remote and vulnerable areas.</t>
  </si>
  <si>
    <t>Encourage community gardens and urban farming initiatives:</t>
  </si>
  <si>
    <t>Explanation: Efforts to encourage community gardens and urban farming initiatives were scarce in the past, with little emphasis on promoting local food production and community self-sufficiency in urban areas.</t>
  </si>
  <si>
    <t>Explanation: Efforts to encourage community gardens and urban farming initiatives have gained momentum in the present, with initiatives aimed at promoting local food production, improving nutrition, and fostering community engagement in urban areas.</t>
  </si>
  <si>
    <t>SDG 3 (Good Health and Well-being)</t>
  </si>
  <si>
    <t>Strengthen healthcare systems and improve access to quality healthcare services</t>
  </si>
  <si>
    <t>Explanation: Efforts to strengthen healthcare systems and improve access to quality services were limited in the past, with challenges such as inadequate infrastructure and workforce shortages hindering progress.</t>
  </si>
  <si>
    <t>Explanation: Significant efforts have been made to strengthen healthcare systems and improve access to quality services in the present, with investments in infrastructure, technology, and human resources leading to improvements in healthcare delivery.</t>
  </si>
  <si>
    <t>Invest in preventative healthcare measures and promote healthy lifestyles:</t>
  </si>
  <si>
    <t>Explanation: Investments in preventative healthcare measures and health promotion initiatives were minimal in the past, with limited focus on immunization, maternal and child health, and lifestyle diseases prevention.</t>
  </si>
  <si>
    <t>Explanation: Ongoing investments in preventative healthcare measures and health promotion initiatives, coupled with campaigns for immunization, maternal and child health, and lifestyle diseases prevention, have led to improvements in health outcomes.</t>
  </si>
  <si>
    <t>Provide universal health coverage and ensure access to essential medicines:</t>
  </si>
  <si>
    <t>Explanation: Efforts to provide universal health coverage and ensure access to essential medicines were limited in the past, with significant gaps in healthcare coverage and availability of essential medicines.</t>
  </si>
  <si>
    <t>Explanation: Initiatives such as Ayushman Bharat and Jan Aushadhi Yojana have expanded access to healthcare and essential medicines in the present, addressing coverage gaps and improving medicine availability.</t>
  </si>
  <si>
    <t>Implement mental health awareness and support programs:</t>
  </si>
  <si>
    <t>Explanation: Mental health awareness and support programs were virtually nonexistent in the past, with little attention given to addressing mental health issues, stigma, and access to mental healthcare services.</t>
  </si>
  <si>
    <t>Explanation: Increased attention to mental health awareness and support programs in the present, with initiatives aimed at reducing stigma, enhancing access to mental healthcare services, and integrating mental health into primary care, although challenges such as resource constraints persist.</t>
  </si>
  <si>
    <t>SDG 4 (Quality Education)</t>
  </si>
  <si>
    <t>Increase investment in education infrastructure and resources:</t>
  </si>
  <si>
    <t>Explanation: Investment in education infrastructure and resources was limited in the past, resulting in inadequate facilities, lack of educational materials, and overcrowded classrooms.</t>
  </si>
  <si>
    <t>Explanation: Significant efforts have been made to increase investment in education infrastructure and resources in the present, resulting in improved facilities, availability of educational materials, and reduced classroom overcrowding.</t>
  </si>
  <si>
    <t>Provide teacher training and professional development opportunities:</t>
  </si>
  <si>
    <t>Explanation: Teacher training and professional development opportunities were insufficient in the past, leading to a lack of qualified and motivated educators and impacting the quality of education.</t>
  </si>
  <si>
    <t>Explanation: Teacher training and professional development opportunities have been expanded in the present, leading to a more skilled and motivated teaching workforce and enhancing the quality of education delivery.</t>
  </si>
  <si>
    <t>Ensure access to education for marginalized groups, including girls and children with disabilities:</t>
  </si>
  <si>
    <t>Explanation: Access to education for marginalized groups, including girls and children with disabilities, was restricted in the past due to barriers such as socio-cultural norms, lack of inclusive policies, and inadequate facilities.</t>
  </si>
  <si>
    <t>Explanation: Efforts to ensure access to education for marginalized groups, including girls and children with disabilities, have intensified in the present, with targeted interventions, inclusive policies, and improved facilities to address barriers to education.</t>
  </si>
  <si>
    <t>Promote inclusive and equitable education systems:</t>
  </si>
  <si>
    <t>Explanation: Inclusive and equitable education systems were lacking in the past, with disparities in access, retention, and quality of education among different socio-economic groups and marginalized communities.</t>
  </si>
  <si>
    <t>Explanation: Inclusive and equitable education systems have been promoted effectively in the present, with initiatives aimed at reducing disparities in access, retention, and quality of education among different socio-economic groups and marginalized communities.</t>
  </si>
  <si>
    <t>SDG 5 (Gender Equality)</t>
  </si>
  <si>
    <t>Enforce laws against gender-based discrimination and violence:</t>
  </si>
  <si>
    <t>Explanation: Enforcement of laws against gender-based discrimination and violence was limited in the past, with challenges such as low reporting rates, societal attitudes, and gaps in legal implementation hampering progress.</t>
  </si>
  <si>
    <t>Explanation: Enforcement of laws against gender-based discrimination and violence has improved significantly in the present, with increased awareness, legal reforms, and measures to strengthen law enforcement agencies leading to better protection of women's rights and increased reporting of gender-based violence incidents.</t>
  </si>
  <si>
    <t>Implement policies to promote women's economic empowerment and leadership:</t>
  </si>
  <si>
    <t>Explanation: Policies to promote women's economic empowerment and leadership were insufficient in the past, with limited opportunities for women in the workforce and leadership positions due to societal norms and structural barriers.</t>
  </si>
  <si>
    <t>Explanation: Policies to promote women's economic empowerment and leadership have been expanded in the present, with initiatives to improve access to education, training, employment opportunities, and support for women entrepreneurs leading to greater economic participation and leadership roles for women.</t>
  </si>
  <si>
    <t>Ensure equal access to education and healthcare for all genders:</t>
  </si>
  <si>
    <t>Explanation: Equal access to education and healthcare for all genders was not fully realized in the past, with disparities in access, retention, and quality of education and healthcare services between genders persisting due to socio-cultural norms and biases.</t>
  </si>
  <si>
    <t>Explanation: Efforts to ensure equal access to education and healthcare for all genders have intensified in the present, with targeted interventions, inclusive policies, and awareness campaigns leading to improved access, retention, and quality of education and healthcare services for women and other genders.</t>
  </si>
  <si>
    <t>Establish quotas for women's representation in political and corporate leadership:</t>
  </si>
  <si>
    <t>Explanation: Quotas for women's representation in political and corporate leadership were not widely implemented in the past, with limited progress in achieving gender balance in decision-making positions in politics and the corporate sector.</t>
  </si>
  <si>
    <t>Explanation: Quotas for women's representation in political and corporate leadership have been implemented more widely in the present, with affirmative action policies, electoral reforms, and corporate governance guidelines leading to increased representation of women in decision-making positions in politics and the corporate sector.</t>
  </si>
  <si>
    <t>SDG 6 (Clean Water and Sanitation)</t>
  </si>
  <si>
    <t>Invest in water infrastructure projects to improve access to clean water:</t>
  </si>
  <si>
    <t>Explanation: Moderate investment in water infrastructure projects was observed in the past, resulting in some improvement in access to clean water, but significant challenges remained in terms of coverage and infrastructure quality.</t>
  </si>
  <si>
    <t>Explanation: Significant investments have been made in water infrastructure projects in the present, resulting in improved access to clean water, expanded coverage, and upgraded infrastructure.</t>
  </si>
  <si>
    <t>Implement water conservation measures and promote sustainable water management practices:</t>
  </si>
  <si>
    <t>Explanation: Limited implementation of water conservation measures and sustainable water management practices was evident in the past, with efforts falling short in addressing water scarcity and promoting efficient water use.</t>
  </si>
  <si>
    <t>Explanation: Efforts to implement water conservation measures and promote sustainable water management practices have been moderate in the present, with some progress made in reducing water wastage and promoting efficient water use.</t>
  </si>
  <si>
    <t>Provide sanitation facilities in schools, communities, and public spaces:</t>
  </si>
  <si>
    <t>Explanation: Moderate provision of sanitation facilities occurred in the past, with some initiatives to build toilets and improve sanitation infrastructure, but challenges such as inadequate coverage persisted.</t>
  </si>
  <si>
    <t>Explanation: Provision of sanitation facilities has improved significantly in the present, with widespread efforts to build toilets, improve sanitation infrastructure, and promote hygiene practices.</t>
  </si>
  <si>
    <t>Address pollution and contamination of water sources:</t>
  </si>
  <si>
    <t>Explanation: Limited efforts were made to address pollution and contamination of water sources in the past, with insufficient regulations and enforcement leading to widespread pollution and degradation of water quality.</t>
  </si>
  <si>
    <t>Explanation: Efforts to address pollution and contamination of water sources have been moderate in the present, with some progress made in regulating industrial discharge and improving waste management practices, but challenges persist in controlling pollution effectively.</t>
  </si>
  <si>
    <t>SDG 7 (Affordable and Clean Energy)</t>
  </si>
  <si>
    <t>Invest in renewable energy sources such as solar, wind, and hydropower:</t>
  </si>
  <si>
    <t>Explanation: Limited investments were made in renewable energy sources in the past, resulting in a slow transition from fossil fuels to cleaner alternatives.</t>
  </si>
  <si>
    <t>Explanation: There has been moderate improvement in investments in renewable energy sources in the present, showing progress in transitioning to cleaner alternatives.</t>
  </si>
  <si>
    <t>Provide subsidies for clean energy technologies and energy-efficient appliances:</t>
  </si>
  <si>
    <t>Explanation: Subsidies for clean energy technologies and energy-efficient appliances were insufficient in the past, hindering widespread adoption and affordability.</t>
  </si>
  <si>
    <t>Explanation: Efforts to provide subsidies for clean energy technologies and energy-efficient appliances have seen some improvement in the present, making cleaner energy solutions more accessible and affordable.</t>
  </si>
  <si>
    <t>Develop infrastructure for clean energy production and distribution:</t>
  </si>
  <si>
    <t>Explanation: Infrastructure development for clean energy production and distribution was lacking in the past, leading to challenges in accessibility and reliability.</t>
  </si>
  <si>
    <t>Explanation: Infrastructure development for clean energy production and distribution has improved in the present, leading to better accessibility and reliability of clean energy sources.</t>
  </si>
  <si>
    <t>Implement energy efficiency measures in industries, buildings, and transportation:</t>
  </si>
  <si>
    <t>Explanation: Efforts to implement energy efficiency measures were inadequate in the past, resulting in high energy consumption and inefficiency.</t>
  </si>
  <si>
    <t>Explanation: Efforts to implement energy efficiency measures have seen some progress in the present, resulting in reduced energy consumption and improved efficiency across sectors.</t>
  </si>
  <si>
    <t>SDG 8 (Decent Work and Economic Growth)</t>
  </si>
  <si>
    <t>Promote job creation through investment in infrastructure and small businesses:</t>
  </si>
  <si>
    <t>Explanation: Moderate efforts were made to promote job creation through investment in infrastructure and small businesses, resulting in some employment opportunities but with room for improvement.</t>
  </si>
  <si>
    <t>Explanation: Significant efforts have been made to promote job creation through investment in infrastructure and small businesses in the present, resulting in increased employment opportunities and economic growth.</t>
  </si>
  <si>
    <t>Enforce labor rights and ensure fair wages and working conditions:</t>
  </si>
  <si>
    <t>Explanation: Labor rights enforcement and ensuring fair wages and working conditions were lacking in the past, leading to exploitation and inadequate working conditions for many workers.</t>
  </si>
  <si>
    <t>Explanation: Efforts to enforce labor rights and ensure fair wages and working conditions have improved in the present, with better regulations and enforcement mechanisms leading to enhanced worker protection.</t>
  </si>
  <si>
    <t>Support entrepreneurship and access to finance for micro, small, and medium-sized enterprises (MSMEs):</t>
  </si>
  <si>
    <t>Explanation: Some support was provided for entrepreneurship and access to finance for MSMEs in the past, leading to growth in some small businesses but with limited impact on overall economic growth.</t>
  </si>
  <si>
    <t>Explanation: Substantial support has been provided for entrepreneurship and access to finance for MSMEs in the present, leading to significant growth in small businesses and contributing to economic development.</t>
  </si>
  <si>
    <t>Foster innovation and skills development to enhance productivity and competitiveness:</t>
  </si>
  <si>
    <t>Explanation: Innovation and skills development initiatives were insufficient in the past, resulting in skills gaps and reduced competitiveness in the workforce.</t>
  </si>
  <si>
    <t>Explanation: Efforts to foster innovation and skills development have improved in the present, with increased investment in education, training, and research and development leading to enhanced productivity and competitiveness.</t>
  </si>
  <si>
    <t>SDG 9 (Industry, Innovation, and Infrastructure):</t>
  </si>
  <si>
    <t>Invest in infrastructure development, including transportation, energy, and communication networks:</t>
  </si>
  <si>
    <t>Explanation: Limited investment in infrastructure development occurred in the past, leading to inadequate transportation, energy, and communication networks, hindering economic growth and connectivity.</t>
  </si>
  <si>
    <t>Explanation: There has been moderate improvement in infrastructure development in the present, with increased investment leading to better transportation, energy, and communication networks, enhancing connectivity and economic development.</t>
  </si>
  <si>
    <t>Support research and development initiatives to foster innovation and technological advancement:</t>
  </si>
  <si>
    <t>Explanation: Research and development initiatives to foster innovation and technological advancement were insufficient in the past, resulting in limited progress in developing indigenous technologies and fostering innovation.</t>
  </si>
  <si>
    <t>Explanation: Support for research and development initiatives has increased in the present, fostering innovation and technological advancement, leading to the development of new technologies and solutions to address societal challenges.</t>
  </si>
  <si>
    <t>Promote public-private partnerships for infrastructure projects:</t>
  </si>
  <si>
    <t>Explanation: Promotion of public-private partnerships for infrastructure projects was limited in the past, resulting in slow progress in infrastructure development and delivery of services.</t>
  </si>
  <si>
    <t>Explanation: Promotion of public-private partnerships for infrastructure projects has improved in the present, facilitating collaboration between government and private sector entities, resulting in more efficient project delivery and resource utilization.</t>
  </si>
  <si>
    <t>Enhance connectivity and access to information and communication technologies (ICT):</t>
  </si>
  <si>
    <t>Explanation: Connectivity and access to ICT saw some improvement in the past, but challenges remained in ensuring universal access and affordability, particularly in rural and remote areas.</t>
  </si>
  <si>
    <t>Explanation: Connectivity and access to ICT have significantly improved in the present, with expanded coverage and affordability of ICT services, enabling greater access to information, education, and opportunities for individuals and businesses.</t>
  </si>
  <si>
    <t>SDG 10 (Reduced Inequality):</t>
  </si>
  <si>
    <t>Implement progressive taxation policies to redistribute wealth:</t>
  </si>
  <si>
    <t>Explanation: Progressive taxation policies to redistribute wealth were insufficient in the past, resulting in widening income disparities and limited redistribution of resources.</t>
  </si>
  <si>
    <t>Explanation: There has been moderate improvement in implementing progressive taxation policies in the present, leading to some redistribution of wealth and reduction in income inequalities.</t>
  </si>
  <si>
    <t>Provide social safety nets and targeted assistance programs for marginalized groups:</t>
  </si>
  <si>
    <t>Explanation: Social safety nets and targeted assistance programs for marginalized groups were limited in the past, with inadequate coverage and support leading to persistent inequalities.</t>
  </si>
  <si>
    <t>Explanation: Significant progress has been made in providing social safety nets and targeted assistance programs for marginalized groups in the present, improving their access to essential services and support.</t>
  </si>
  <si>
    <t>Promote inclusive economic growth and access to opportunities for all:</t>
  </si>
  <si>
    <t>Explanation: Efforts to promote inclusive economic growth and access to opportunities for all showed some progress in the past, but disparities persisted, particularly for marginalized communities.</t>
  </si>
  <si>
    <t>Explanation: Efforts to promote inclusive economic growth and access to opportunities for all have intensified in the present, resulting in reduced disparities and increased participation in economic activities by marginalized communities.</t>
  </si>
  <si>
    <t>Address discrimination based on race, ethnicity, religion, gender, or disability:</t>
  </si>
  <si>
    <t>Explanation: Addressing discrimination based on various factors was insufficient in the past, with deep-rooted social biases and inadequate measures to address systemic discrimination.</t>
  </si>
  <si>
    <t>Explanation: There has been significant improvement in addressing discrimination based on various factors in the present, with strengthened legal frameworks and awareness campaigns leading to greater societal acceptance and equality.</t>
  </si>
  <si>
    <t>SDG 11 (Sustainable Cities and Communities):</t>
  </si>
  <si>
    <t>Invest in public transportation infrastructure to reduce congestion and emissions:</t>
  </si>
  <si>
    <t>Explanation: Investment in public transportation infrastructure was limited in the past, resulting in increased congestion and emissions due to heavy reliance on private vehicles.</t>
  </si>
  <si>
    <t>Explanation: There has been moderate improvement in investing in public transportation infrastructure in the present, resulting in reduced congestion and emissions as more people opt for public transport.</t>
  </si>
  <si>
    <t>Implement urban planning strategies that prioritize mixed land use and green spaces:</t>
  </si>
  <si>
    <t>Explanation: Urban planning strategies prioritizing mixed land use and green spaces were insufficient in the past, leading to urban sprawl and inadequate access to green areas.</t>
  </si>
  <si>
    <t>Explanation: Urban planning strategies prioritizing mixed land use and green spaces have improved in the present, leading to more sustainable development and improved quality of life in cities.</t>
  </si>
  <si>
    <t>Upgrade slum areas with access to basic services such as water, sanitation, and electricity:</t>
  </si>
  <si>
    <t>Explanation: Upgrading slum areas with access to basic services was limited in the past, resulting in poor living conditions and inadequate infrastructure in these areas.</t>
  </si>
  <si>
    <t>Explanation: Efforts to upgrade slum areas with access to basic services have intensified in the present, leading to improved living conditions and infrastructure in these areas.</t>
  </si>
  <si>
    <t>Promote affordable housing developments and implement policies to prevent urban sprawl:</t>
  </si>
  <si>
    <t>Explanation: Promotion of affordable housing developments and policies to prevent urban sprawl was inadequate in the past, leading to housing shortages and unplanned urban expansion.</t>
  </si>
  <si>
    <t>Explanation: Promotion of affordable housing developments and policies to prevent urban sprawl have seen some improvement in the present, resulting in better housing options and more controlled urban expansion.</t>
  </si>
  <si>
    <t>SDG 12 (Responsible Consumption and Production):</t>
  </si>
  <si>
    <t>Implement regulations to reduce waste generation and promote recycling and reuse:</t>
  </si>
  <si>
    <t>Explanation: Regulations to reduce waste generation and promote recycling and reuse were limited in the past, resulting in high levels of waste and inadequate recycling practices.</t>
  </si>
  <si>
    <t>Explanation: There has been moderate improvement in implementing regulations to reduce waste generation and promote recycling and reuse in the present, resulting in better waste management practices and increased recycling rates.</t>
  </si>
  <si>
    <t>Encourage sustainable production practices in industries through incentives and standards:</t>
  </si>
  <si>
    <t>Explanation: Encouragement of sustainable production practices in industries was insufficient in the past, with few incentives and standards in place to promote sustainability.</t>
  </si>
  <si>
    <t>Explanation: Efforts to encourage sustainable production practices in industries have improved in the present, with more incentives and standards in place to promote sustainability and reduce environmental impact.</t>
  </si>
  <si>
    <t>Raise consumer awareness about the environmental impact of consumption choices:</t>
  </si>
  <si>
    <t>Explanation: Consumer awareness about the environmental impact of consumption choices was low in the past, leading to unsustainable consumption patterns and resource depletion.</t>
  </si>
  <si>
    <t>Explanation: Consumer awareness about the environmental impact of consumption choices has increased in the present, leading to more sustainable consumption patterns and reduced resource consumption.</t>
  </si>
  <si>
    <t>Support sustainable procurement practices in government and private sectors:</t>
  </si>
  <si>
    <t>Explanation: Support for sustainable procurement practices in the government and private sectors was limited in the past, resulting in a lack of emphasis on sustainability in procurement decisions.</t>
  </si>
  <si>
    <t>Explanation: Support for sustainable procurement practices in the government and private sectors has seen improvement in the present, with greater emphasis on sustainability in procurement decisions and supply chain management.</t>
  </si>
  <si>
    <t>SDG 13 (Climate Action):</t>
  </si>
  <si>
    <t>Set targets for reducing greenhouse gas emissions and transition to renewable energy sources:</t>
  </si>
  <si>
    <t>Explanation: India had limited success in setting targets for reducing greenhouse gas emissions and transitioning to renewable energy sources in the past, with slow progress due to challenges in balancing economic growth with environmental concerns.</t>
  </si>
  <si>
    <t>Explanation: There has been some improvement in setting targets for reducing greenhouse gas emissions and transitioning to renewable energy sources in the present, but challenges remain in achieving ambitious targets due to competing developmental needs.</t>
  </si>
  <si>
    <t>Implement policies to adapt to climate change impacts, such as building resilient infrastructure:</t>
  </si>
  <si>
    <t>Explanation: Implementation of policies to adapt to climate change impacts, such as building resilient infrastructure, was insufficient in the past, resulting in vulnerabilities to climate-related disasters and inadequate adaptation measures.</t>
  </si>
  <si>
    <t>Explanation: Implementation of policies to adapt to climate change impacts has improved in the present, with greater emphasis on building resilient infrastructure, but gaps persist in effectively addressing all climate-related risks.</t>
  </si>
  <si>
    <t>Promote afforestation and reforestation efforts to sequester carbon and preserve biodiversity:</t>
  </si>
  <si>
    <t>Explanation: Promotion of afforestation and reforestation efforts to sequester carbon and preserve biodiversity was limited in the past, leading to deforestation and loss of biodiversity due to competing interests in land use.</t>
  </si>
  <si>
    <t>Explanation: Promotion of afforestation and reforestation efforts has seen some improvement in the present, but challenges remain in scaling up efforts to effectively sequester carbon and preserve biodiversity amidst competing land use demands.</t>
  </si>
  <si>
    <t>Support international cooperation and partnerships to address climate change:</t>
  </si>
  <si>
    <t>Explanation: India showed some commitment to supporting international cooperation and partnerships to address climate change in the past, but progress was hindered by geopolitical challenges and domestic priorities.</t>
  </si>
  <si>
    <t>Explanation: India continues to support international cooperation and partnerships to address climate change in the present, but progress is hindered by geopolitical complexities and limited resources for global climate initiatives.</t>
  </si>
  <si>
    <t>SDG 14 (Life Below Water):</t>
  </si>
  <si>
    <t>Establish marine protected areas and regulate fishing practices to promote sustainable fisheries:</t>
  </si>
  <si>
    <t>Explanation: Efforts to establish marine protected areas and regulate fishing practices were insufficient in the past, leading to overfishing and depletion of marine resources.</t>
  </si>
  <si>
    <t>Explanation: There has been significant progress in establishing marine protected areas and regulating fishing practices in the present, leading to improved sustainability of fisheries and conservation of marine resources.</t>
  </si>
  <si>
    <t>Reduce pollution and plastic waste entering oceans through regulatory measures:</t>
  </si>
  <si>
    <t>Explanation: Measures to reduce pollution and plastic waste entering oceans were minimal in the past, resulting in significant pollution and degradation of marine ecosystems.</t>
  </si>
  <si>
    <t>Explanation: Efforts to reduce pollution and plastic waste entering oceans have intensified in the present, resulting in reduced pollution levels and improved marine ecosystem health.</t>
  </si>
  <si>
    <t>Implement measures to conserve coastal and marine ecosystems, such as mangroves and coral reefs:</t>
  </si>
  <si>
    <t>Explanation: Some measures to conserve coastal and marine ecosystems were implemented in the past, leading to partial preservation of mangroves and coral reefs, but further efforts were needed.</t>
  </si>
  <si>
    <t>Explanation: Implementation of measures to conserve coastal and marine ecosystems has significantly improved in the present, leading to enhanced preservation of mangroves and coral reefs.</t>
  </si>
  <si>
    <t>Support research and monitoring initiatives to assess and protect marine biodiversity:</t>
  </si>
  <si>
    <t>Explanation: Support for research and monitoring initiatives was limited in the past, hindering effective assessment and protection of marine biodiversity.</t>
  </si>
  <si>
    <t>Explanation: Support for research and monitoring initiatives has increased in the present, resulting in better understanding and protection of marine biodiversity, but further investment is needed for comprehensive assessment and conservation efforts.</t>
  </si>
  <si>
    <t>SDG 15 (Life on Land):</t>
  </si>
  <si>
    <t>Expand protected areas and restore degraded ecosystems, such as forests and wetlands:</t>
  </si>
  <si>
    <t>Explanation: Efforts to expand protected areas and restore degraded ecosystems were somewhat limited in the past, resulting in continued loss of biodiversity and degradation of vital ecosystems like forests and wetlands.</t>
  </si>
  <si>
    <t>Explanation: There has been some progress in expanding protected areas and restoring degraded ecosystems in the present, resulting in increased conservation efforts and restoration projects aimed at preserving biodiversity and ecosystem services.</t>
  </si>
  <si>
    <t>Combat illegal poaching, and wildlife trafficking through law enforcement measures:</t>
  </si>
  <si>
    <t>Explanation: Combatting illegal poaching, and wildlife trafficking through law enforcement measures was largely ineffective in the past, leading to significant declines in wildlife populations and loss of biodiversity.</t>
  </si>
  <si>
    <t>Explanation: Efforts to combat illegal logging, poaching, and wildlife trafficking through law enforcement measures have seen limited improvement in the present, with ongoing challenges in enforcing regulations and addressing illegal activities.</t>
  </si>
  <si>
    <t>Promote sustainable land management practices to prevent desertification and soil erosion:</t>
  </si>
  <si>
    <t>Explanation: Some efforts were made to promote sustainable land management practices in the past, leading to partial success in preventing desertification and soil erosion, but more comprehensive measures were needed.</t>
  </si>
  <si>
    <t>Explanation: Promotion of sustainable land management practices has significantly improved in the present, leading to better soil conservation and reduced desertification, with increased adoption of sustainable agriculture and land-use practices.</t>
  </si>
  <si>
    <t>Support community-based conservation initiatives:</t>
  </si>
  <si>
    <t>Explanation: Support for community-based conservation initiatives was insufficient in the past, resulting in limited empowerment of local communities and indigenous groups in managing natural resources.</t>
  </si>
  <si>
    <t>Explanation: Support for community-based conservation initiatives and indigenous land rights has increased in the present, leading to greater involvement of local communities and indigenous groups in conservation efforts and natural resource management.</t>
  </si>
  <si>
    <t>SDG 16 (Peace, Justice, and Strong Institutions):</t>
  </si>
  <si>
    <t>Strengthen the rule of law and ensure access to justice for all citizens:</t>
  </si>
  <si>
    <t>Explanation: Efforts to strengthen the rule of law and ensure access to justice were relatively successful in the past, with established legal frameworks and judicial systems, though accessibility and efficiency remained challenges.</t>
  </si>
  <si>
    <t>Explanation: There has been significant improvement in strengthening the rule of law and ensuring access to justice for all citizens in the present, with reforms aimed at improving legal systems, enhancing judicial efficiency, and increasing legal aid services.</t>
  </si>
  <si>
    <t>Combat corruption and promote transparency and accountability in governance:</t>
  </si>
  <si>
    <t>Explanation: India made some progress in combatting corruption and promoting transparency and accountability in governance in the past, but corruption remained a significant issue, with limited success in addressing it effectively.</t>
  </si>
  <si>
    <t>Explanation: Efforts to combat corruption and promote transparency and accountability in governance have intensified in the present, with stronger anti-corruption measures, increased transparency in government processes, and enhanced accountability mechanisms.</t>
  </si>
  <si>
    <t>Invest in conflict prevention and peacebuilding efforts, including disarmament programs:</t>
  </si>
  <si>
    <t>Explanation: Investment in conflict prevention and peacebuilding efforts, including disarmament programs, was moderate in the past, with some initiatives in place but limited impact on reducing conflicts and violence.</t>
  </si>
  <si>
    <t>Explanation: Investment in conflict prevention and peacebuilding efforts, including disarmament programs, has increased in the present, with greater emphasis on resolving conflicts through dialogue, mediation, and peacebuilding initiatives.</t>
  </si>
  <si>
    <t>Protect human rights and promote inclusive and participatory decision-making processes:</t>
  </si>
  <si>
    <t>Explanation: India demonstrated commitment to protecting human rights and promoting inclusive decision-making processes in the past, with established mechanisms for human rights protection and participation, though challenges persisted.</t>
  </si>
  <si>
    <t>Explanation: India continues to prioritize human rights protection and inclusive decision-making processes in the present, with efforts to address social inequalities, empower marginalized groups, and enhance participation in governance and decision-making.</t>
  </si>
  <si>
    <t>SDG 17 (Partnerships for the Goals):</t>
  </si>
  <si>
    <t>Foster international cooperation and collaboration to achieve the SDGs:</t>
  </si>
  <si>
    <t>Explanation: India has actively fostered international cooperation and collaboration to achieve the SDGs in the past, participating in various global initiatives and partnerships aimed at addressing common challenges.</t>
  </si>
  <si>
    <t>Explanation: There has been significant progress in fostering international cooperation and collaboration to achieve the SDGs in the present, with India playing an increasingly proactive role in global partnerships and initiatives.</t>
  </si>
  <si>
    <t>Strengthen partnerships between governments, civil society, and the private sector:</t>
  </si>
  <si>
    <t>Explanation: India has made significant efforts to strengthen partnerships between governments, civil society, and the private sector in the past, recognizing the importance of multi-stakeholder collaboration in achieving sustainable development goals.</t>
  </si>
  <si>
    <t>Explanation: Efforts to strengthen partnerships between governments, civil society, and the private sector have intensified in the present, leading to more effective collaboration and coordinated action towards common goals.</t>
  </si>
  <si>
    <t>Support developing countries in accessing technology, finance, and capacity-building resources:</t>
  </si>
  <si>
    <t>Explanation: India has been supportive of efforts to support developing countries in accessing technology, finance, and capacity-building resources in the past, contributing to initiatives aimed at bridging the development gap and promoting global equity.</t>
  </si>
  <si>
    <t>Explanation: India continues to support developing countries in accessing technology, finance, and capacity-building resources in the present, contributing to initiatives that promote sustainable development and poverty alleviation globally.</t>
  </si>
  <si>
    <t>Promote multi-stakeholder partnerships for sustainable development initiatives at the local, national, and global levels:</t>
  </si>
  <si>
    <t>Explanation: India has actively promoted multi-stakeholder partnerships for sustainable development initiatives at various levels - local, national, and global - in the past, engaging diverse stakeholders in decision-making and implementation processes.</t>
  </si>
  <si>
    <t>Explanation: India remains committed to promoting multi-stakeholder partnerships for sustainable development initiatives at various levels in the present, fostering inclusive decision-making and collective action for positive change.</t>
  </si>
  <si>
    <t>Average</t>
  </si>
  <si>
    <t>Projected 2030 VALUE --- SDG1</t>
  </si>
  <si>
    <t>Projected 2030 VALUE --- SDG2</t>
  </si>
  <si>
    <t>Projected 2030 VALUE --- SDG3</t>
  </si>
  <si>
    <t>Projected 2030 VALUE --- SDG4</t>
  </si>
  <si>
    <t>Projected 2030 VALUE --- SDG5</t>
  </si>
  <si>
    <t>Projected 2030 VALUE --- SDG6</t>
  </si>
  <si>
    <t>Projected 2030 VALUE --- SDG7</t>
  </si>
  <si>
    <t>Projected 2030 VALUE --- SDG8</t>
  </si>
  <si>
    <t>Projected 2030 VALUE --- SDG9</t>
  </si>
  <si>
    <t>Projected 2030 VALUE --- SDG10</t>
  </si>
  <si>
    <t>Projected 2030 VALUE --- SDG11</t>
  </si>
  <si>
    <t>Projected 2030 VALUE --- SDG12</t>
  </si>
  <si>
    <t>Projected 2030 VALUE --- SDG13</t>
  </si>
  <si>
    <t>Projected 2030 VALUE --- SDG14</t>
  </si>
  <si>
    <t>Projected 2030 VALUE --- SDG15</t>
  </si>
  <si>
    <t>Projected 2030 VALUE --- SDG16</t>
  </si>
  <si>
    <t>Projected 2030 VALUE --- SDG17</t>
  </si>
  <si>
    <t>Projected SDG1 India</t>
  </si>
  <si>
    <t>Projected SDG2 India</t>
  </si>
  <si>
    <t>Projected SDG3 India</t>
  </si>
  <si>
    <t>Projected SDG4 India</t>
  </si>
  <si>
    <t>Projected SDG5 India</t>
  </si>
  <si>
    <t>Projected SDG6 India</t>
  </si>
  <si>
    <t>Projected SDG7 India</t>
  </si>
  <si>
    <t>Projected SDG8 India</t>
  </si>
  <si>
    <t>Projected SDG9 India</t>
  </si>
  <si>
    <t>Projected SDG10 India</t>
  </si>
  <si>
    <t>Projected SDG11 India</t>
  </si>
  <si>
    <t>Projected SDG12 India</t>
  </si>
  <si>
    <t>Projected SDG13 India</t>
  </si>
  <si>
    <t>Projected SDG14 India</t>
  </si>
  <si>
    <t>Projected SDG15 India</t>
  </si>
  <si>
    <t>Projected SDG16 India</t>
  </si>
  <si>
    <t>Projected SDG17 India</t>
  </si>
  <si>
    <t>Actual SDG1 India</t>
  </si>
  <si>
    <t>Actual SDG2 India</t>
  </si>
  <si>
    <t>Actual SDG3 India</t>
  </si>
  <si>
    <t>Actual SDG4 India</t>
  </si>
  <si>
    <t>Actual SDG5 India</t>
  </si>
  <si>
    <t>Actual SDG6 India</t>
  </si>
  <si>
    <t>Actual SDG7 India</t>
  </si>
  <si>
    <t>Actual SDG8 India</t>
  </si>
  <si>
    <t>Actual SDG9 India</t>
  </si>
  <si>
    <t>Actual SDG10 India</t>
  </si>
  <si>
    <t>Actual SDG11 India</t>
  </si>
  <si>
    <t>Actual SDG12 India</t>
  </si>
  <si>
    <t>Actual SDG13 India</t>
  </si>
  <si>
    <t>Actual SDG14 India</t>
  </si>
  <si>
    <t>Actual SDG15 India</t>
  </si>
  <si>
    <t>Actual SDG16 India</t>
  </si>
  <si>
    <t>Actual SDG17 India</t>
  </si>
  <si>
    <t>Reallocation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</si>
</sst>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_);[Red]\(0.00\)"/>
  </numFmts>
  <fonts count="11" x14ac:knownFonts="1">
    <font>
      <sz val="10"/>
      <name val="Arial"/>
    </font>
    <font>
      <sz val="11"/>
      <name val="Calibri"/>
      <family val="2"/>
      <charset val="1"/>
    </font>
    <font>
      <b/>
      <sz val="10"/>
      <name val="Arial"/>
      <family val="2"/>
    </font>
    <font>
      <b/>
      <sz val="11"/>
      <name val="Calibri"/>
      <family val="2"/>
      <charset val="1"/>
    </font>
    <font>
      <b/>
      <sz val="14"/>
      <name val="Arial"/>
      <family val="2"/>
    </font>
    <font>
      <b/>
      <sz val="10"/>
      <name val="Arial"/>
      <family val="2"/>
    </font>
    <font>
      <sz val="8"/>
      <name val="Arial"/>
      <family val="2"/>
    </font>
    <font>
      <sz val="10"/>
      <name val="Arial"/>
      <family val="2"/>
    </font>
    <font>
      <b/>
      <sz val="12"/>
      <name val="Calibri Light"/>
      <family val="2"/>
    </font>
    <font>
      <sz val="12"/>
      <name val="Calibri Light"/>
      <family val="2"/>
    </font>
    <font>
      <b/>
      <sz val="12"/>
      <color indexed="8"/>
      <name val="Calibri Light"/>
      <family val="2"/>
    </font>
  </fonts>
  <fills count="6">
    <fill>
      <patternFill patternType="none"/>
    </fill>
    <fill>
      <patternFill patternType="gray125"/>
    </fill>
    <fill>
      <patternFill patternType="solid">
        <fgColor indexed="9"/>
        <bgColor indexed="26"/>
      </patternFill>
    </fill>
    <fill>
      <patternFill patternType="solid">
        <fgColor indexed="13"/>
        <bgColor indexed="51"/>
      </patternFill>
    </fill>
    <fill>
      <patternFill patternType="solid">
        <fgColor indexed="42"/>
        <bgColor indexed="27"/>
      </patternFill>
    </fill>
    <fill>
      <patternFill patternType="solid">
        <fgColor indexed="47"/>
        <bgColor indexed="22"/>
      </patternFill>
    </fill>
  </fills>
  <borders count="3">
    <border>
      <left/>
      <right/>
      <top/>
      <bottom/>
      <diagonal/>
    </border>
    <border>
      <left style="thin">
        <color indexed="8"/>
      </left>
      <right style="thin">
        <color indexed="8"/>
      </right>
      <top style="thin">
        <color indexed="8"/>
      </top>
      <bottom style="thin">
        <color indexed="8"/>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0" fontId="1" fillId="0" borderId="0"/>
  </cellStyleXfs>
  <cellXfs count="34">
    <xf numFmtId="0" fontId="0" fillId="0" borderId="0" xfId="0"/>
    <xf numFmtId="0" fontId="2" fillId="0" borderId="0" xfId="0" applyFont="1" applyAlignment="1">
      <alignment horizontal="center" vertical="center" wrapText="1"/>
    </xf>
    <xf numFmtId="2" fontId="0" fillId="0" borderId="0" xfId="0" applyNumberFormat="1" applyAlignment="1">
      <alignment horizontal="center"/>
    </xf>
    <xf numFmtId="0" fontId="0" fillId="0" borderId="0" xfId="0" applyAlignment="1">
      <alignment horizontal="center"/>
    </xf>
    <xf numFmtId="2" fontId="1" fillId="0" borderId="0" xfId="1" applyNumberFormat="1" applyAlignment="1">
      <alignment horizontal="center"/>
    </xf>
    <xf numFmtId="0" fontId="3" fillId="0" borderId="0" xfId="1" applyFont="1" applyAlignment="1">
      <alignment wrapText="1"/>
    </xf>
    <xf numFmtId="2" fontId="3" fillId="0" borderId="0" xfId="1" applyNumberFormat="1" applyFont="1" applyAlignment="1">
      <alignment horizontal="left" wrapText="1"/>
    </xf>
    <xf numFmtId="0" fontId="3" fillId="0" borderId="0" xfId="1" applyFont="1" applyAlignment="1">
      <alignment horizontal="left" wrapText="1"/>
    </xf>
    <xf numFmtId="2" fontId="3" fillId="0" borderId="0" xfId="1" applyNumberFormat="1" applyFont="1" applyAlignment="1">
      <alignment horizontal="center" wrapText="1"/>
    </xf>
    <xf numFmtId="0" fontId="3" fillId="0" borderId="0" xfId="0" applyFont="1" applyAlignment="1">
      <alignment wrapText="1"/>
    </xf>
    <xf numFmtId="164" fontId="3" fillId="0" borderId="0" xfId="0" applyNumberFormat="1" applyFont="1" applyAlignment="1">
      <alignment horizontal="center" wrapText="1"/>
    </xf>
    <xf numFmtId="164" fontId="0" fillId="0" borderId="0" xfId="0" applyNumberFormat="1" applyAlignment="1">
      <alignment horizontal="center"/>
    </xf>
    <xf numFmtId="164" fontId="0" fillId="0" borderId="0" xfId="0" applyNumberFormat="1"/>
    <xf numFmtId="0" fontId="0" fillId="2" borderId="0" xfId="0" applyFill="1"/>
    <xf numFmtId="0" fontId="2" fillId="0" borderId="0" xfId="0" applyFont="1"/>
    <xf numFmtId="0" fontId="2" fillId="0" borderId="0" xfId="0" applyFont="1" applyAlignment="1">
      <alignment horizontal="center"/>
    </xf>
    <xf numFmtId="0" fontId="2" fillId="3" borderId="1" xfId="0" applyFont="1" applyFill="1" applyBorder="1" applyAlignment="1">
      <alignment horizontal="center" vertical="center"/>
    </xf>
    <xf numFmtId="0" fontId="4" fillId="2" borderId="1" xfId="0" applyFont="1" applyFill="1" applyBorder="1" applyAlignment="1">
      <alignment horizontal="center" vertical="center"/>
    </xf>
    <xf numFmtId="0" fontId="4" fillId="4"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0" xfId="0" applyFont="1"/>
    <xf numFmtId="9" fontId="0" fillId="0" borderId="0" xfId="0" applyNumberFormat="1"/>
    <xf numFmtId="2" fontId="0" fillId="0" borderId="0" xfId="0" applyNumberFormat="1"/>
    <xf numFmtId="165" fontId="0" fillId="0" borderId="0" xfId="0" applyNumberFormat="1"/>
    <xf numFmtId="0" fontId="8" fillId="0" borderId="2" xfId="0" applyFont="1" applyBorder="1" applyAlignment="1">
      <alignment vertical="top" wrapText="1"/>
    </xf>
    <xf numFmtId="0" fontId="8" fillId="0" borderId="2" xfId="0" applyFont="1" applyBorder="1" applyAlignment="1">
      <alignment horizontal="center" vertical="top" wrapText="1"/>
    </xf>
    <xf numFmtId="0" fontId="9" fillId="0" borderId="2" xfId="0" applyFont="1" applyBorder="1" applyAlignment="1">
      <alignment vertical="top" wrapText="1"/>
    </xf>
    <xf numFmtId="2" fontId="9" fillId="0" borderId="0" xfId="0" applyNumberFormat="1" applyFont="1"/>
    <xf numFmtId="0" fontId="9" fillId="0" borderId="0" xfId="0" applyFont="1"/>
    <xf numFmtId="0" fontId="9" fillId="0" borderId="0" xfId="0" applyFont="1" applyAlignment="1">
      <alignment horizontal="left" vertical="center" wrapText="1"/>
    </xf>
    <xf numFmtId="0" fontId="10" fillId="0" borderId="0" xfId="0" applyFont="1" applyAlignment="1">
      <alignment horizontal="left" vertical="center" wrapText="1"/>
    </xf>
    <xf numFmtId="0" fontId="9" fillId="0" borderId="0" xfId="0" applyFont="1" applyAlignment="1">
      <alignment wrapText="1"/>
    </xf>
    <xf numFmtId="2" fontId="8" fillId="0" borderId="0" xfId="0" applyNumberFormat="1" applyFont="1"/>
    <xf numFmtId="0" fontId="7" fillId="0" borderId="0" xfId="0" applyFont="1"/>
  </cellXfs>
  <cellStyles count="2">
    <cellStyle name="Normal" xfId="0" builtinId="0"/>
    <cellStyle name="Normal 2" xfId="1" xr:uid="{00000000-0005-0000-0000-000001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C000"/>
      <rgbColor rgb="00FF00FF"/>
      <rgbColor rgb="0000FFFF"/>
      <rgbColor rgb="00E5243B"/>
      <rgbColor rgb="00008000"/>
      <rgbColor rgb="00000080"/>
      <rgbColor rgb="00BF8B2E"/>
      <rgbColor rgb="00800080"/>
      <rgbColor rgb="000A97D9"/>
      <rgbColor rgb="00C0C0C0"/>
      <rgbColor rgb="00808080"/>
      <rgbColor rgb="009999FF"/>
      <rgbColor rgb="00A21942"/>
      <rgbColor rgb="00FFFFCC"/>
      <rgbColor rgb="00CCFFFF"/>
      <rgbColor rgb="00660066"/>
      <rgbColor rgb="00DDA63A"/>
      <rgbColor rgb="0000689D"/>
      <rgbColor rgb="00CCCCFF"/>
      <rgbColor rgb="00000080"/>
      <rgbColor rgb="00FF00FF"/>
      <rgbColor rgb="00FFFF00"/>
      <rgbColor rgb="0000FFFF"/>
      <rgbColor rgb="00800080"/>
      <rgbColor rgb="00E13A21"/>
      <rgbColor rgb="00008080"/>
      <rgbColor rgb="000000FF"/>
      <rgbColor rgb="0000CCFF"/>
      <rgbColor rgb="00CCFFFF"/>
      <rgbColor rgb="00CCFFCC"/>
      <rgbColor rgb="00FFFF99"/>
      <rgbColor rgb="0099CCFF"/>
      <rgbColor rgb="00FF99CC"/>
      <rgbColor rgb="00CC99FF"/>
      <rgbColor rgb="00FFCC99"/>
      <rgbColor rgb="003366FF"/>
      <rgbColor rgb="0026BDE2"/>
      <rgbColor rgb="0056C02B"/>
      <rgbColor rgb="00FCC30B"/>
      <rgbColor rgb="00FD9D24"/>
      <rgbColor rgb="00FD6925"/>
      <rgbColor rgb="003F7E44"/>
      <rgbColor rgb="00969696"/>
      <rgbColor rgb="0019486A"/>
      <rgbColor rgb="004C9F38"/>
      <rgbColor rgb="00003300"/>
      <rgbColor rgb="00333300"/>
      <rgbColor rgb="00C5192D"/>
      <rgbColor rgb="00DD1367"/>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2.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hartsheet" Target="chartsheets/sheet1.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Model!$A$174</c:f>
              <c:strCache>
                <c:ptCount val="1"/>
                <c:pt idx="0">
                  <c:v>Actual SDG1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Model!$B$173:$M$173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Model!$B$174:$M$174</c:f>
              <c:numCache>
                <c:formatCode>General</c:formatCode>
                <c:ptCount val="12"/>
                <c:pt idx="0">
                  <c:v>93.385078430175781</c:v>
                </c:pt>
                <c:pt idx="1">
                  <c:v>96.310296211576627</c:v>
                </c:pt>
                <c:pt idx="2">
                  <c:v>71.406456444408789</c:v>
                </c:pt>
                <c:pt idx="3">
                  <c:v>74.522999999999996</c:v>
                </c:pt>
                <c:pt idx="4">
                  <c:v>59.576500000000003</c:v>
                </c:pt>
                <c:pt idx="5">
                  <c:v>61.27</c:v>
                </c:pt>
                <c:pt idx="6">
                  <c:v>86.233500000000006</c:v>
                </c:pt>
              </c:numCache>
            </c:numRef>
          </c:yVal>
          <c:smooth val="0"/>
          <c:extLst>
            <c:ext xmlns:c16="http://schemas.microsoft.com/office/drawing/2014/chart" uri="{C3380CC4-5D6E-409C-BE32-E72D297353CC}">
              <c16:uniqueId val="{00000000-B527-462E-81C7-3F801B629333}"/>
            </c:ext>
          </c:extLst>
        </c:ser>
        <c:ser>
          <c:idx val="1"/>
          <c:order val="1"/>
          <c:tx>
            <c:strRef>
              <c:f>Model!$A$175</c:f>
              <c:strCache>
                <c:ptCount val="1"/>
                <c:pt idx="0">
                  <c:v>Projected SDG1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Model!$B$173:$M$173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Model!$B$175:$M$175</c:f>
              <c:numCache>
                <c:formatCode>General</c:formatCode>
                <c:ptCount val="12"/>
                <c:pt idx="0">
                  <c:v>93.385078430175781</c:v>
                </c:pt>
                <c:pt idx="1">
                  <c:v>92.898310604136412</c:v>
                </c:pt>
                <c:pt idx="2">
                  <c:v>93.578174383828255</c:v>
                </c:pt>
                <c:pt idx="3">
                  <c:v>94.192952979816326</c:v>
                </c:pt>
                <c:pt idx="4">
                  <c:v>86.466412336519866</c:v>
                </c:pt>
                <c:pt idx="5">
                  <c:v>87.762018994147496</c:v>
                </c:pt>
                <c:pt idx="6">
                  <c:v>88.933593750329024</c:v>
                </c:pt>
                <c:pt idx="7">
                  <c:v>88.046113550600495</c:v>
                </c:pt>
                <c:pt idx="8">
                  <c:v>88.635277206702398</c:v>
                </c:pt>
                <c:pt idx="9">
                  <c:v>89.723252611245101</c:v>
                </c:pt>
                <c:pt idx="10">
                  <c:v>90.707073211273965</c:v>
                </c:pt>
                <c:pt idx="11">
                  <c:v>91.596710025672337</c:v>
                </c:pt>
              </c:numCache>
            </c:numRef>
          </c:yVal>
          <c:smooth val="0"/>
          <c:extLst>
            <c:ext xmlns:c16="http://schemas.microsoft.com/office/drawing/2014/chart" uri="{C3380CC4-5D6E-409C-BE32-E72D297353CC}">
              <c16:uniqueId val="{00000001-B527-462E-81C7-3F801B629333}"/>
            </c:ext>
          </c:extLst>
        </c:ser>
        <c:dLbls>
          <c:showLegendKey val="0"/>
          <c:showVal val="0"/>
          <c:showCatName val="0"/>
          <c:showSerName val="0"/>
          <c:showPercent val="0"/>
          <c:showBubbleSize val="0"/>
        </c:dLbls>
        <c:axId val="365695359"/>
        <c:axId val="1"/>
      </c:scatterChart>
      <c:valAx>
        <c:axId val="365695359"/>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365695359"/>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Model!$A$179</c:f>
              <c:strCache>
                <c:ptCount val="1"/>
                <c:pt idx="0">
                  <c:v>Actual SDG2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Model!$B$178:$M$178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Model!$B$179:$M$179</c:f>
              <c:numCache>
                <c:formatCode>General</c:formatCode>
                <c:ptCount val="12"/>
                <c:pt idx="0">
                  <c:v>36.852024078369141</c:v>
                </c:pt>
                <c:pt idx="1">
                  <c:v>39.561089214845182</c:v>
                </c:pt>
                <c:pt idx="2">
                  <c:v>42.567653143490233</c:v>
                </c:pt>
                <c:pt idx="3">
                  <c:v>44.254857142857148</c:v>
                </c:pt>
                <c:pt idx="4">
                  <c:v>52.439124999999997</c:v>
                </c:pt>
                <c:pt idx="5">
                  <c:v>52.044125000000001</c:v>
                </c:pt>
                <c:pt idx="6">
                  <c:v>54.391750000000002</c:v>
                </c:pt>
              </c:numCache>
            </c:numRef>
          </c:yVal>
          <c:smooth val="0"/>
          <c:extLst>
            <c:ext xmlns:c16="http://schemas.microsoft.com/office/drawing/2014/chart" uri="{C3380CC4-5D6E-409C-BE32-E72D297353CC}">
              <c16:uniqueId val="{00000000-D8E5-428D-BF75-10AEBC683423}"/>
            </c:ext>
          </c:extLst>
        </c:ser>
        <c:ser>
          <c:idx val="1"/>
          <c:order val="1"/>
          <c:tx>
            <c:strRef>
              <c:f>Model!$A$180</c:f>
              <c:strCache>
                <c:ptCount val="1"/>
                <c:pt idx="0">
                  <c:v>Projected SDG2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Model!$B$178:$M$178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Model!$B$180:$M$180</c:f>
              <c:numCache>
                <c:formatCode>General</c:formatCode>
                <c:ptCount val="12"/>
                <c:pt idx="0">
                  <c:v>36.852024078369141</c:v>
                </c:pt>
                <c:pt idx="1">
                  <c:v>39.34375011155759</c:v>
                </c:pt>
                <c:pt idx="2">
                  <c:v>42.987581711995126</c:v>
                </c:pt>
                <c:pt idx="3">
                  <c:v>45.329897479545963</c:v>
                </c:pt>
                <c:pt idx="4">
                  <c:v>50.563613073661493</c:v>
                </c:pt>
                <c:pt idx="5">
                  <c:v>48.318779452848169</c:v>
                </c:pt>
                <c:pt idx="6">
                  <c:v>49.116481704097389</c:v>
                </c:pt>
                <c:pt idx="7">
                  <c:v>51.23461539023679</c:v>
                </c:pt>
                <c:pt idx="8">
                  <c:v>54.314426768848008</c:v>
                </c:pt>
                <c:pt idx="9">
                  <c:v>58.336864450371586</c:v>
                </c:pt>
                <c:pt idx="10">
                  <c:v>62.325388198690113</c:v>
                </c:pt>
                <c:pt idx="11">
                  <c:v>65.932079867376743</c:v>
                </c:pt>
              </c:numCache>
            </c:numRef>
          </c:yVal>
          <c:smooth val="0"/>
          <c:extLst>
            <c:ext xmlns:c16="http://schemas.microsoft.com/office/drawing/2014/chart" uri="{C3380CC4-5D6E-409C-BE32-E72D297353CC}">
              <c16:uniqueId val="{00000001-D8E5-428D-BF75-10AEBC683423}"/>
            </c:ext>
          </c:extLst>
        </c:ser>
        <c:dLbls>
          <c:showLegendKey val="0"/>
          <c:showVal val="0"/>
          <c:showCatName val="0"/>
          <c:showSerName val="0"/>
          <c:showPercent val="0"/>
          <c:showBubbleSize val="0"/>
        </c:dLbls>
        <c:axId val="502156911"/>
        <c:axId val="1"/>
      </c:scatterChart>
      <c:valAx>
        <c:axId val="5021569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569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Model!$A$184</c:f>
              <c:strCache>
                <c:ptCount val="1"/>
                <c:pt idx="0">
                  <c:v>Actual SDG3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Model!$B$183:$M$183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Model!$B$184:$M$184</c:f>
              <c:numCache>
                <c:formatCode>General</c:formatCode>
                <c:ptCount val="12"/>
                <c:pt idx="0">
                  <c:v>55.213714599609375</c:v>
                </c:pt>
                <c:pt idx="1">
                  <c:v>58.851014263127233</c:v>
                </c:pt>
                <c:pt idx="2">
                  <c:v>58.758006013518653</c:v>
                </c:pt>
                <c:pt idx="3">
                  <c:v>55.851076923076917</c:v>
                </c:pt>
                <c:pt idx="4">
                  <c:v>57.9704615384615</c:v>
                </c:pt>
                <c:pt idx="5">
                  <c:v>62.275142857142903</c:v>
                </c:pt>
                <c:pt idx="6">
                  <c:v>64.791642857142904</c:v>
                </c:pt>
              </c:numCache>
            </c:numRef>
          </c:yVal>
          <c:smooth val="0"/>
          <c:extLst>
            <c:ext xmlns:c16="http://schemas.microsoft.com/office/drawing/2014/chart" uri="{C3380CC4-5D6E-409C-BE32-E72D297353CC}">
              <c16:uniqueId val="{00000000-470D-437F-A21E-5A90DC5783AA}"/>
            </c:ext>
          </c:extLst>
        </c:ser>
        <c:ser>
          <c:idx val="1"/>
          <c:order val="1"/>
          <c:tx>
            <c:strRef>
              <c:f>Model!$A$185</c:f>
              <c:strCache>
                <c:ptCount val="1"/>
                <c:pt idx="0">
                  <c:v>Projected SDG3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Model!$B$183:$M$183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Model!$B$185:$M$185</c:f>
              <c:numCache>
                <c:formatCode>General</c:formatCode>
                <c:ptCount val="12"/>
                <c:pt idx="0">
                  <c:v>55.213714599609375</c:v>
                </c:pt>
                <c:pt idx="1">
                  <c:v>58.495717150725866</c:v>
                </c:pt>
                <c:pt idx="2">
                  <c:v>58.660199744134758</c:v>
                </c:pt>
                <c:pt idx="3">
                  <c:v>55.842165404730537</c:v>
                </c:pt>
                <c:pt idx="4">
                  <c:v>56.393921996174711</c:v>
                </c:pt>
                <c:pt idx="5">
                  <c:v>58.885395572279755</c:v>
                </c:pt>
                <c:pt idx="6">
                  <c:v>62.821406964589556</c:v>
                </c:pt>
                <c:pt idx="7">
                  <c:v>64.789236751403678</c:v>
                </c:pt>
                <c:pt idx="8">
                  <c:v>68.078527228679135</c:v>
                </c:pt>
                <c:pt idx="9">
                  <c:v>71.134455462358432</c:v>
                </c:pt>
                <c:pt idx="10">
                  <c:v>73.897831487175097</c:v>
                </c:pt>
                <c:pt idx="11">
                  <c:v>76.396662111000822</c:v>
                </c:pt>
              </c:numCache>
            </c:numRef>
          </c:yVal>
          <c:smooth val="0"/>
          <c:extLst>
            <c:ext xmlns:c16="http://schemas.microsoft.com/office/drawing/2014/chart" uri="{C3380CC4-5D6E-409C-BE32-E72D297353CC}">
              <c16:uniqueId val="{00000001-470D-437F-A21E-5A90DC5783AA}"/>
            </c:ext>
          </c:extLst>
        </c:ser>
        <c:dLbls>
          <c:showLegendKey val="0"/>
          <c:showVal val="0"/>
          <c:showCatName val="0"/>
          <c:showSerName val="0"/>
          <c:showPercent val="0"/>
          <c:showBubbleSize val="0"/>
        </c:dLbls>
        <c:axId val="502158351"/>
        <c:axId val="1"/>
      </c:scatterChart>
      <c:valAx>
        <c:axId val="50215835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5835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Model!$A$189</c:f>
              <c:strCache>
                <c:ptCount val="1"/>
                <c:pt idx="0">
                  <c:v>Actual SDG4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Model!$B$188:$M$188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Model!$B$189:$M$189</c:f>
              <c:numCache>
                <c:formatCode>General</c:formatCode>
                <c:ptCount val="12"/>
                <c:pt idx="0">
                  <c:v>65.300369262695313</c:v>
                </c:pt>
                <c:pt idx="1">
                  <c:v>64.757870957102995</c:v>
                </c:pt>
                <c:pt idx="2">
                  <c:v>80.242410615475947</c:v>
                </c:pt>
                <c:pt idx="3">
                  <c:v>83.24466666666666</c:v>
                </c:pt>
                <c:pt idx="4">
                  <c:v>86.477333333333306</c:v>
                </c:pt>
                <c:pt idx="5">
                  <c:v>82.913499999999999</c:v>
                </c:pt>
                <c:pt idx="6">
                  <c:v>89.292249999999996</c:v>
                </c:pt>
              </c:numCache>
            </c:numRef>
          </c:yVal>
          <c:smooth val="0"/>
          <c:extLst>
            <c:ext xmlns:c16="http://schemas.microsoft.com/office/drawing/2014/chart" uri="{C3380CC4-5D6E-409C-BE32-E72D297353CC}">
              <c16:uniqueId val="{00000000-05C4-4CC1-9833-257D2B91579D}"/>
            </c:ext>
          </c:extLst>
        </c:ser>
        <c:ser>
          <c:idx val="1"/>
          <c:order val="1"/>
          <c:tx>
            <c:strRef>
              <c:f>Model!$A$190</c:f>
              <c:strCache>
                <c:ptCount val="1"/>
                <c:pt idx="0">
                  <c:v>Projected SDG4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Model!$B$188:$M$188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Model!$B$190:$M$190</c:f>
              <c:numCache>
                <c:formatCode>General</c:formatCode>
                <c:ptCount val="12"/>
                <c:pt idx="0">
                  <c:v>65.300369262695313</c:v>
                </c:pt>
                <c:pt idx="1">
                  <c:v>64.755549575108006</c:v>
                </c:pt>
                <c:pt idx="2">
                  <c:v>68.129595375109503</c:v>
                </c:pt>
                <c:pt idx="3">
                  <c:v>71.180634718115215</c:v>
                </c:pt>
                <c:pt idx="4">
                  <c:v>73.939589878879403</c:v>
                </c:pt>
                <c:pt idx="5">
                  <c:v>72.731341879314058</c:v>
                </c:pt>
                <c:pt idx="6">
                  <c:v>75.341843682990842</c:v>
                </c:pt>
                <c:pt idx="7">
                  <c:v>75.014653324135878</c:v>
                </c:pt>
                <c:pt idx="8">
                  <c:v>76.473740929014397</c:v>
                </c:pt>
                <c:pt idx="9">
                  <c:v>78.725972830810292</c:v>
                </c:pt>
                <c:pt idx="10">
                  <c:v>80.762592529911259</c:v>
                </c:pt>
                <c:pt idx="11">
                  <c:v>82.604241160968598</c:v>
                </c:pt>
              </c:numCache>
            </c:numRef>
          </c:yVal>
          <c:smooth val="0"/>
          <c:extLst>
            <c:ext xmlns:c16="http://schemas.microsoft.com/office/drawing/2014/chart" uri="{C3380CC4-5D6E-409C-BE32-E72D297353CC}">
              <c16:uniqueId val="{00000001-05C4-4CC1-9833-257D2B91579D}"/>
            </c:ext>
          </c:extLst>
        </c:ser>
        <c:dLbls>
          <c:showLegendKey val="0"/>
          <c:showVal val="0"/>
          <c:showCatName val="0"/>
          <c:showSerName val="0"/>
          <c:showPercent val="0"/>
          <c:showBubbleSize val="0"/>
        </c:dLbls>
        <c:axId val="502171311"/>
        <c:axId val="1"/>
      </c:scatterChart>
      <c:valAx>
        <c:axId val="5021713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713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Model!$A$194</c:f>
              <c:strCache>
                <c:ptCount val="1"/>
                <c:pt idx="0">
                  <c:v>Actual SDG5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Model!$B$193:$M$193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Model!$B$194:$M$194</c:f>
              <c:numCache>
                <c:formatCode>General</c:formatCode>
                <c:ptCount val="12"/>
                <c:pt idx="0">
                  <c:v>33.300739288330078</c:v>
                </c:pt>
                <c:pt idx="1">
                  <c:v>36.394326942063515</c:v>
                </c:pt>
                <c:pt idx="2">
                  <c:v>33.187863457581493</c:v>
                </c:pt>
                <c:pt idx="3">
                  <c:v>31.111000000000001</c:v>
                </c:pt>
                <c:pt idx="4">
                  <c:v>34.082250000000002</c:v>
                </c:pt>
                <c:pt idx="5">
                  <c:v>33.89425</c:v>
                </c:pt>
                <c:pt idx="6">
                  <c:v>46.253999999999998</c:v>
                </c:pt>
              </c:numCache>
            </c:numRef>
          </c:yVal>
          <c:smooth val="0"/>
          <c:extLst>
            <c:ext xmlns:c16="http://schemas.microsoft.com/office/drawing/2014/chart" uri="{C3380CC4-5D6E-409C-BE32-E72D297353CC}">
              <c16:uniqueId val="{00000000-4E36-4CA1-A14F-B4F718BA58AE}"/>
            </c:ext>
          </c:extLst>
        </c:ser>
        <c:ser>
          <c:idx val="1"/>
          <c:order val="1"/>
          <c:tx>
            <c:strRef>
              <c:f>Model!$A$195</c:f>
              <c:strCache>
                <c:ptCount val="1"/>
                <c:pt idx="0">
                  <c:v>Projected SDG5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Model!$B$193:$M$193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Model!$B$195:$M$195</c:f>
              <c:numCache>
                <c:formatCode>General</c:formatCode>
                <c:ptCount val="12"/>
                <c:pt idx="0">
                  <c:v>33.300739288330078</c:v>
                </c:pt>
                <c:pt idx="1">
                  <c:v>36.39475330928439</c:v>
                </c:pt>
                <c:pt idx="2">
                  <c:v>33.960101259644674</c:v>
                </c:pt>
                <c:pt idx="3">
                  <c:v>31.781060751957206</c:v>
                </c:pt>
                <c:pt idx="4">
                  <c:v>30.850600593781241</c:v>
                </c:pt>
                <c:pt idx="5">
                  <c:v>31.463964780017477</c:v>
                </c:pt>
                <c:pt idx="6">
                  <c:v>36.206636214995704</c:v>
                </c:pt>
                <c:pt idx="7">
                  <c:v>39.391715387372557</c:v>
                </c:pt>
                <c:pt idx="8">
                  <c:v>43.398579071717123</c:v>
                </c:pt>
                <c:pt idx="9">
                  <c:v>48.546666577581263</c:v>
                </c:pt>
                <c:pt idx="10">
                  <c:v>53.472432235353473</c:v>
                </c:pt>
                <c:pt idx="11">
                  <c:v>57.926641130882651</c:v>
                </c:pt>
              </c:numCache>
            </c:numRef>
          </c:yVal>
          <c:smooth val="0"/>
          <c:extLst>
            <c:ext xmlns:c16="http://schemas.microsoft.com/office/drawing/2014/chart" uri="{C3380CC4-5D6E-409C-BE32-E72D297353CC}">
              <c16:uniqueId val="{00000001-4E36-4CA1-A14F-B4F718BA58AE}"/>
            </c:ext>
          </c:extLst>
        </c:ser>
        <c:dLbls>
          <c:showLegendKey val="0"/>
          <c:showVal val="0"/>
          <c:showCatName val="0"/>
          <c:showSerName val="0"/>
          <c:showPercent val="0"/>
          <c:showBubbleSize val="0"/>
        </c:dLbls>
        <c:axId val="502161711"/>
        <c:axId val="1"/>
      </c:scatterChart>
      <c:valAx>
        <c:axId val="5021617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617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Model!$A$199</c:f>
              <c:strCache>
                <c:ptCount val="1"/>
                <c:pt idx="0">
                  <c:v>Actual SDG6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Model!$B$198:$M$198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Model!$B$199:$M$199</c:f>
              <c:numCache>
                <c:formatCode>General</c:formatCode>
                <c:ptCount val="12"/>
                <c:pt idx="0">
                  <c:v>73.716346740722656</c:v>
                </c:pt>
                <c:pt idx="1">
                  <c:v>70.191410488293883</c:v>
                </c:pt>
                <c:pt idx="2">
                  <c:v>56.582692499487734</c:v>
                </c:pt>
                <c:pt idx="3">
                  <c:v>56.130600000000001</c:v>
                </c:pt>
                <c:pt idx="4">
                  <c:v>56.130600000000001</c:v>
                </c:pt>
                <c:pt idx="5">
                  <c:v>58.575000000000003</c:v>
                </c:pt>
                <c:pt idx="6">
                  <c:v>58.125399999999999</c:v>
                </c:pt>
              </c:numCache>
            </c:numRef>
          </c:yVal>
          <c:smooth val="0"/>
          <c:extLst>
            <c:ext xmlns:c16="http://schemas.microsoft.com/office/drawing/2014/chart" uri="{C3380CC4-5D6E-409C-BE32-E72D297353CC}">
              <c16:uniqueId val="{00000000-F975-430D-A0EA-39FBD61A9B45}"/>
            </c:ext>
          </c:extLst>
        </c:ser>
        <c:ser>
          <c:idx val="1"/>
          <c:order val="1"/>
          <c:tx>
            <c:strRef>
              <c:f>Model!$A$200</c:f>
              <c:strCache>
                <c:ptCount val="1"/>
                <c:pt idx="0">
                  <c:v>Projected SDG6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Model!$B$198:$M$198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Model!$B$200:$M$200</c:f>
              <c:numCache>
                <c:formatCode>General</c:formatCode>
                <c:ptCount val="12"/>
                <c:pt idx="0">
                  <c:v>73.716346740722656</c:v>
                </c:pt>
                <c:pt idx="1">
                  <c:v>70.196971288063168</c:v>
                </c:pt>
                <c:pt idx="2">
                  <c:v>64.434153718240822</c:v>
                </c:pt>
                <c:pt idx="3">
                  <c:v>59.223026136011555</c:v>
                </c:pt>
                <c:pt idx="4">
                  <c:v>55.468100608669779</c:v>
                </c:pt>
                <c:pt idx="5">
                  <c:v>57.215054170918023</c:v>
                </c:pt>
                <c:pt idx="6">
                  <c:v>58.239135481521721</c:v>
                </c:pt>
                <c:pt idx="7">
                  <c:v>62.237014838846505</c:v>
                </c:pt>
                <c:pt idx="8">
                  <c:v>65.85216647898811</c:v>
                </c:pt>
                <c:pt idx="9">
                  <c:v>69.121229953170598</c:v>
                </c:pt>
                <c:pt idx="10">
                  <c:v>72.077337210075427</c:v>
                </c:pt>
                <c:pt idx="11">
                  <c:v>74.750448388043822</c:v>
                </c:pt>
              </c:numCache>
            </c:numRef>
          </c:yVal>
          <c:smooth val="0"/>
          <c:extLst>
            <c:ext xmlns:c16="http://schemas.microsoft.com/office/drawing/2014/chart" uri="{C3380CC4-5D6E-409C-BE32-E72D297353CC}">
              <c16:uniqueId val="{00000001-F975-430D-A0EA-39FBD61A9B45}"/>
            </c:ext>
          </c:extLst>
        </c:ser>
        <c:dLbls>
          <c:showLegendKey val="0"/>
          <c:showVal val="0"/>
          <c:showCatName val="0"/>
          <c:showSerName val="0"/>
          <c:showPercent val="0"/>
          <c:showBubbleSize val="0"/>
        </c:dLbls>
        <c:axId val="507483231"/>
        <c:axId val="1"/>
      </c:scatterChart>
      <c:valAx>
        <c:axId val="50748323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8323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Model!$A$204</c:f>
              <c:strCache>
                <c:ptCount val="1"/>
                <c:pt idx="0">
                  <c:v>Actual SDG7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Model!$B$203:$M$203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Model!$B$204:$M$204</c:f>
              <c:numCache>
                <c:formatCode>General</c:formatCode>
                <c:ptCount val="12"/>
                <c:pt idx="0">
                  <c:v>53.973793029785156</c:v>
                </c:pt>
                <c:pt idx="1">
                  <c:v>53.971200086429228</c:v>
                </c:pt>
                <c:pt idx="2">
                  <c:v>65.380015427828894</c:v>
                </c:pt>
                <c:pt idx="3">
                  <c:v>68.74733333333333</c:v>
                </c:pt>
                <c:pt idx="4">
                  <c:v>69.938666666666705</c:v>
                </c:pt>
                <c:pt idx="5">
                  <c:v>68.736249999999998</c:v>
                </c:pt>
                <c:pt idx="6">
                  <c:v>66.208500000000001</c:v>
                </c:pt>
              </c:numCache>
            </c:numRef>
          </c:yVal>
          <c:smooth val="0"/>
          <c:extLst>
            <c:ext xmlns:c16="http://schemas.microsoft.com/office/drawing/2014/chart" uri="{C3380CC4-5D6E-409C-BE32-E72D297353CC}">
              <c16:uniqueId val="{00000000-28BA-4BBA-94FF-D7F6A28C687A}"/>
            </c:ext>
          </c:extLst>
        </c:ser>
        <c:ser>
          <c:idx val="1"/>
          <c:order val="1"/>
          <c:tx>
            <c:strRef>
              <c:f>Model!$A$205</c:f>
              <c:strCache>
                <c:ptCount val="1"/>
                <c:pt idx="0">
                  <c:v>Projected SDG7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Model!$B$203:$M$203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Model!$B$205:$M$205</c:f>
              <c:numCache>
                <c:formatCode>General</c:formatCode>
                <c:ptCount val="12"/>
                <c:pt idx="0">
                  <c:v>53.973793029785156</c:v>
                </c:pt>
                <c:pt idx="1">
                  <c:v>53.829506047956166</c:v>
                </c:pt>
                <c:pt idx="2">
                  <c:v>58.249531309376188</c:v>
                </c:pt>
                <c:pt idx="3">
                  <c:v>62.246415693596923</c:v>
                </c:pt>
                <c:pt idx="4">
                  <c:v>65.860667612079268</c:v>
                </c:pt>
                <c:pt idx="5">
                  <c:v>64.722705215843192</c:v>
                </c:pt>
                <c:pt idx="6">
                  <c:v>65.44933130680127</c:v>
                </c:pt>
                <c:pt idx="7">
                  <c:v>68.75694550909769</c:v>
                </c:pt>
                <c:pt idx="8">
                  <c:v>71.747912929482538</c:v>
                </c:pt>
                <c:pt idx="9">
                  <c:v>74.452547013951204</c:v>
                </c:pt>
                <c:pt idx="10">
                  <c:v>76.898259220983064</c:v>
                </c:pt>
                <c:pt idx="11">
                  <c:v>79.109836836592279</c:v>
                </c:pt>
              </c:numCache>
            </c:numRef>
          </c:yVal>
          <c:smooth val="0"/>
          <c:extLst>
            <c:ext xmlns:c16="http://schemas.microsoft.com/office/drawing/2014/chart" uri="{C3380CC4-5D6E-409C-BE32-E72D297353CC}">
              <c16:uniqueId val="{00000001-28BA-4BBA-94FF-D7F6A28C687A}"/>
            </c:ext>
          </c:extLst>
        </c:ser>
        <c:dLbls>
          <c:showLegendKey val="0"/>
          <c:showVal val="0"/>
          <c:showCatName val="0"/>
          <c:showSerName val="0"/>
          <c:showPercent val="0"/>
          <c:showBubbleSize val="0"/>
        </c:dLbls>
        <c:axId val="507482751"/>
        <c:axId val="1"/>
      </c:scatterChart>
      <c:valAx>
        <c:axId val="50748275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8275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796711247321574E-2"/>
          <c:y val="5.2818571952104654E-2"/>
          <c:w val="0.86150407168549981"/>
          <c:h val="0.79579981741171013"/>
        </c:manualLayout>
      </c:layout>
      <c:scatterChart>
        <c:scatterStyle val="lineMarker"/>
        <c:varyColors val="0"/>
        <c:ser>
          <c:idx val="0"/>
          <c:order val="0"/>
          <c:tx>
            <c:strRef>
              <c:f>Model!$A$209</c:f>
              <c:strCache>
                <c:ptCount val="1"/>
                <c:pt idx="0">
                  <c:v>Actual SDG8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Model!$B$208:$M$208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Model!$B$209:$M$209</c:f>
              <c:numCache>
                <c:formatCode>General</c:formatCode>
                <c:ptCount val="12"/>
                <c:pt idx="0">
                  <c:v>68.254425048828125</c:v>
                </c:pt>
                <c:pt idx="1">
                  <c:v>61.098366959344609</c:v>
                </c:pt>
                <c:pt idx="2">
                  <c:v>83.243629360059714</c:v>
                </c:pt>
                <c:pt idx="3">
                  <c:v>82.23960000000001</c:v>
                </c:pt>
                <c:pt idx="4">
                  <c:v>71.092666666666702</c:v>
                </c:pt>
                <c:pt idx="5">
                  <c:v>70.146500000000003</c:v>
                </c:pt>
                <c:pt idx="6">
                  <c:v>73.707999999999998</c:v>
                </c:pt>
              </c:numCache>
            </c:numRef>
          </c:yVal>
          <c:smooth val="0"/>
          <c:extLst>
            <c:ext xmlns:c16="http://schemas.microsoft.com/office/drawing/2014/chart" uri="{C3380CC4-5D6E-409C-BE32-E72D297353CC}">
              <c16:uniqueId val="{00000000-AC3C-4D61-ADC1-93B61B6F8BD7}"/>
            </c:ext>
          </c:extLst>
        </c:ser>
        <c:ser>
          <c:idx val="1"/>
          <c:order val="1"/>
          <c:tx>
            <c:strRef>
              <c:f>Model!$A$210</c:f>
              <c:strCache>
                <c:ptCount val="1"/>
                <c:pt idx="0">
                  <c:v>Projected SDG8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Model!$B$208:$M$208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Model!$B$210:$M$210</c:f>
              <c:numCache>
                <c:formatCode>General</c:formatCode>
                <c:ptCount val="12"/>
                <c:pt idx="0">
                  <c:v>68.254425048828125</c:v>
                </c:pt>
                <c:pt idx="1">
                  <c:v>62.604766883708393</c:v>
                </c:pt>
                <c:pt idx="2">
                  <c:v>58.663319896262387</c:v>
                </c:pt>
                <c:pt idx="3">
                  <c:v>57.216271525397609</c:v>
                </c:pt>
                <c:pt idx="4">
                  <c:v>60.663890821136576</c:v>
                </c:pt>
                <c:pt idx="5">
                  <c:v>62.850727589557401</c:v>
                </c:pt>
                <c:pt idx="6">
                  <c:v>66.407127108871208</c:v>
                </c:pt>
                <c:pt idx="7">
                  <c:v>67.380185235204323</c:v>
                </c:pt>
                <c:pt idx="8">
                  <c:v>69.926983598115598</c:v>
                </c:pt>
                <c:pt idx="9">
                  <c:v>72.805954144142063</c:v>
                </c:pt>
                <c:pt idx="10">
                  <c:v>75.40931311552221</c:v>
                </c:pt>
                <c:pt idx="11">
                  <c:v>77.763445547762515</c:v>
                </c:pt>
              </c:numCache>
            </c:numRef>
          </c:yVal>
          <c:smooth val="0"/>
          <c:extLst>
            <c:ext xmlns:c16="http://schemas.microsoft.com/office/drawing/2014/chart" uri="{C3380CC4-5D6E-409C-BE32-E72D297353CC}">
              <c16:uniqueId val="{00000001-AC3C-4D61-ADC1-93B61B6F8BD7}"/>
            </c:ext>
          </c:extLst>
        </c:ser>
        <c:dLbls>
          <c:showLegendKey val="0"/>
          <c:showVal val="0"/>
          <c:showCatName val="0"/>
          <c:showSerName val="0"/>
          <c:showPercent val="0"/>
          <c:showBubbleSize val="0"/>
        </c:dLbls>
        <c:axId val="507495711"/>
        <c:axId val="1"/>
      </c:scatterChart>
      <c:valAx>
        <c:axId val="5074957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95711"/>
        <c:crossesAt val="0"/>
        <c:crossBetween val="midCat"/>
      </c:valAx>
      <c:spPr>
        <a:solidFill>
          <a:srgbClr val="FFFFFF"/>
        </a:solidFill>
        <a:ln w="12700">
          <a:solidFill>
            <a:srgbClr val="808080"/>
          </a:solidFill>
          <a:prstDash val="solid"/>
        </a:ln>
      </c:spPr>
    </c:plotArea>
    <c:legend>
      <c:legendPos val="r"/>
      <c:layout>
        <c:manualLayout>
          <c:xMode val="edge"/>
          <c:yMode val="edge"/>
          <c:x val="0.1939373872615463"/>
          <c:y val="0.9243250109750516"/>
          <c:w val="0.60292087010805639"/>
          <c:h val="4.9297316483126408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Model!$A$214</c:f>
              <c:strCache>
                <c:ptCount val="1"/>
                <c:pt idx="0">
                  <c:v>Actual SDG9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Model!$B$213:$M$213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Model!$B$214:$M$214</c:f>
              <c:numCache>
                <c:formatCode>General</c:formatCode>
                <c:ptCount val="12"/>
                <c:pt idx="0">
                  <c:v>33.077934265136719</c:v>
                </c:pt>
                <c:pt idx="1">
                  <c:v>33.097888529669781</c:v>
                </c:pt>
                <c:pt idx="2">
                  <c:v>28.668793907447711</c:v>
                </c:pt>
                <c:pt idx="3">
                  <c:v>40.631999999999998</c:v>
                </c:pt>
                <c:pt idx="4">
                  <c:v>42.186500000000002</c:v>
                </c:pt>
                <c:pt idx="5">
                  <c:v>44.665500000000002</c:v>
                </c:pt>
                <c:pt idx="6">
                  <c:v>50.960571428571399</c:v>
                </c:pt>
              </c:numCache>
            </c:numRef>
          </c:yVal>
          <c:smooth val="0"/>
          <c:extLst>
            <c:ext xmlns:c16="http://schemas.microsoft.com/office/drawing/2014/chart" uri="{C3380CC4-5D6E-409C-BE32-E72D297353CC}">
              <c16:uniqueId val="{00000000-426C-4277-8345-255854E11190}"/>
            </c:ext>
          </c:extLst>
        </c:ser>
        <c:ser>
          <c:idx val="1"/>
          <c:order val="1"/>
          <c:tx>
            <c:strRef>
              <c:f>Model!$A$215</c:f>
              <c:strCache>
                <c:ptCount val="1"/>
                <c:pt idx="0">
                  <c:v>Projected SDG9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Model!$B$213:$M$213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Model!$B$215:$M$215</c:f>
              <c:numCache>
                <c:formatCode>General</c:formatCode>
                <c:ptCount val="12"/>
                <c:pt idx="0">
                  <c:v>33.077934265136719</c:v>
                </c:pt>
                <c:pt idx="1">
                  <c:v>32.835703517877249</c:v>
                </c:pt>
                <c:pt idx="2">
                  <c:v>30.608475531704659</c:v>
                </c:pt>
                <c:pt idx="3">
                  <c:v>29.462538360729567</c:v>
                </c:pt>
                <c:pt idx="4">
                  <c:v>30.127780103706026</c:v>
                </c:pt>
                <c:pt idx="5">
                  <c:v>30.095726751699491</c:v>
                </c:pt>
                <c:pt idx="6">
                  <c:v>32.877719947494995</c:v>
                </c:pt>
                <c:pt idx="7">
                  <c:v>39.303515905934113</c:v>
                </c:pt>
                <c:pt idx="8">
                  <c:v>45.114153176867475</c:v>
                </c:pt>
                <c:pt idx="9">
                  <c:v>50.298474859213925</c:v>
                </c:pt>
                <c:pt idx="10">
                  <c:v>54.912960511481565</c:v>
                </c:pt>
                <c:pt idx="11">
                  <c:v>59.087365761870373</c:v>
                </c:pt>
              </c:numCache>
            </c:numRef>
          </c:yVal>
          <c:smooth val="0"/>
          <c:extLst>
            <c:ext xmlns:c16="http://schemas.microsoft.com/office/drawing/2014/chart" uri="{C3380CC4-5D6E-409C-BE32-E72D297353CC}">
              <c16:uniqueId val="{00000001-426C-4277-8345-255854E11190}"/>
            </c:ext>
          </c:extLst>
        </c:ser>
        <c:dLbls>
          <c:showLegendKey val="0"/>
          <c:showVal val="0"/>
          <c:showCatName val="0"/>
          <c:showSerName val="0"/>
          <c:showPercent val="0"/>
          <c:showBubbleSize val="0"/>
        </c:dLbls>
        <c:axId val="507486111"/>
        <c:axId val="1"/>
      </c:scatterChart>
      <c:valAx>
        <c:axId val="5074861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861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Model!$A$219</c:f>
              <c:strCache>
                <c:ptCount val="1"/>
                <c:pt idx="0">
                  <c:v>Actual SDG10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Model!$B$218:$M$218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Model!$B$219:$M$219</c:f>
              <c:numCache>
                <c:formatCode>General</c:formatCode>
                <c:ptCount val="12"/>
                <c:pt idx="0">
                  <c:v>72.533958435058594</c:v>
                </c:pt>
                <c:pt idx="1">
                  <c:v>49.071628328644785</c:v>
                </c:pt>
                <c:pt idx="2">
                  <c:v>48.957837803263061</c:v>
                </c:pt>
                <c:pt idx="3">
                  <c:v>55.71</c:v>
                </c:pt>
                <c:pt idx="4">
                  <c:v>27.855</c:v>
                </c:pt>
                <c:pt idx="5">
                  <c:v>38.450499999999998</c:v>
                </c:pt>
                <c:pt idx="6">
                  <c:v>38.450499999999998</c:v>
                </c:pt>
              </c:numCache>
            </c:numRef>
          </c:yVal>
          <c:smooth val="0"/>
          <c:extLst>
            <c:ext xmlns:c16="http://schemas.microsoft.com/office/drawing/2014/chart" uri="{C3380CC4-5D6E-409C-BE32-E72D297353CC}">
              <c16:uniqueId val="{00000000-6C35-4722-993F-501AF1C85033}"/>
            </c:ext>
          </c:extLst>
        </c:ser>
        <c:ser>
          <c:idx val="1"/>
          <c:order val="1"/>
          <c:tx>
            <c:strRef>
              <c:f>Model!$A$220</c:f>
              <c:strCache>
                <c:ptCount val="1"/>
                <c:pt idx="0">
                  <c:v>Projected SDG10 India</c:v>
                </c:pt>
              </c:strCache>
            </c:strRef>
          </c:tx>
          <c:spPr>
            <a:ln w="38100">
              <a:solidFill>
                <a:srgbClr val="FF00FF"/>
              </a:solidFill>
              <a:prstDash val="solid"/>
            </a:ln>
          </c:spPr>
          <c:marker>
            <c:symbol val="circle"/>
            <c:size val="9"/>
            <c:spPr>
              <a:solidFill>
                <a:srgbClr val="FF00FF"/>
              </a:solidFill>
              <a:ln>
                <a:solidFill>
                  <a:srgbClr val="FF00FF"/>
                </a:solidFill>
                <a:prstDash val="solid"/>
              </a:ln>
            </c:spPr>
          </c:marker>
          <c:xVal>
            <c:numRef>
              <c:f>Model!$B$218:$M$218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Model!$B$220:$M$220</c:f>
              <c:numCache>
                <c:formatCode>General</c:formatCode>
                <c:ptCount val="12"/>
                <c:pt idx="0">
                  <c:v>72.533958435058594</c:v>
                </c:pt>
                <c:pt idx="1">
                  <c:v>66.437235644834885</c:v>
                </c:pt>
                <c:pt idx="2">
                  <c:v>61.066846806437916</c:v>
                </c:pt>
                <c:pt idx="3">
                  <c:v>56.164089417128572</c:v>
                </c:pt>
                <c:pt idx="4">
                  <c:v>51.753396399800543</c:v>
                </c:pt>
                <c:pt idx="5">
                  <c:v>54.50025197949698</c:v>
                </c:pt>
                <c:pt idx="6">
                  <c:v>50.464816983618853</c:v>
                </c:pt>
                <c:pt idx="7">
                  <c:v>47.063438989986757</c:v>
                </c:pt>
                <c:pt idx="8">
                  <c:v>44.381918806319462</c:v>
                </c:pt>
                <c:pt idx="9">
                  <c:v>42.493489774319073</c:v>
                </c:pt>
                <c:pt idx="10">
                  <c:v>41.405555661673425</c:v>
                </c:pt>
                <c:pt idx="11">
                  <c:v>41.086516624611555</c:v>
                </c:pt>
              </c:numCache>
            </c:numRef>
          </c:yVal>
          <c:smooth val="0"/>
          <c:extLst>
            <c:ext xmlns:c16="http://schemas.microsoft.com/office/drawing/2014/chart" uri="{C3380CC4-5D6E-409C-BE32-E72D297353CC}">
              <c16:uniqueId val="{00000001-6C35-4722-993F-501AF1C85033}"/>
            </c:ext>
          </c:extLst>
        </c:ser>
        <c:dLbls>
          <c:showLegendKey val="0"/>
          <c:showVal val="0"/>
          <c:showCatName val="0"/>
          <c:showSerName val="0"/>
          <c:showPercent val="0"/>
          <c:showBubbleSize val="0"/>
        </c:dLbls>
        <c:axId val="140330415"/>
        <c:axId val="1"/>
      </c:scatterChart>
      <c:valAx>
        <c:axId val="14033041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3041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Model!$A$224</c:f>
              <c:strCache>
                <c:ptCount val="1"/>
                <c:pt idx="0">
                  <c:v>Actual SDG11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Model!$B$223:$M$223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Model!$B$224:$M$224</c:f>
              <c:numCache>
                <c:formatCode>General</c:formatCode>
                <c:ptCount val="12"/>
                <c:pt idx="0">
                  <c:v>34.302524566650391</c:v>
                </c:pt>
                <c:pt idx="1">
                  <c:v>56.117629652586288</c:v>
                </c:pt>
                <c:pt idx="2">
                  <c:v>51.123524465723214</c:v>
                </c:pt>
                <c:pt idx="3">
                  <c:v>49.493333333333339</c:v>
                </c:pt>
                <c:pt idx="4">
                  <c:v>53.178249999999998</c:v>
                </c:pt>
                <c:pt idx="5">
                  <c:v>50.341250000000002</c:v>
                </c:pt>
                <c:pt idx="6">
                  <c:v>50.046250000000001</c:v>
                </c:pt>
              </c:numCache>
            </c:numRef>
          </c:yVal>
          <c:smooth val="0"/>
          <c:extLst>
            <c:ext xmlns:c16="http://schemas.microsoft.com/office/drawing/2014/chart" uri="{C3380CC4-5D6E-409C-BE32-E72D297353CC}">
              <c16:uniqueId val="{00000000-D109-490F-94C9-52E46F88B01D}"/>
            </c:ext>
          </c:extLst>
        </c:ser>
        <c:ser>
          <c:idx val="1"/>
          <c:order val="1"/>
          <c:tx>
            <c:strRef>
              <c:f>Model!$A$225</c:f>
              <c:strCache>
                <c:ptCount val="1"/>
                <c:pt idx="0">
                  <c:v>Projected SDG11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Model!$B$223:$M$223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Model!$B$225:$M$225</c:f>
              <c:numCache>
                <c:formatCode>General</c:formatCode>
                <c:ptCount val="12"/>
                <c:pt idx="0">
                  <c:v>34.302524566650391</c:v>
                </c:pt>
                <c:pt idx="1">
                  <c:v>40.379051813550682</c:v>
                </c:pt>
                <c:pt idx="2">
                  <c:v>46.086725146386115</c:v>
                </c:pt>
                <c:pt idx="3">
                  <c:v>49.492602410032923</c:v>
                </c:pt>
                <c:pt idx="4">
                  <c:v>52.93537334477395</c:v>
                </c:pt>
                <c:pt idx="5">
                  <c:v>50.479786927403524</c:v>
                </c:pt>
                <c:pt idx="6">
                  <c:v>49.128115706253553</c:v>
                </c:pt>
                <c:pt idx="7">
                  <c:v>50.758770490841343</c:v>
                </c:pt>
                <c:pt idx="8">
                  <c:v>52.922901964911617</c:v>
                </c:pt>
                <c:pt idx="9">
                  <c:v>55.619318260712291</c:v>
                </c:pt>
                <c:pt idx="10">
                  <c:v>58.759541587862174</c:v>
                </c:pt>
                <c:pt idx="11">
                  <c:v>62.260024325647059</c:v>
                </c:pt>
              </c:numCache>
            </c:numRef>
          </c:yVal>
          <c:smooth val="0"/>
          <c:extLst>
            <c:ext xmlns:c16="http://schemas.microsoft.com/office/drawing/2014/chart" uri="{C3380CC4-5D6E-409C-BE32-E72D297353CC}">
              <c16:uniqueId val="{00000001-D109-490F-94C9-52E46F88B01D}"/>
            </c:ext>
          </c:extLst>
        </c:ser>
        <c:dLbls>
          <c:showLegendKey val="0"/>
          <c:showVal val="0"/>
          <c:showCatName val="0"/>
          <c:showSerName val="0"/>
          <c:showPercent val="0"/>
          <c:showBubbleSize val="0"/>
        </c:dLbls>
        <c:axId val="140329455"/>
        <c:axId val="1"/>
      </c:scatterChart>
      <c:valAx>
        <c:axId val="14032945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2945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Model!$A$229</c:f>
              <c:strCache>
                <c:ptCount val="1"/>
                <c:pt idx="0">
                  <c:v>Actual SDG12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Model!$B$228:$M$228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Model!$B$229:$M$229</c:f>
              <c:numCache>
                <c:formatCode>General</c:formatCode>
                <c:ptCount val="12"/>
                <c:pt idx="0">
                  <c:v>81.556205749511719</c:v>
                </c:pt>
                <c:pt idx="1">
                  <c:v>81.55620199498432</c:v>
                </c:pt>
                <c:pt idx="2">
                  <c:v>94.460732959371455</c:v>
                </c:pt>
                <c:pt idx="3">
                  <c:v>92.362166666666667</c:v>
                </c:pt>
                <c:pt idx="4">
                  <c:v>91.7261666666667</c:v>
                </c:pt>
                <c:pt idx="5">
                  <c:v>96.200571428571394</c:v>
                </c:pt>
                <c:pt idx="6">
                  <c:v>94.778857142857206</c:v>
                </c:pt>
              </c:numCache>
            </c:numRef>
          </c:yVal>
          <c:smooth val="0"/>
          <c:extLst>
            <c:ext xmlns:c16="http://schemas.microsoft.com/office/drawing/2014/chart" uri="{C3380CC4-5D6E-409C-BE32-E72D297353CC}">
              <c16:uniqueId val="{00000000-B057-4EAB-9553-D74866ECD8CB}"/>
            </c:ext>
          </c:extLst>
        </c:ser>
        <c:ser>
          <c:idx val="1"/>
          <c:order val="1"/>
          <c:tx>
            <c:strRef>
              <c:f>Model!$A$230</c:f>
              <c:strCache>
                <c:ptCount val="1"/>
                <c:pt idx="0">
                  <c:v>Projected SDG12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Model!$B$228:$M$228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Model!$B$230:$M$230</c:f>
              <c:numCache>
                <c:formatCode>General</c:formatCode>
                <c:ptCount val="12"/>
                <c:pt idx="0">
                  <c:v>81.556205749511719</c:v>
                </c:pt>
                <c:pt idx="1">
                  <c:v>81.543556303575215</c:v>
                </c:pt>
                <c:pt idx="2">
                  <c:v>83.310441177254646</c:v>
                </c:pt>
                <c:pt idx="3">
                  <c:v>84.908177421426316</c:v>
                </c:pt>
                <c:pt idx="4">
                  <c:v>86.352958088218628</c:v>
                </c:pt>
                <c:pt idx="5">
                  <c:v>82.593732158082062</c:v>
                </c:pt>
                <c:pt idx="6">
                  <c:v>83.214890131380045</c:v>
                </c:pt>
                <c:pt idx="7">
                  <c:v>75.647108117955867</c:v>
                </c:pt>
                <c:pt idx="8">
                  <c:v>68.676871848280086</c:v>
                </c:pt>
                <c:pt idx="9">
                  <c:v>62.285399175406539</c:v>
                </c:pt>
                <c:pt idx="10">
                  <c:v>56.44934485940977</c:v>
                </c:pt>
                <c:pt idx="11">
                  <c:v>51.13665222036191</c:v>
                </c:pt>
              </c:numCache>
            </c:numRef>
          </c:yVal>
          <c:smooth val="0"/>
          <c:extLst>
            <c:ext xmlns:c16="http://schemas.microsoft.com/office/drawing/2014/chart" uri="{C3380CC4-5D6E-409C-BE32-E72D297353CC}">
              <c16:uniqueId val="{00000001-B057-4EAB-9553-D74866ECD8CB}"/>
            </c:ext>
          </c:extLst>
        </c:ser>
        <c:dLbls>
          <c:showLegendKey val="0"/>
          <c:showVal val="0"/>
          <c:showCatName val="0"/>
          <c:showSerName val="0"/>
          <c:showPercent val="0"/>
          <c:showBubbleSize val="0"/>
        </c:dLbls>
        <c:axId val="140328015"/>
        <c:axId val="1"/>
      </c:scatterChart>
      <c:valAx>
        <c:axId val="14032801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2801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Model!$A$234</c:f>
              <c:strCache>
                <c:ptCount val="1"/>
                <c:pt idx="0">
                  <c:v>Actual SDG13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Model!$B$233:$M$233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Model!$B$234:$M$234</c:f>
              <c:numCache>
                <c:formatCode>General</c:formatCode>
                <c:ptCount val="12"/>
                <c:pt idx="0">
                  <c:v>74.665122985839844</c:v>
                </c:pt>
                <c:pt idx="1">
                  <c:v>80.647465248238092</c:v>
                </c:pt>
                <c:pt idx="2">
                  <c:v>94.472972649647289</c:v>
                </c:pt>
                <c:pt idx="3">
                  <c:v>96.779333333333341</c:v>
                </c:pt>
                <c:pt idx="4">
                  <c:v>96.069333333333304</c:v>
                </c:pt>
                <c:pt idx="5">
                  <c:v>96.217333333333301</c:v>
                </c:pt>
                <c:pt idx="6">
                  <c:v>94.281000000000006</c:v>
                </c:pt>
              </c:numCache>
            </c:numRef>
          </c:yVal>
          <c:smooth val="0"/>
          <c:extLst>
            <c:ext xmlns:c16="http://schemas.microsoft.com/office/drawing/2014/chart" uri="{C3380CC4-5D6E-409C-BE32-E72D297353CC}">
              <c16:uniqueId val="{00000000-3786-428D-98FA-73B54C254BF7}"/>
            </c:ext>
          </c:extLst>
        </c:ser>
        <c:ser>
          <c:idx val="1"/>
          <c:order val="1"/>
          <c:tx>
            <c:strRef>
              <c:f>Model!$A$235</c:f>
              <c:strCache>
                <c:ptCount val="1"/>
                <c:pt idx="0">
                  <c:v>Projected SDG13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Model!$B$233:$M$233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Model!$B$235:$M$235</c:f>
              <c:numCache>
                <c:formatCode>General</c:formatCode>
                <c:ptCount val="12"/>
                <c:pt idx="0">
                  <c:v>74.665122985839844</c:v>
                </c:pt>
                <c:pt idx="1">
                  <c:v>77.021157201652969</c:v>
                </c:pt>
                <c:pt idx="2">
                  <c:v>79.220983474951851</c:v>
                </c:pt>
                <c:pt idx="3">
                  <c:v>81.210214476976077</c:v>
                </c:pt>
                <c:pt idx="4">
                  <c:v>83.009011058071636</c:v>
                </c:pt>
                <c:pt idx="5">
                  <c:v>82.753576284576496</c:v>
                </c:pt>
                <c:pt idx="6">
                  <c:v>84.404622698992227</c:v>
                </c:pt>
                <c:pt idx="7">
                  <c:v>85.897610010400001</c:v>
                </c:pt>
                <c:pt idx="8">
                  <c:v>87.247669640803181</c:v>
                </c:pt>
                <c:pt idx="9">
                  <c:v>88.264488833906711</c:v>
                </c:pt>
                <c:pt idx="10">
                  <c:v>88.539288422438773</c:v>
                </c:pt>
                <c:pt idx="11">
                  <c:v>88.185827836812521</c:v>
                </c:pt>
              </c:numCache>
            </c:numRef>
          </c:yVal>
          <c:smooth val="0"/>
          <c:extLst>
            <c:ext xmlns:c16="http://schemas.microsoft.com/office/drawing/2014/chart" uri="{C3380CC4-5D6E-409C-BE32-E72D297353CC}">
              <c16:uniqueId val="{00000001-3786-428D-98FA-73B54C254BF7}"/>
            </c:ext>
          </c:extLst>
        </c:ser>
        <c:dLbls>
          <c:showLegendKey val="0"/>
          <c:showVal val="0"/>
          <c:showCatName val="0"/>
          <c:showSerName val="0"/>
          <c:showPercent val="0"/>
          <c:showBubbleSize val="0"/>
        </c:dLbls>
        <c:axId val="140335695"/>
        <c:axId val="1"/>
      </c:scatterChart>
      <c:valAx>
        <c:axId val="14033569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3569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Model!$A$239</c:f>
              <c:strCache>
                <c:ptCount val="1"/>
                <c:pt idx="0">
                  <c:v>Actual SDG14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Model!$B$238:$M$238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Model!$B$239:$M$239</c:f>
              <c:numCache>
                <c:formatCode>General</c:formatCode>
                <c:ptCount val="12"/>
                <c:pt idx="0">
                  <c:v>42.901557922363281</c:v>
                </c:pt>
                <c:pt idx="1">
                  <c:v>53.000563261084665</c:v>
                </c:pt>
                <c:pt idx="2">
                  <c:v>51.240340188816376</c:v>
                </c:pt>
                <c:pt idx="3">
                  <c:v>63.037200000000006</c:v>
                </c:pt>
                <c:pt idx="4">
                  <c:v>62.231833333333299</c:v>
                </c:pt>
                <c:pt idx="5">
                  <c:v>54.5073333333333</c:v>
                </c:pt>
                <c:pt idx="6">
                  <c:v>62.343166666666697</c:v>
                </c:pt>
              </c:numCache>
            </c:numRef>
          </c:yVal>
          <c:smooth val="0"/>
          <c:extLst>
            <c:ext xmlns:c16="http://schemas.microsoft.com/office/drawing/2014/chart" uri="{C3380CC4-5D6E-409C-BE32-E72D297353CC}">
              <c16:uniqueId val="{00000000-D258-41C5-9DF5-FD87BCFB0A93}"/>
            </c:ext>
          </c:extLst>
        </c:ser>
        <c:ser>
          <c:idx val="1"/>
          <c:order val="1"/>
          <c:tx>
            <c:strRef>
              <c:f>Model!$A$240</c:f>
              <c:strCache>
                <c:ptCount val="1"/>
                <c:pt idx="0">
                  <c:v>Projected SDG14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Model!$B$238:$M$238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Model!$B$240:$M$240</c:f>
              <c:numCache>
                <c:formatCode>General</c:formatCode>
                <c:ptCount val="12"/>
                <c:pt idx="0">
                  <c:v>42.901557922363281</c:v>
                </c:pt>
                <c:pt idx="1">
                  <c:v>48.367744977520623</c:v>
                </c:pt>
                <c:pt idx="2">
                  <c:v>51.240728394338028</c:v>
                </c:pt>
                <c:pt idx="3">
                  <c:v>55.908584286226869</c:v>
                </c:pt>
                <c:pt idx="4">
                  <c:v>60.129573809732328</c:v>
                </c:pt>
                <c:pt idx="5">
                  <c:v>58.480289626084435</c:v>
                </c:pt>
                <c:pt idx="6">
                  <c:v>61.095977087111507</c:v>
                </c:pt>
                <c:pt idx="7">
                  <c:v>64.8203530777065</c:v>
                </c:pt>
                <c:pt idx="8">
                  <c:v>68.188184562224606</c:v>
                </c:pt>
                <c:pt idx="9">
                  <c:v>71.233604502841175</c:v>
                </c:pt>
                <c:pt idx="10">
                  <c:v>73.987478221683745</c:v>
                </c:pt>
                <c:pt idx="11">
                  <c:v>76.477716220780962</c:v>
                </c:pt>
              </c:numCache>
            </c:numRef>
          </c:yVal>
          <c:smooth val="0"/>
          <c:extLst>
            <c:ext xmlns:c16="http://schemas.microsoft.com/office/drawing/2014/chart" uri="{C3380CC4-5D6E-409C-BE32-E72D297353CC}">
              <c16:uniqueId val="{00000001-D258-41C5-9DF5-FD87BCFB0A93}"/>
            </c:ext>
          </c:extLst>
        </c:ser>
        <c:dLbls>
          <c:showLegendKey val="0"/>
          <c:showVal val="0"/>
          <c:showCatName val="0"/>
          <c:showSerName val="0"/>
          <c:showPercent val="0"/>
          <c:showBubbleSize val="0"/>
        </c:dLbls>
        <c:axId val="140338095"/>
        <c:axId val="1"/>
      </c:scatterChart>
      <c:valAx>
        <c:axId val="14033809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3809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Model!$A$244</c:f>
              <c:strCache>
                <c:ptCount val="1"/>
                <c:pt idx="0">
                  <c:v>Actual SDG15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Model!$B$243:$M$243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Model!$B$244:$M$244</c:f>
              <c:numCache>
                <c:formatCode>General</c:formatCode>
                <c:ptCount val="12"/>
                <c:pt idx="0">
                  <c:v>46.971038818359375</c:v>
                </c:pt>
                <c:pt idx="1">
                  <c:v>46.066175293305136</c:v>
                </c:pt>
                <c:pt idx="2">
                  <c:v>51.060938517470518</c:v>
                </c:pt>
                <c:pt idx="3">
                  <c:v>50.356200000000001</c:v>
                </c:pt>
                <c:pt idx="4">
                  <c:v>50.700600000000001</c:v>
                </c:pt>
                <c:pt idx="5">
                  <c:v>50.628799999999998</c:v>
                </c:pt>
                <c:pt idx="6">
                  <c:v>45.613399999999999</c:v>
                </c:pt>
              </c:numCache>
            </c:numRef>
          </c:yVal>
          <c:smooth val="0"/>
          <c:extLst>
            <c:ext xmlns:c16="http://schemas.microsoft.com/office/drawing/2014/chart" uri="{C3380CC4-5D6E-409C-BE32-E72D297353CC}">
              <c16:uniqueId val="{00000000-9539-485B-A610-290634E664AC}"/>
            </c:ext>
          </c:extLst>
        </c:ser>
        <c:ser>
          <c:idx val="1"/>
          <c:order val="1"/>
          <c:tx>
            <c:strRef>
              <c:f>Model!$A$245</c:f>
              <c:strCache>
                <c:ptCount val="1"/>
                <c:pt idx="0">
                  <c:v>Projected SDG15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Model!$B$243:$M$243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Model!$B$245:$M$245</c:f>
              <c:numCache>
                <c:formatCode>General</c:formatCode>
                <c:ptCount val="12"/>
                <c:pt idx="0">
                  <c:v>46.971038818359375</c:v>
                </c:pt>
                <c:pt idx="1">
                  <c:v>46.067252051318697</c:v>
                </c:pt>
                <c:pt idx="2">
                  <c:v>48.8428640186387</c:v>
                </c:pt>
                <c:pt idx="3">
                  <c:v>50.357073394234916</c:v>
                </c:pt>
                <c:pt idx="4">
                  <c:v>50.703804578466261</c:v>
                </c:pt>
                <c:pt idx="5">
                  <c:v>50.346456897244288</c:v>
                </c:pt>
                <c:pt idx="6">
                  <c:v>46.483982328966036</c:v>
                </c:pt>
                <c:pt idx="7">
                  <c:v>42.991272814124628</c:v>
                </c:pt>
                <c:pt idx="8">
                  <c:v>39.832929752075245</c:v>
                </c:pt>
                <c:pt idx="9">
                  <c:v>36.976943345187237</c:v>
                </c:pt>
                <c:pt idx="10">
                  <c:v>34.394368179639422</c:v>
                </c:pt>
                <c:pt idx="11">
                  <c:v>32.059029863736185</c:v>
                </c:pt>
              </c:numCache>
            </c:numRef>
          </c:yVal>
          <c:smooth val="0"/>
          <c:extLst>
            <c:ext xmlns:c16="http://schemas.microsoft.com/office/drawing/2014/chart" uri="{C3380CC4-5D6E-409C-BE32-E72D297353CC}">
              <c16:uniqueId val="{00000001-9539-485B-A610-290634E664AC}"/>
            </c:ext>
          </c:extLst>
        </c:ser>
        <c:dLbls>
          <c:showLegendKey val="0"/>
          <c:showVal val="0"/>
          <c:showCatName val="0"/>
          <c:showSerName val="0"/>
          <c:showPercent val="0"/>
          <c:showBubbleSize val="0"/>
        </c:dLbls>
        <c:axId val="114684703"/>
        <c:axId val="1"/>
      </c:scatterChart>
      <c:valAx>
        <c:axId val="114684703"/>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14684703"/>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Model!$A$249</c:f>
              <c:strCache>
                <c:ptCount val="1"/>
                <c:pt idx="0">
                  <c:v>Actual SDG16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Model!$B$248:$M$248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Model!$B$249:$M$249</c:f>
              <c:numCache>
                <c:formatCode>General</c:formatCode>
                <c:ptCount val="12"/>
                <c:pt idx="0">
                  <c:v>69.426445007324219</c:v>
                </c:pt>
                <c:pt idx="1">
                  <c:v>71.893971411724451</c:v>
                </c:pt>
                <c:pt idx="2">
                  <c:v>61.255014611243027</c:v>
                </c:pt>
                <c:pt idx="3">
                  <c:v>61.136444444444436</c:v>
                </c:pt>
                <c:pt idx="4">
                  <c:v>58.881700000000002</c:v>
                </c:pt>
                <c:pt idx="5">
                  <c:v>54.347000000000001</c:v>
                </c:pt>
                <c:pt idx="6">
                  <c:v>48.511600000000001</c:v>
                </c:pt>
              </c:numCache>
            </c:numRef>
          </c:yVal>
          <c:smooth val="0"/>
          <c:extLst>
            <c:ext xmlns:c16="http://schemas.microsoft.com/office/drawing/2014/chart" uri="{C3380CC4-5D6E-409C-BE32-E72D297353CC}">
              <c16:uniqueId val="{00000000-EFFE-47CD-AC00-D334A8DBCF71}"/>
            </c:ext>
          </c:extLst>
        </c:ser>
        <c:ser>
          <c:idx val="1"/>
          <c:order val="1"/>
          <c:tx>
            <c:strRef>
              <c:f>Model!$A$250</c:f>
              <c:strCache>
                <c:ptCount val="1"/>
                <c:pt idx="0">
                  <c:v>Projected SDG16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Model!$B$248:$M$248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Model!$B$250:$M$250</c:f>
              <c:numCache>
                <c:formatCode>General</c:formatCode>
                <c:ptCount val="12"/>
                <c:pt idx="0">
                  <c:v>69.426445007324219</c:v>
                </c:pt>
                <c:pt idx="1">
                  <c:v>71.262446592244743</c:v>
                </c:pt>
                <c:pt idx="2">
                  <c:v>65.727944913552179</c:v>
                </c:pt>
                <c:pt idx="3">
                  <c:v>61.133361802235378</c:v>
                </c:pt>
                <c:pt idx="4">
                  <c:v>58.634823740729857</c:v>
                </c:pt>
                <c:pt idx="5">
                  <c:v>59.972663038721265</c:v>
                </c:pt>
                <c:pt idx="6">
                  <c:v>55.317153182015112</c:v>
                </c:pt>
                <c:pt idx="7">
                  <c:v>51.209304269233549</c:v>
                </c:pt>
                <c:pt idx="8">
                  <c:v>47.608706184755455</c:v>
                </c:pt>
                <c:pt idx="9">
                  <c:v>44.587808934723014</c:v>
                </c:pt>
                <c:pt idx="10">
                  <c:v>42.175168362663527</c:v>
                </c:pt>
                <c:pt idx="11">
                  <c:v>40.369866562249264</c:v>
                </c:pt>
              </c:numCache>
            </c:numRef>
          </c:yVal>
          <c:smooth val="0"/>
          <c:extLst>
            <c:ext xmlns:c16="http://schemas.microsoft.com/office/drawing/2014/chart" uri="{C3380CC4-5D6E-409C-BE32-E72D297353CC}">
              <c16:uniqueId val="{00000001-EFFE-47CD-AC00-D334A8DBCF71}"/>
            </c:ext>
          </c:extLst>
        </c:ser>
        <c:dLbls>
          <c:showLegendKey val="0"/>
          <c:showVal val="0"/>
          <c:showCatName val="0"/>
          <c:showSerName val="0"/>
          <c:showPercent val="0"/>
          <c:showBubbleSize val="0"/>
        </c:dLbls>
        <c:axId val="114147119"/>
        <c:axId val="1"/>
      </c:scatterChart>
      <c:valAx>
        <c:axId val="114147119"/>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14147119"/>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Model!$A$254</c:f>
              <c:strCache>
                <c:ptCount val="1"/>
                <c:pt idx="0">
                  <c:v>Actual SDG17 India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dPt>
            <c:idx val="6"/>
            <c:bubble3D val="0"/>
            <c:extLst>
              <c:ext xmlns:c16="http://schemas.microsoft.com/office/drawing/2014/chart" uri="{C3380CC4-5D6E-409C-BE32-E72D297353CC}">
                <c16:uniqueId val="{00000001-3F7B-4B90-AA31-6FDBDE0E3205}"/>
              </c:ext>
            </c:extLst>
          </c:dPt>
          <c:xVal>
            <c:numRef>
              <c:f>Model!$B$253:$M$253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Model!$B$254:$M$254</c:f>
              <c:numCache>
                <c:formatCode>General</c:formatCode>
                <c:ptCount val="12"/>
                <c:pt idx="0">
                  <c:v>51.738662719726563</c:v>
                </c:pt>
                <c:pt idx="1">
                  <c:v>51.266810797935847</c:v>
                </c:pt>
                <c:pt idx="2">
                  <c:v>65.698219633333338</c:v>
                </c:pt>
                <c:pt idx="3">
                  <c:v>46.98</c:v>
                </c:pt>
                <c:pt idx="4">
                  <c:v>50.738</c:v>
                </c:pt>
                <c:pt idx="5">
                  <c:v>50.184750000000001</c:v>
                </c:pt>
                <c:pt idx="6">
                  <c:v>54.646250000000002</c:v>
                </c:pt>
              </c:numCache>
            </c:numRef>
          </c:yVal>
          <c:smooth val="0"/>
          <c:extLst>
            <c:ext xmlns:c16="http://schemas.microsoft.com/office/drawing/2014/chart" uri="{C3380CC4-5D6E-409C-BE32-E72D297353CC}">
              <c16:uniqueId val="{00000002-3F7B-4B90-AA31-6FDBDE0E3205}"/>
            </c:ext>
          </c:extLst>
        </c:ser>
        <c:ser>
          <c:idx val="1"/>
          <c:order val="1"/>
          <c:tx>
            <c:strRef>
              <c:f>Model!$A$255</c:f>
              <c:strCache>
                <c:ptCount val="1"/>
                <c:pt idx="0">
                  <c:v>Projected SDG17 India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Model!$B$253:$M$253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Model!$B$255:$M$255</c:f>
              <c:numCache>
                <c:formatCode>General</c:formatCode>
                <c:ptCount val="12"/>
                <c:pt idx="0">
                  <c:v>51.738662719726555</c:v>
                </c:pt>
                <c:pt idx="1">
                  <c:v>51.266907649557247</c:v>
                </c:pt>
                <c:pt idx="2">
                  <c:v>55.321640884746046</c:v>
                </c:pt>
                <c:pt idx="3">
                  <c:v>50.982878604930413</c:v>
                </c:pt>
                <c:pt idx="4">
                  <c:v>48.016804509046928</c:v>
                </c:pt>
                <c:pt idx="5">
                  <c:v>48.373107981297288</c:v>
                </c:pt>
                <c:pt idx="6">
                  <c:v>53.315488869149327</c:v>
                </c:pt>
                <c:pt idx="7">
                  <c:v>57.784721653705539</c:v>
                </c:pt>
                <c:pt idx="8">
                  <c:v>61.8261027928489</c:v>
                </c:pt>
                <c:pt idx="9">
                  <c:v>65.480591672520376</c:v>
                </c:pt>
                <c:pt idx="10">
                  <c:v>68.785226526750733</c:v>
                </c:pt>
                <c:pt idx="11">
                  <c:v>71.773499820053487</c:v>
                </c:pt>
              </c:numCache>
            </c:numRef>
          </c:yVal>
          <c:smooth val="0"/>
          <c:extLst>
            <c:ext xmlns:c16="http://schemas.microsoft.com/office/drawing/2014/chart" uri="{C3380CC4-5D6E-409C-BE32-E72D297353CC}">
              <c16:uniqueId val="{00000003-3F7B-4B90-AA31-6FDBDE0E3205}"/>
            </c:ext>
          </c:extLst>
        </c:ser>
        <c:dLbls>
          <c:showLegendKey val="0"/>
          <c:showVal val="0"/>
          <c:showCatName val="0"/>
          <c:showSerName val="0"/>
          <c:showPercent val="0"/>
          <c:showBubbleSize val="0"/>
        </c:dLbls>
        <c:axId val="502163631"/>
        <c:axId val="1"/>
      </c:scatterChart>
      <c:valAx>
        <c:axId val="50216363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63631"/>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SDG Score</a:t>
            </a:r>
          </a:p>
        </c:rich>
      </c:tx>
      <c:overlay val="0"/>
    </c:title>
    <c:autoTitleDeleted val="0"/>
    <c:plotArea>
      <c:layout>
        <c:manualLayout>
          <c:layoutTarget val="inner"/>
          <c:xMode val="edge"/>
          <c:yMode val="edge"/>
          <c:x val="8.7069248859115711E-2"/>
          <c:y val="9.2075237870494181E-2"/>
          <c:w val="0.82458445395800528"/>
          <c:h val="0.8172014029307928"/>
        </c:manualLayout>
      </c:layout>
      <c:scatterChart>
        <c:scatterStyle val="lineMarker"/>
        <c:varyColors val="0"/>
        <c:ser>
          <c:idx val="0"/>
          <c:order val="0"/>
          <c:tx>
            <c:v>Status Quo</c:v>
          </c:tx>
          <c:spPr>
            <a:ln w="38100">
              <a:solidFill>
                <a:srgbClr val="FF0000"/>
              </a:solidFill>
              <a:prstDash val="solid"/>
            </a:ln>
          </c:spPr>
          <c:marker>
            <c:symbol val="none"/>
          </c:marker>
          <c:xVal>
            <c:numRef>
              <c:f>Scenarios!$B$21:$O$21</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Scenarios!$B$22:$O$22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0.60536107456786814</c:v>
                </c:pt>
                <c:pt idx="8">
                  <c:v>0.61538004259092061</c:v>
                </c:pt>
                <c:pt idx="9">
                  <c:v>0.6239032321118998</c:v>
                </c:pt>
                <c:pt idx="10">
                  <c:v>0.63139025254636538</c:v>
                </c:pt>
                <c:pt idx="11">
                  <c:v>0.6382182716564061</c:v>
                </c:pt>
                <c:pt idx="12">
                  <c:v>0.64470869935602404</c:v>
                </c:pt>
                <c:pt idx="13">
                  <c:v>0.65102510531967639</c:v>
                </c:pt>
              </c:numCache>
            </c:numRef>
          </c:yVal>
          <c:smooth val="0"/>
          <c:extLst>
            <c:ext xmlns:c16="http://schemas.microsoft.com/office/drawing/2014/chart" uri="{C3380CC4-5D6E-409C-BE32-E72D297353CC}">
              <c16:uniqueId val="{00000000-5F83-4F47-9898-354843B7923E}"/>
            </c:ext>
          </c:extLst>
        </c:ser>
        <c:ser>
          <c:idx val="1"/>
          <c:order val="1"/>
          <c:tx>
            <c:v>Reallocation</c:v>
          </c:tx>
          <c:spPr>
            <a:ln w="38100">
              <a:solidFill>
                <a:srgbClr val="0000FF"/>
              </a:solidFill>
              <a:prstDash val="solid"/>
            </a:ln>
          </c:spPr>
          <c:marker>
            <c:symbol val="none"/>
          </c:marker>
          <c:xVal>
            <c:numRef>
              <c:f>Scenarios!$B$21:$O$21</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Scenarios!$B$42:$O$42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0.60418856662343023</c:v>
                </c:pt>
                <c:pt idx="8">
                  <c:v>0.62189911819688148</c:v>
                </c:pt>
                <c:pt idx="9">
                  <c:v>0.64266417340572435</c:v>
                </c:pt>
                <c:pt idx="10">
                  <c:v>0.66268230631959546</c:v>
                </c:pt>
                <c:pt idx="11">
                  <c:v>0.68183761873156423</c:v>
                </c:pt>
                <c:pt idx="12">
                  <c:v>0.70019402545516141</c:v>
                </c:pt>
                <c:pt idx="13">
                  <c:v>0.71821342122755616</c:v>
                </c:pt>
              </c:numCache>
            </c:numRef>
          </c:yVal>
          <c:smooth val="0"/>
          <c:extLst>
            <c:ext xmlns:c16="http://schemas.microsoft.com/office/drawing/2014/chart" uri="{C3380CC4-5D6E-409C-BE32-E72D297353CC}">
              <c16:uniqueId val="{00000001-5F83-4F47-9898-354843B7923E}"/>
            </c:ext>
          </c:extLst>
        </c:ser>
        <c:dLbls>
          <c:showLegendKey val="0"/>
          <c:showVal val="0"/>
          <c:showCatName val="0"/>
          <c:showSerName val="0"/>
          <c:showPercent val="0"/>
          <c:showBubbleSize val="0"/>
        </c:dLbls>
        <c:axId val="365707839"/>
        <c:axId val="1"/>
      </c:scatterChart>
      <c:valAx>
        <c:axId val="365707839"/>
        <c:scaling>
          <c:orientation val="minMax"/>
          <c:max val="2030"/>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1"/>
        <c:crossesAt val="0"/>
        <c:crossBetween val="midCat"/>
        <c:majorUnit val="1"/>
      </c:valAx>
      <c:valAx>
        <c:axId val="1"/>
        <c:scaling>
          <c:orientation val="minMax"/>
          <c:max val="0.75000000000000011"/>
          <c:min val="0.5"/>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365707839"/>
        <c:crossesAt val="0"/>
        <c:crossBetween val="midCat"/>
      </c:valAx>
      <c:spPr>
        <a:solidFill>
          <a:srgbClr val="FFFFFF"/>
        </a:solidFill>
        <a:ln w="12700">
          <a:solidFill>
            <a:srgbClr val="808080"/>
          </a:solidFill>
          <a:prstDash val="solid"/>
        </a:ln>
      </c:spPr>
    </c:plotArea>
    <c:plotVisOnly val="1"/>
    <c:dispBlanksAs val="gap"/>
    <c:showDLblsOverMax val="0"/>
  </c:chart>
  <c:spPr>
    <a:noFill/>
    <a:ln w="6350">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143910271010197E-2"/>
          <c:y val="6.0741767878772175E-2"/>
          <c:w val="0.87719699951556251"/>
          <c:h val="0.7567360013982557"/>
        </c:manualLayout>
      </c:layout>
      <c:scatterChart>
        <c:scatterStyle val="lineMarker"/>
        <c:varyColors val="0"/>
        <c:ser>
          <c:idx val="0"/>
          <c:order val="0"/>
          <c:tx>
            <c:strRef>
              <c:f>Model!$A$3</c:f>
              <c:strCache>
                <c:ptCount val="1"/>
                <c:pt idx="0">
                  <c:v>SDG1</c:v>
                </c:pt>
              </c:strCache>
            </c:strRef>
          </c:tx>
          <c:spPr>
            <a:ln w="12700">
              <a:solidFill>
                <a:srgbClr val="E5243B"/>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Model!$B$3:$DB$3</c:f>
              <c:numCache>
                <c:formatCode>General</c:formatCode>
                <c:ptCount val="105"/>
                <c:pt idx="0">
                  <c:v>0.93385078430175783</c:v>
                </c:pt>
                <c:pt idx="1">
                  <c:v>0.92244640333044547</c:v>
                </c:pt>
                <c:pt idx="2">
                  <c:v>0.92341582328881489</c:v>
                </c:pt>
                <c:pt idx="3">
                  <c:v>0.92437312549770467</c:v>
                </c:pt>
                <c:pt idx="4">
                  <c:v>0.92531846142898333</c:v>
                </c:pt>
                <c:pt idx="5">
                  <c:v>0.92625198066112102</c:v>
                </c:pt>
                <c:pt idx="6">
                  <c:v>0.92717383090285699</c:v>
                </c:pt>
                <c:pt idx="7">
                  <c:v>0.92808415801657129</c:v>
                </c:pt>
                <c:pt idx="8">
                  <c:v>0.92898310604136414</c:v>
                </c:pt>
                <c:pt idx="9">
                  <c:v>0.92987081721584708</c:v>
                </c:pt>
                <c:pt idx="10">
                  <c:v>0.93074743200064902</c:v>
                </c:pt>
                <c:pt idx="11">
                  <c:v>0.93161308910064089</c:v>
                </c:pt>
                <c:pt idx="12">
                  <c:v>0.93246792548688284</c:v>
                </c:pt>
                <c:pt idx="13">
                  <c:v>0.93331207641829683</c:v>
                </c:pt>
                <c:pt idx="14">
                  <c:v>0.93414567546306815</c:v>
                </c:pt>
                <c:pt idx="15">
                  <c:v>0.93496885451977985</c:v>
                </c:pt>
                <c:pt idx="16">
                  <c:v>0.93578174383828261</c:v>
                </c:pt>
                <c:pt idx="17">
                  <c:v>0.93658447204030404</c:v>
                </c:pt>
                <c:pt idx="18">
                  <c:v>0.93737716613980027</c:v>
                </c:pt>
                <c:pt idx="19">
                  <c:v>0.93815995156305276</c:v>
                </c:pt>
                <c:pt idx="20">
                  <c:v>0.93893295216851458</c:v>
                </c:pt>
                <c:pt idx="21">
                  <c:v>0.93969629026640811</c:v>
                </c:pt>
                <c:pt idx="22">
                  <c:v>0.94045008663807805</c:v>
                </c:pt>
                <c:pt idx="23">
                  <c:v>0.94119446055510203</c:v>
                </c:pt>
                <c:pt idx="24">
                  <c:v>0.94192952979816325</c:v>
                </c:pt>
                <c:pt idx="25">
                  <c:v>0.93176508656014145</c:v>
                </c:pt>
                <c:pt idx="26">
                  <c:v>0.92175045652556775</c:v>
                </c:pt>
                <c:pt idx="27">
                  <c:v>0.91188300090781793</c:v>
                </c:pt>
                <c:pt idx="28">
                  <c:v>0.90216012636256526</c:v>
                </c:pt>
                <c:pt idx="29">
                  <c:v>0.89257928428755096</c:v>
                </c:pt>
                <c:pt idx="30">
                  <c:v>0.88313797012373185</c:v>
                </c:pt>
                <c:pt idx="31">
                  <c:v>0.87383372266284232</c:v>
                </c:pt>
                <c:pt idx="32">
                  <c:v>0.8646641233651986</c:v>
                </c:pt>
                <c:pt idx="33">
                  <c:v>0.86635582182313364</c:v>
                </c:pt>
                <c:pt idx="34">
                  <c:v>0.86802637405034444</c:v>
                </c:pt>
                <c:pt idx="35">
                  <c:v>0.86967604437471513</c:v>
                </c:pt>
                <c:pt idx="36">
                  <c:v>0.87130509382003118</c:v>
                </c:pt>
                <c:pt idx="37">
                  <c:v>0.87291378014728083</c:v>
                </c:pt>
                <c:pt idx="38">
                  <c:v>0.87450235789543984</c:v>
                </c:pt>
                <c:pt idx="39">
                  <c:v>0.87607107842174681</c:v>
                </c:pt>
                <c:pt idx="40">
                  <c:v>0.87762018994147495</c:v>
                </c:pt>
                <c:pt idx="41">
                  <c:v>0.8791499375672065</c:v>
                </c:pt>
                <c:pt idx="42">
                  <c:v>0.88066056334761644</c:v>
                </c:pt>
                <c:pt idx="43">
                  <c:v>0.88215230630577124</c:v>
                </c:pt>
                <c:pt idx="44">
                  <c:v>0.8836254024769491</c:v>
                </c:pt>
                <c:pt idx="45">
                  <c:v>0.88508008494598722</c:v>
                </c:pt>
                <c:pt idx="46">
                  <c:v>0.88651658388416243</c:v>
                </c:pt>
                <c:pt idx="47">
                  <c:v>0.88793512658561036</c:v>
                </c:pt>
                <c:pt idx="48">
                  <c:v>0.88933593750329021</c:v>
                </c:pt>
                <c:pt idx="49">
                  <c:v>0.88755103181569883</c:v>
                </c:pt>
                <c:pt idx="50">
                  <c:v>0.88594529977473557</c:v>
                </c:pt>
                <c:pt idx="51">
                  <c:v>0.88452502745567274</c:v>
                </c:pt>
                <c:pt idx="52">
                  <c:v>0.88329698018196712</c:v>
                </c:pt>
                <c:pt idx="53">
                  <c:v>0.88226843661236953</c:v>
                </c:pt>
                <c:pt idx="54">
                  <c:v>0.88144722646182727</c:v>
                </c:pt>
                <c:pt idx="55">
                  <c:v>0.88084177224769922</c:v>
                </c:pt>
                <c:pt idx="56">
                  <c:v>0.88046113550600502</c:v>
                </c:pt>
                <c:pt idx="57">
                  <c:v>0.88031506798358072</c:v>
                </c:pt>
                <c:pt idx="58">
                  <c:v>0.88041406838248093</c:v>
                </c:pt>
                <c:pt idx="59">
                  <c:v>0.88076944531438828</c:v>
                </c:pt>
                <c:pt idx="60">
                  <c:v>0.88139114791538486</c:v>
                </c:pt>
                <c:pt idx="61">
                  <c:v>0.88228505708756078</c:v>
                </c:pt>
                <c:pt idx="62">
                  <c:v>0.88345741727751215</c:v>
                </c:pt>
                <c:pt idx="63">
                  <c:v>0.88491419956154327</c:v>
                </c:pt>
                <c:pt idx="64">
                  <c:v>0.88635277206702401</c:v>
                </c:pt>
                <c:pt idx="65">
                  <c:v>0.88777336241618621</c:v>
                </c:pt>
                <c:pt idx="66">
                  <c:v>0.88917619538598391</c:v>
                </c:pt>
                <c:pt idx="67">
                  <c:v>0.89056149294365916</c:v>
                </c:pt>
                <c:pt idx="68">
                  <c:v>0.89192947428186342</c:v>
                </c:pt>
                <c:pt idx="69">
                  <c:v>0.89328035585334009</c:v>
                </c:pt>
                <c:pt idx="70">
                  <c:v>0.89461435140517331</c:v>
                </c:pt>
                <c:pt idx="71">
                  <c:v>0.89593167201260859</c:v>
                </c:pt>
                <c:pt idx="72">
                  <c:v>0.89723252611245097</c:v>
                </c:pt>
                <c:pt idx="73">
                  <c:v>0.89851711953604529</c:v>
                </c:pt>
                <c:pt idx="74">
                  <c:v>0.89978565554184475</c:v>
                </c:pt>
                <c:pt idx="75">
                  <c:v>0.90103833484757168</c:v>
                </c:pt>
                <c:pt idx="76">
                  <c:v>0.90227535566197703</c:v>
                </c:pt>
                <c:pt idx="77">
                  <c:v>0.90349691371620233</c:v>
                </c:pt>
                <c:pt idx="78">
                  <c:v>0.90470320229474976</c:v>
                </c:pt>
                <c:pt idx="79">
                  <c:v>0.90589441226606537</c:v>
                </c:pt>
                <c:pt idx="80">
                  <c:v>0.90707073211273959</c:v>
                </c:pt>
                <c:pt idx="81">
                  <c:v>0.90823234796133034</c:v>
                </c:pt>
                <c:pt idx="82">
                  <c:v>0.90937944361181366</c:v>
                </c:pt>
                <c:pt idx="83">
                  <c:v>0.91051220056666604</c:v>
                </c:pt>
                <c:pt idx="84">
                  <c:v>0.91163079805958269</c:v>
                </c:pt>
                <c:pt idx="85">
                  <c:v>0.91273541308383788</c:v>
                </c:pt>
                <c:pt idx="86">
                  <c:v>0.91382622042028994</c:v>
                </c:pt>
                <c:pt idx="87">
                  <c:v>0.91490339266503629</c:v>
                </c:pt>
                <c:pt idx="88">
                  <c:v>0.91596710025672334</c:v>
                </c:pt>
                <c:pt idx="89">
                  <c:v>0.91701751150351429</c:v>
                </c:pt>
                <c:pt idx="90">
                  <c:v>0.91805479260972034</c:v>
                </c:pt>
                <c:pt idx="91">
                  <c:v>0.91907910770209889</c:v>
                </c:pt>
                <c:pt idx="92">
                  <c:v>0.92009061885582266</c:v>
                </c:pt>
                <c:pt idx="93">
                  <c:v>0.92108948612012487</c:v>
                </c:pt>
                <c:pt idx="94">
                  <c:v>0.92207586754362336</c:v>
                </c:pt>
                <c:pt idx="95">
                  <c:v>0.92304991919932811</c:v>
                </c:pt>
                <c:pt idx="96">
                  <c:v>0.92401179520933652</c:v>
                </c:pt>
                <c:pt idx="97">
                  <c:v>0.92496164776921985</c:v>
                </c:pt>
                <c:pt idx="98">
                  <c:v>0.92589962717210461</c:v>
                </c:pt>
                <c:pt idx="99">
                  <c:v>0.92682588183245329</c:v>
                </c:pt>
                <c:pt idx="100">
                  <c:v>0.9277405583095476</c:v>
                </c:pt>
                <c:pt idx="101">
                  <c:v>0.92864380133067825</c:v>
                </c:pt>
                <c:pt idx="102">
                  <c:v>0.92953575381404474</c:v>
                </c:pt>
                <c:pt idx="103">
                  <c:v>0.93041655689136915</c:v>
                </c:pt>
                <c:pt idx="104">
                  <c:v>0.93128634993022708</c:v>
                </c:pt>
              </c:numCache>
            </c:numRef>
          </c:yVal>
          <c:smooth val="0"/>
          <c:extLst>
            <c:ext xmlns:c16="http://schemas.microsoft.com/office/drawing/2014/chart" uri="{C3380CC4-5D6E-409C-BE32-E72D297353CC}">
              <c16:uniqueId val="{00000000-0245-4E33-95B6-175C1050FA82}"/>
            </c:ext>
          </c:extLst>
        </c:ser>
        <c:ser>
          <c:idx val="1"/>
          <c:order val="1"/>
          <c:tx>
            <c:strRef>
              <c:f>Model!$A$4</c:f>
              <c:strCache>
                <c:ptCount val="1"/>
                <c:pt idx="0">
                  <c:v>SDG2</c:v>
                </c:pt>
              </c:strCache>
            </c:strRef>
          </c:tx>
          <c:spPr>
            <a:ln w="12700">
              <a:solidFill>
                <a:srgbClr val="DDA63A"/>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Model!$B$4:$DB$4</c:f>
              <c:numCache>
                <c:formatCode>General</c:formatCode>
                <c:ptCount val="105"/>
                <c:pt idx="0">
                  <c:v>0.36852024078369139</c:v>
                </c:pt>
                <c:pt idx="1">
                  <c:v>0.37127538151947953</c:v>
                </c:pt>
                <c:pt idx="2">
                  <c:v>0.37470541941586782</c:v>
                </c:pt>
                <c:pt idx="3">
                  <c:v>0.37804261146437212</c:v>
                </c:pt>
                <c:pt idx="4">
                  <c:v>0.3812900276001821</c:v>
                </c:pt>
                <c:pt idx="5">
                  <c:v>0.3844505615488274</c:v>
                </c:pt>
                <c:pt idx="6">
                  <c:v>0.38752694750815281</c:v>
                </c:pt>
                <c:pt idx="7">
                  <c:v>0.39052177484870149</c:v>
                </c:pt>
                <c:pt idx="8">
                  <c:v>0.3934375011155759</c:v>
                </c:pt>
                <c:pt idx="9">
                  <c:v>0.39866691094459028</c:v>
                </c:pt>
                <c:pt idx="10">
                  <c:v>0.40369385898633925</c:v>
                </c:pt>
                <c:pt idx="11">
                  <c:v>0.40852334669105311</c:v>
                </c:pt>
                <c:pt idx="12">
                  <c:v>0.41316025716448324</c:v>
                </c:pt>
                <c:pt idx="13">
                  <c:v>0.41760935825685902</c:v>
                </c:pt>
                <c:pt idx="14">
                  <c:v>0.42187530555561537</c:v>
                </c:pt>
                <c:pt idx="15">
                  <c:v>0.42596264528555605</c:v>
                </c:pt>
                <c:pt idx="16">
                  <c:v>0.42987581711995126</c:v>
                </c:pt>
                <c:pt idx="17">
                  <c:v>0.4333304499154283</c:v>
                </c:pt>
                <c:pt idx="18">
                  <c:v>0.43662685645577209</c:v>
                </c:pt>
                <c:pt idx="19">
                  <c:v>0.43976901521792133</c:v>
                </c:pt>
                <c:pt idx="20">
                  <c:v>0.44276081192224909</c:v>
                </c:pt>
                <c:pt idx="21">
                  <c:v>0.44560604186495806</c:v>
                </c:pt>
                <c:pt idx="22">
                  <c:v>0.44830841218164375</c:v>
                </c:pt>
                <c:pt idx="23">
                  <c:v>0.45087154404449059</c:v>
                </c:pt>
                <c:pt idx="24">
                  <c:v>0.45329897479545966</c:v>
                </c:pt>
                <c:pt idx="25">
                  <c:v>0.46013273761051643</c:v>
                </c:pt>
                <c:pt idx="26">
                  <c:v>0.46688107839038495</c:v>
                </c:pt>
                <c:pt idx="27">
                  <c:v>0.47354506491050513</c:v>
                </c:pt>
                <c:pt idx="28">
                  <c:v>0.4801257515991238</c:v>
                </c:pt>
                <c:pt idx="29">
                  <c:v>0.48662417970413474</c:v>
                </c:pt>
                <c:pt idx="30">
                  <c:v>0.49304137745783305</c:v>
                </c:pt>
                <c:pt idx="31">
                  <c:v>0.49937836023961013</c:v>
                </c:pt>
                <c:pt idx="32">
                  <c:v>0.50563613073661495</c:v>
                </c:pt>
                <c:pt idx="33">
                  <c:v>0.50258931702685483</c:v>
                </c:pt>
                <c:pt idx="34">
                  <c:v>0.49961347685906504</c:v>
                </c:pt>
                <c:pt idx="35">
                  <c:v>0.49670751083767328</c:v>
                </c:pt>
                <c:pt idx="36">
                  <c:v>0.49387032617638654</c:v>
                </c:pt>
                <c:pt idx="37">
                  <c:v>0.49110083701179735</c:v>
                </c:pt>
                <c:pt idx="38">
                  <c:v>0.48839796472578256</c:v>
                </c:pt>
                <c:pt idx="39">
                  <c:v>0.48576063827533922</c:v>
                </c:pt>
                <c:pt idx="40">
                  <c:v>0.48318779452848171</c:v>
                </c:pt>
                <c:pt idx="41">
                  <c:v>0.4842088101127488</c:v>
                </c:pt>
                <c:pt idx="42">
                  <c:v>0.48521781047936807</c:v>
                </c:pt>
                <c:pt idx="43">
                  <c:v>0.48621762514541716</c:v>
                </c:pt>
                <c:pt idx="44">
                  <c:v>0.48721088148567954</c:v>
                </c:pt>
                <c:pt idx="45">
                  <c:v>0.48820002404324458</c:v>
                </c:pt>
                <c:pt idx="46">
                  <c:v>0.48918733159399375</c:v>
                </c:pt>
                <c:pt idx="47">
                  <c:v>0.49017493227542902</c:v>
                </c:pt>
                <c:pt idx="48">
                  <c:v>0.49116481704097387</c:v>
                </c:pt>
                <c:pt idx="49">
                  <c:v>0.49329559363800141</c:v>
                </c:pt>
                <c:pt idx="50">
                  <c:v>0.49557319556786167</c:v>
                </c:pt>
                <c:pt idx="51">
                  <c:v>0.49799802166309065</c:v>
                </c:pt>
                <c:pt idx="52">
                  <c:v>0.50057049444540924</c:v>
                </c:pt>
                <c:pt idx="53">
                  <c:v>0.50329106053579253</c:v>
                </c:pt>
                <c:pt idx="54">
                  <c:v>0.50616019102511556</c:v>
                </c:pt>
                <c:pt idx="55">
                  <c:v>0.50917838181059261</c:v>
                </c:pt>
                <c:pt idx="56">
                  <c:v>0.51234615390236793</c:v>
                </c:pt>
                <c:pt idx="57">
                  <c:v>0.51566405370391499</c:v>
                </c:pt>
                <c:pt idx="58">
                  <c:v>0.51913265326932967</c:v>
                </c:pt>
                <c:pt idx="59">
                  <c:v>0.52275255054013392</c:v>
                </c:pt>
                <c:pt idx="60">
                  <c:v>0.5265243695638161</c:v>
                </c:pt>
                <c:pt idx="61">
                  <c:v>0.53044876069601454</c:v>
                </c:pt>
                <c:pt idx="62">
                  <c:v>0.53452640075576296</c:v>
                </c:pt>
                <c:pt idx="63">
                  <c:v>0.53875799310016648</c:v>
                </c:pt>
                <c:pt idx="64">
                  <c:v>0.54314426768848012</c:v>
                </c:pt>
                <c:pt idx="65">
                  <c:v>0.54768598113715394</c:v>
                </c:pt>
                <c:pt idx="66">
                  <c:v>0.55238391473483772</c:v>
                </c:pt>
                <c:pt idx="67">
                  <c:v>0.55723887195013877</c:v>
                </c:pt>
                <c:pt idx="68">
                  <c:v>0.56225167867907</c:v>
                </c:pt>
                <c:pt idx="69">
                  <c:v>0.56742318352961707</c:v>
                </c:pt>
                <c:pt idx="70">
                  <c:v>0.57275425810347402</c:v>
                </c:pt>
                <c:pt idx="71">
                  <c:v>0.57809482987718064</c:v>
                </c:pt>
                <c:pt idx="72">
                  <c:v>0.58336864450371584</c:v>
                </c:pt>
                <c:pt idx="73">
                  <c:v>0.58857653644741936</c:v>
                </c:pt>
                <c:pt idx="74">
                  <c:v>0.59371932974182662</c:v>
                </c:pt>
                <c:pt idx="75">
                  <c:v>0.59879783812005383</c:v>
                </c:pt>
                <c:pt idx="76">
                  <c:v>0.60381286514355315</c:v>
                </c:pt>
                <c:pt idx="77">
                  <c:v>0.60876520432925874</c:v>
                </c:pt>
                <c:pt idx="78">
                  <c:v>0.61365563927514299</c:v>
                </c:pt>
                <c:pt idx="79">
                  <c:v>0.61848494378420371</c:v>
                </c:pt>
                <c:pt idx="80">
                  <c:v>0.62325388198690113</c:v>
                </c:pt>
                <c:pt idx="81">
                  <c:v>0.62796320846206488</c:v>
                </c:pt>
                <c:pt idx="82">
                  <c:v>0.63261366835628907</c:v>
                </c:pt>
                <c:pt idx="83">
                  <c:v>0.63720599750183549</c:v>
                </c:pt>
                <c:pt idx="84">
                  <c:v>0.64174092253306259</c:v>
                </c:pt>
                <c:pt idx="85">
                  <c:v>0.64621916100139931</c:v>
                </c:pt>
                <c:pt idx="86">
                  <c:v>0.65064142148888182</c:v>
                </c:pt>
                <c:pt idx="87">
                  <c:v>0.6550084037202708</c:v>
                </c:pt>
                <c:pt idx="88">
                  <c:v>0.65932079867376747</c:v>
                </c:pt>
                <c:pt idx="89">
                  <c:v>0.66357928869034533</c:v>
                </c:pt>
                <c:pt idx="90">
                  <c:v>0.66778454758171601</c:v>
                </c:pt>
                <c:pt idx="91">
                  <c:v>0.67193724073694461</c:v>
                </c:pt>
                <c:pt idx="92">
                  <c:v>0.67603802522773282</c:v>
                </c:pt>
                <c:pt idx="93">
                  <c:v>0.68008754991238618</c:v>
                </c:pt>
                <c:pt idx="94">
                  <c:v>0.68408645553848135</c:v>
                </c:pt>
                <c:pt idx="95">
                  <c:v>0.68803537484425037</c:v>
                </c:pt>
                <c:pt idx="96">
                  <c:v>0.69193493265869721</c:v>
                </c:pt>
                <c:pt idx="97">
                  <c:v>0.6957857460004635</c:v>
                </c:pt>
                <c:pt idx="98">
                  <c:v>0.69958842417545775</c:v>
                </c:pt>
                <c:pt idx="99">
                  <c:v>0.70334356887326455</c:v>
                </c:pt>
                <c:pt idx="100">
                  <c:v>0.70705177426234878</c:v>
                </c:pt>
                <c:pt idx="101">
                  <c:v>0.71071362708406938</c:v>
                </c:pt>
                <c:pt idx="102">
                  <c:v>0.71432970674551854</c:v>
                </c:pt>
                <c:pt idx="103">
                  <c:v>0.71790058541119961</c:v>
                </c:pt>
                <c:pt idx="104">
                  <c:v>0.72142682809355962</c:v>
                </c:pt>
              </c:numCache>
            </c:numRef>
          </c:yVal>
          <c:smooth val="0"/>
          <c:extLst>
            <c:ext xmlns:c16="http://schemas.microsoft.com/office/drawing/2014/chart" uri="{C3380CC4-5D6E-409C-BE32-E72D297353CC}">
              <c16:uniqueId val="{00000001-0245-4E33-95B6-175C1050FA82}"/>
            </c:ext>
          </c:extLst>
        </c:ser>
        <c:ser>
          <c:idx val="2"/>
          <c:order val="2"/>
          <c:tx>
            <c:strRef>
              <c:f>Model!$A$5</c:f>
              <c:strCache>
                <c:ptCount val="1"/>
                <c:pt idx="0">
                  <c:v>SDG3</c:v>
                </c:pt>
              </c:strCache>
            </c:strRef>
          </c:tx>
          <c:spPr>
            <a:ln w="12700">
              <a:solidFill>
                <a:srgbClr val="4C9F38"/>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Model!$B$5:$DB$5</c:f>
              <c:numCache>
                <c:formatCode>General</c:formatCode>
                <c:ptCount val="105"/>
                <c:pt idx="0">
                  <c:v>0.55213714599609376</c:v>
                </c:pt>
                <c:pt idx="1">
                  <c:v>0.54675483075526654</c:v>
                </c:pt>
                <c:pt idx="2">
                  <c:v>0.55242039537082566</c:v>
                </c:pt>
                <c:pt idx="3">
                  <c:v>0.55801514042869038</c:v>
                </c:pt>
                <c:pt idx="4">
                  <c:v>0.56353995117333178</c:v>
                </c:pt>
                <c:pt idx="5">
                  <c:v>0.5689957017836651</c:v>
                </c:pt>
                <c:pt idx="6">
                  <c:v>0.57438325551136926</c:v>
                </c:pt>
                <c:pt idx="7">
                  <c:v>0.57970346481747714</c:v>
                </c:pt>
                <c:pt idx="8">
                  <c:v>0.58495717150725868</c:v>
                </c:pt>
                <c:pt idx="9">
                  <c:v>0.58475838278982328</c:v>
                </c:pt>
                <c:pt idx="10">
                  <c:v>0.58469047892275849</c:v>
                </c:pt>
                <c:pt idx="11">
                  <c:v>0.58474558120979558</c:v>
                </c:pt>
                <c:pt idx="12">
                  <c:v>0.58491596998512441</c:v>
                </c:pt>
                <c:pt idx="13">
                  <c:v>0.58519409298068081</c:v>
                </c:pt>
                <c:pt idx="14">
                  <c:v>0.5855725724555586</c:v>
                </c:pt>
                <c:pt idx="15">
                  <c:v>0.58604421119029759</c:v>
                </c:pt>
                <c:pt idx="16">
                  <c:v>0.58660199744134756</c:v>
                </c:pt>
                <c:pt idx="17">
                  <c:v>0.58287169286621721</c:v>
                </c:pt>
                <c:pt idx="18">
                  <c:v>0.57920907176234193</c:v>
                </c:pt>
                <c:pt idx="19">
                  <c:v>0.57560973875798549</c:v>
                </c:pt>
                <c:pt idx="20">
                  <c:v>0.57206948809114233</c:v>
                </c:pt>
                <c:pt idx="21">
                  <c:v>0.56858430065526877</c:v>
                </c:pt>
                <c:pt idx="22">
                  <c:v>0.56515034065612602</c:v>
                </c:pt>
                <c:pt idx="23">
                  <c:v>0.5617639519400176</c:v>
                </c:pt>
                <c:pt idx="24">
                  <c:v>0.55842165404730537</c:v>
                </c:pt>
                <c:pt idx="25">
                  <c:v>0.55879889270691641</c:v>
                </c:pt>
                <c:pt idx="26">
                  <c:v>0.55927535599789757</c:v>
                </c:pt>
                <c:pt idx="27">
                  <c:v>0.5598458992306492</c:v>
                </c:pt>
                <c:pt idx="28">
                  <c:v>0.56050551318725683</c:v>
                </c:pt>
                <c:pt idx="29">
                  <c:v>0.56124932406144068</c:v>
                </c:pt>
                <c:pt idx="30">
                  <c:v>0.56207259302588164</c:v>
                </c:pt>
                <c:pt idx="31">
                  <c:v>0.56297071547184596</c:v>
                </c:pt>
                <c:pt idx="32">
                  <c:v>0.56393921996174712</c:v>
                </c:pt>
                <c:pt idx="33">
                  <c:v>0.56727513303172217</c:v>
                </c:pt>
                <c:pt idx="34">
                  <c:v>0.57054505176662962</c:v>
                </c:pt>
                <c:pt idx="35">
                  <c:v>0.57375033078483018</c:v>
                </c:pt>
                <c:pt idx="36">
                  <c:v>0.57689231641137018</c:v>
                </c:pt>
                <c:pt idx="37">
                  <c:v>0.57997234656836238</c:v>
                </c:pt>
                <c:pt idx="38">
                  <c:v>0.58299175068817033</c:v>
                </c:pt>
                <c:pt idx="39">
                  <c:v>0.58595184964777902</c:v>
                </c:pt>
                <c:pt idx="40">
                  <c:v>0.58885395572279753</c:v>
                </c:pt>
                <c:pt idx="41">
                  <c:v>0.59399328127626261</c:v>
                </c:pt>
                <c:pt idx="42">
                  <c:v>0.59906836526030938</c:v>
                </c:pt>
                <c:pt idx="43">
                  <c:v>0.60408001069455552</c:v>
                </c:pt>
                <c:pt idx="44">
                  <c:v>0.60902901056087355</c:v>
                </c:pt>
                <c:pt idx="45">
                  <c:v>0.61391614792886262</c:v>
                </c:pt>
                <c:pt idx="46">
                  <c:v>0.61874219607975189</c:v>
                </c:pt>
                <c:pt idx="47">
                  <c:v>0.62350791862875499</c:v>
                </c:pt>
                <c:pt idx="48">
                  <c:v>0.62821406964589555</c:v>
                </c:pt>
                <c:pt idx="49">
                  <c:v>0.62973131961806328</c:v>
                </c:pt>
                <c:pt idx="50">
                  <c:v>0.63150255094071328</c:v>
                </c:pt>
                <c:pt idx="51">
                  <c:v>0.63353491355532954</c:v>
                </c:pt>
                <c:pt idx="52">
                  <c:v>0.6358359471037629</c:v>
                </c:pt>
                <c:pt idx="53">
                  <c:v>0.6384136007320006</c:v>
                </c:pt>
                <c:pt idx="54">
                  <c:v>0.64127625413448286</c:v>
                </c:pt>
                <c:pt idx="55">
                  <c:v>0.64443273993593553</c:v>
                </c:pt>
                <c:pt idx="56">
                  <c:v>0.64789236751403678</c:v>
                </c:pt>
                <c:pt idx="57">
                  <c:v>0.65166494837335598</c:v>
                </c:pt>
                <c:pt idx="58">
                  <c:v>0.65576082318891038</c:v>
                </c:pt>
                <c:pt idx="59">
                  <c:v>0.66006381289904903</c:v>
                </c:pt>
                <c:pt idx="60">
                  <c:v>0.66431301523781094</c:v>
                </c:pt>
                <c:pt idx="61">
                  <c:v>0.66850910254733831</c:v>
                </c:pt>
                <c:pt idx="62">
                  <c:v>0.67265273876549658</c:v>
                </c:pt>
                <c:pt idx="63">
                  <c:v>0.67674457953092793</c:v>
                </c:pt>
                <c:pt idx="64">
                  <c:v>0.68078527228679131</c:v>
                </c:pt>
                <c:pt idx="65">
                  <c:v>0.68477545638320647</c:v>
                </c:pt>
                <c:pt idx="66">
                  <c:v>0.68871576317841643</c:v>
                </c:pt>
                <c:pt idx="67">
                  <c:v>0.69260681613868624</c:v>
                </c:pt>
                <c:pt idx="68">
                  <c:v>0.69644923093695266</c:v>
                </c:pt>
                <c:pt idx="69">
                  <c:v>0.70024361555024073</c:v>
                </c:pt>
                <c:pt idx="70">
                  <c:v>0.70399057035586277</c:v>
                </c:pt>
                <c:pt idx="71">
                  <c:v>0.70769068822641445</c:v>
                </c:pt>
                <c:pt idx="72">
                  <c:v>0.71134455462358426</c:v>
                </c:pt>
                <c:pt idx="73">
                  <c:v>0.71495274769078943</c:v>
                </c:pt>
                <c:pt idx="74">
                  <c:v>0.7185158383446546</c:v>
                </c:pt>
                <c:pt idx="75">
                  <c:v>0.72203439036534645</c:v>
                </c:pt>
                <c:pt idx="76">
                  <c:v>0.72550896048577962</c:v>
                </c:pt>
                <c:pt idx="77">
                  <c:v>0.72894009847970742</c:v>
                </c:pt>
                <c:pt idx="78">
                  <c:v>0.7323283472487111</c:v>
                </c:pt>
                <c:pt idx="79">
                  <c:v>0.73567424290810224</c:v>
                </c:pt>
                <c:pt idx="80">
                  <c:v>0.73897831487175092</c:v>
                </c:pt>
                <c:pt idx="81">
                  <c:v>0.74224108593585403</c:v>
                </c:pt>
                <c:pt idx="82">
                  <c:v>0.74546307236165588</c:v>
                </c:pt>
                <c:pt idx="83">
                  <c:v>0.74864478395713518</c:v>
                </c:pt>
                <c:pt idx="84">
                  <c:v>0.751786724157671</c:v>
                </c:pt>
                <c:pt idx="85">
                  <c:v>0.75488939010570011</c:v>
                </c:pt>
                <c:pt idx="86">
                  <c:v>0.75795327272937885</c:v>
                </c:pt>
                <c:pt idx="87">
                  <c:v>0.76097885682026156</c:v>
                </c:pt>
                <c:pt idx="88">
                  <c:v>0.76396662111000824</c:v>
                </c:pt>
                <c:pt idx="89">
                  <c:v>0.76691703834613312</c:v>
                </c:pt>
                <c:pt idx="90">
                  <c:v>0.76983057536680644</c:v>
                </c:pt>
                <c:pt idx="91">
                  <c:v>0.77270769317472132</c:v>
                </c:pt>
                <c:pt idx="92">
                  <c:v>0.77554884701003735</c:v>
                </c:pt>
                <c:pt idx="93">
                  <c:v>0.7783544864224119</c:v>
                </c:pt>
                <c:pt idx="94">
                  <c:v>0.78112505534213172</c:v>
                </c:pt>
                <c:pt idx="95">
                  <c:v>0.7838609921503551</c:v>
                </c:pt>
                <c:pt idx="96">
                  <c:v>0.78656272974847563</c:v>
                </c:pt>
                <c:pt idx="97">
                  <c:v>0.78923069562661974</c:v>
                </c:pt>
                <c:pt idx="98">
                  <c:v>0.79186531193128695</c:v>
                </c:pt>
                <c:pt idx="99">
                  <c:v>0.79446699553214584</c:v>
                </c:pt>
                <c:pt idx="100">
                  <c:v>0.797036158087994</c:v>
                </c:pt>
                <c:pt idx="101">
                  <c:v>0.79957320611189409</c:v>
                </c:pt>
                <c:pt idx="102">
                  <c:v>0.80207854103549536</c:v>
                </c:pt>
                <c:pt idx="103">
                  <c:v>0.80455255927255165</c:v>
                </c:pt>
                <c:pt idx="104">
                  <c:v>0.80699565228164472</c:v>
                </c:pt>
              </c:numCache>
            </c:numRef>
          </c:yVal>
          <c:smooth val="0"/>
          <c:extLst>
            <c:ext xmlns:c16="http://schemas.microsoft.com/office/drawing/2014/chart" uri="{C3380CC4-5D6E-409C-BE32-E72D297353CC}">
              <c16:uniqueId val="{00000002-0245-4E33-95B6-175C1050FA82}"/>
            </c:ext>
          </c:extLst>
        </c:ser>
        <c:ser>
          <c:idx val="3"/>
          <c:order val="3"/>
          <c:tx>
            <c:strRef>
              <c:f>Model!$A$6</c:f>
              <c:strCache>
                <c:ptCount val="1"/>
                <c:pt idx="0">
                  <c:v>SDG4</c:v>
                </c:pt>
              </c:strCache>
            </c:strRef>
          </c:tx>
          <c:spPr>
            <a:ln w="12700">
              <a:solidFill>
                <a:srgbClr val="C5192D"/>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Model!$B$6:$DB$6</c:f>
              <c:numCache>
                <c:formatCode>General</c:formatCode>
                <c:ptCount val="105"/>
                <c:pt idx="0">
                  <c:v>0.65300369262695313</c:v>
                </c:pt>
                <c:pt idx="1">
                  <c:v>0.64659995584762542</c:v>
                </c:pt>
                <c:pt idx="2">
                  <c:v>0.64614405520789708</c:v>
                </c:pt>
                <c:pt idx="3">
                  <c:v>0.64588308178044695</c:v>
                </c:pt>
                <c:pt idx="4">
                  <c:v>0.6458186072197476</c:v>
                </c:pt>
                <c:pt idx="5">
                  <c:v>0.645952151991671</c:v>
                </c:pt>
                <c:pt idx="6">
                  <c:v>0.64628519297153431</c:v>
                </c:pt>
                <c:pt idx="7">
                  <c:v>0.64681917061184768</c:v>
                </c:pt>
                <c:pt idx="8">
                  <c:v>0.64755549575108007</c:v>
                </c:pt>
                <c:pt idx="9">
                  <c:v>0.65196105205419153</c:v>
                </c:pt>
                <c:pt idx="10">
                  <c:v>0.65631153890351412</c:v>
                </c:pt>
                <c:pt idx="11">
                  <c:v>0.66060764466722022</c:v>
                </c:pt>
                <c:pt idx="12">
                  <c:v>0.66485004910888001</c:v>
                </c:pt>
                <c:pt idx="13">
                  <c:v>0.66903942349501899</c:v>
                </c:pt>
                <c:pt idx="14">
                  <c:v>0.67317643070133126</c:v>
                </c:pt>
                <c:pt idx="15">
                  <c:v>0.67726172531756457</c:v>
                </c:pt>
                <c:pt idx="16">
                  <c:v>0.68129595375109497</c:v>
                </c:pt>
                <c:pt idx="17">
                  <c:v>0.68527975432920629</c:v>
                </c:pt>
                <c:pt idx="18">
                  <c:v>0.68921375740009116</c:v>
                </c:pt>
                <c:pt idx="19">
                  <c:v>0.69309858543259006</c:v>
                </c:pt>
                <c:pt idx="20">
                  <c:v>0.69693485311468273</c:v>
                </c:pt>
                <c:pt idx="21">
                  <c:v>0.70072316745074914</c:v>
                </c:pt>
                <c:pt idx="22">
                  <c:v>0.70446412785761481</c:v>
                </c:pt>
                <c:pt idx="23">
                  <c:v>0.70815832625939468</c:v>
                </c:pt>
                <c:pt idx="24">
                  <c:v>0.71180634718115221</c:v>
                </c:pt>
                <c:pt idx="25">
                  <c:v>0.71540876784138785</c:v>
                </c:pt>
                <c:pt idx="26">
                  <c:v>0.71896615824337051</c:v>
                </c:pt>
                <c:pt idx="27">
                  <c:v>0.72247908126532834</c:v>
                </c:pt>
                <c:pt idx="28">
                  <c:v>0.72594809274951178</c:v>
                </c:pt>
                <c:pt idx="29">
                  <c:v>0.7293737415901429</c:v>
                </c:pt>
                <c:pt idx="30">
                  <c:v>0.73275656982026616</c:v>
                </c:pt>
                <c:pt idx="31">
                  <c:v>0.73609711269751288</c:v>
                </c:pt>
                <c:pt idx="32">
                  <c:v>0.73939589878879397</c:v>
                </c:pt>
                <c:pt idx="33">
                  <c:v>0.73744803397568859</c:v>
                </c:pt>
                <c:pt idx="34">
                  <c:v>0.73562887021701162</c:v>
                </c:pt>
                <c:pt idx="35">
                  <c:v>0.73393654944713771</c:v>
                </c:pt>
                <c:pt idx="36">
                  <c:v>0.73236922459698428</c:v>
                </c:pt>
                <c:pt idx="37">
                  <c:v>0.73092506121110035</c:v>
                </c:pt>
                <c:pt idx="38">
                  <c:v>0.72960223907838773</c:v>
                </c:pt>
                <c:pt idx="39">
                  <c:v>0.72839895387188103</c:v>
                </c:pt>
                <c:pt idx="40">
                  <c:v>0.7273134187931406</c:v>
                </c:pt>
                <c:pt idx="41">
                  <c:v>0.73072200105822638</c:v>
                </c:pt>
                <c:pt idx="42">
                  <c:v>0.73408797604499854</c:v>
                </c:pt>
                <c:pt idx="43">
                  <c:v>0.73741187634443606</c:v>
                </c:pt>
                <c:pt idx="44">
                  <c:v>0.74069422789013062</c:v>
                </c:pt>
                <c:pt idx="45">
                  <c:v>0.74393555004150402</c:v>
                </c:pt>
                <c:pt idx="46">
                  <c:v>0.74713635566598524</c:v>
                </c:pt>
                <c:pt idx="47">
                  <c:v>0.75029715122016039</c:v>
                </c:pt>
                <c:pt idx="48">
                  <c:v>0.75341843682990839</c:v>
                </c:pt>
                <c:pt idx="49">
                  <c:v>0.7521952001512987</c:v>
                </c:pt>
                <c:pt idx="50">
                  <c:v>0.75119043457739221</c:v>
                </c:pt>
                <c:pt idx="51">
                  <c:v>0.75041043145446606</c:v>
                </c:pt>
                <c:pt idx="52">
                  <c:v>0.74986207826619</c:v>
                </c:pt>
                <c:pt idx="53">
                  <c:v>0.74955290528382479</c:v>
                </c:pt>
                <c:pt idx="54">
                  <c:v>0.74949113709411963</c:v>
                </c:pt>
                <c:pt idx="55">
                  <c:v>0.74968574960871326</c:v>
                </c:pt>
                <c:pt idx="56">
                  <c:v>0.75014653324135883</c:v>
                </c:pt>
                <c:pt idx="57">
                  <c:v>0.75088416303530392</c:v>
                </c:pt>
                <c:pt idx="58">
                  <c:v>0.75191027663499455</c:v>
                </c:pt>
                <c:pt idx="59">
                  <c:v>0.75323756112674478</c:v>
                </c:pt>
                <c:pt idx="60">
                  <c:v>0.7548777214577489</c:v>
                </c:pt>
                <c:pt idx="61">
                  <c:v>0.75683886231846953</c:v>
                </c:pt>
                <c:pt idx="62">
                  <c:v>0.75912965946459288</c:v>
                </c:pt>
                <c:pt idx="63">
                  <c:v>0.76175940181280399</c:v>
                </c:pt>
                <c:pt idx="64">
                  <c:v>0.764737409290144</c:v>
                </c:pt>
                <c:pt idx="65">
                  <c:v>0.76767819167401719</c:v>
                </c:pt>
                <c:pt idx="66">
                  <c:v>0.77058221427809193</c:v>
                </c:pt>
                <c:pt idx="67">
                  <c:v>0.77344993659961581</c:v>
                </c:pt>
                <c:pt idx="68">
                  <c:v>0.77628181239212057</c:v>
                </c:pt>
                <c:pt idx="69">
                  <c:v>0.77907828973721904</c:v>
                </c:pt>
                <c:pt idx="70">
                  <c:v>0.78183981111550382</c:v>
                </c:pt>
                <c:pt idx="71">
                  <c:v>0.78456681347655999</c:v>
                </c:pt>
                <c:pt idx="72">
                  <c:v>0.78725972830810298</c:v>
                </c:pt>
                <c:pt idx="73">
                  <c:v>0.78991898170425168</c:v>
                </c:pt>
                <c:pt idx="74">
                  <c:v>0.79254499443294857</c:v>
                </c:pt>
                <c:pt idx="75">
                  <c:v>0.79513818200253672</c:v>
                </c:pt>
                <c:pt idx="76">
                  <c:v>0.79769895472750496</c:v>
                </c:pt>
                <c:pt idx="77">
                  <c:v>0.80022771779341118</c:v>
                </c:pt>
                <c:pt idx="78">
                  <c:v>0.80272487132099357</c:v>
                </c:pt>
                <c:pt idx="79">
                  <c:v>0.80519081042948115</c:v>
                </c:pt>
                <c:pt idx="80">
                  <c:v>0.80762592529911259</c:v>
                </c:pt>
                <c:pt idx="81">
                  <c:v>0.81003060123287374</c:v>
                </c:pt>
                <c:pt idx="82">
                  <c:v>0.81240521871746285</c:v>
                </c:pt>
                <c:pt idx="83">
                  <c:v>0.81475015348349455</c:v>
                </c:pt>
                <c:pt idx="84">
                  <c:v>0.81706577656495083</c:v>
                </c:pt>
                <c:pt idx="85">
                  <c:v>0.81935245435788895</c:v>
                </c:pt>
                <c:pt idx="86">
                  <c:v>0.82161054867841532</c:v>
                </c:pt>
                <c:pt idx="87">
                  <c:v>0.82384041681993514</c:v>
                </c:pt>
                <c:pt idx="88">
                  <c:v>0.82604241160968594</c:v>
                </c:pt>
                <c:pt idx="89">
                  <c:v>0.82821688146456485</c:v>
                </c:pt>
                <c:pt idx="90">
                  <c:v>0.83036417044625777</c:v>
                </c:pt>
                <c:pt idx="91">
                  <c:v>0.83248461831567955</c:v>
                </c:pt>
                <c:pt idx="92">
                  <c:v>0.83457856058673352</c:v>
                </c:pt>
                <c:pt idx="93">
                  <c:v>0.83664632857939936</c:v>
                </c:pt>
                <c:pt idx="94">
                  <c:v>0.83868824947215681</c:v>
                </c:pt>
                <c:pt idx="95">
                  <c:v>0.84070464635375486</c:v>
                </c:pt>
                <c:pt idx="96">
                  <c:v>0.84269583827433292</c:v>
                </c:pt>
                <c:pt idx="97">
                  <c:v>0.84466214029590381</c:v>
                </c:pt>
                <c:pt idx="98">
                  <c:v>0.84660386354220496</c:v>
                </c:pt>
                <c:pt idx="99">
                  <c:v>0.8485213152479274</c:v>
                </c:pt>
                <c:pt idx="100">
                  <c:v>0.85041479880732829</c:v>
                </c:pt>
                <c:pt idx="101">
                  <c:v>0.85228461382223664</c:v>
                </c:pt>
                <c:pt idx="102">
                  <c:v>0.85413105614945872</c:v>
                </c:pt>
                <c:pt idx="103">
                  <c:v>0.85595441794759053</c:v>
                </c:pt>
                <c:pt idx="104">
                  <c:v>0.85775498772324565</c:v>
                </c:pt>
              </c:numCache>
            </c:numRef>
          </c:yVal>
          <c:smooth val="0"/>
          <c:extLst>
            <c:ext xmlns:c16="http://schemas.microsoft.com/office/drawing/2014/chart" uri="{C3380CC4-5D6E-409C-BE32-E72D297353CC}">
              <c16:uniqueId val="{00000003-0245-4E33-95B6-175C1050FA82}"/>
            </c:ext>
          </c:extLst>
        </c:ser>
        <c:ser>
          <c:idx val="4"/>
          <c:order val="4"/>
          <c:tx>
            <c:strRef>
              <c:f>Model!$A$7</c:f>
              <c:strCache>
                <c:ptCount val="1"/>
                <c:pt idx="0">
                  <c:v>SDG5</c:v>
                </c:pt>
              </c:strCache>
            </c:strRef>
          </c:tx>
          <c:spPr>
            <a:ln w="12700">
              <a:solidFill>
                <a:srgbClr val="E13A21"/>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Model!$B$7:$DB$7</c:f>
              <c:numCache>
                <c:formatCode>General</c:formatCode>
                <c:ptCount val="105"/>
                <c:pt idx="0">
                  <c:v>0.33300739288330078</c:v>
                </c:pt>
                <c:pt idx="1">
                  <c:v>0.32967811921896312</c:v>
                </c:pt>
                <c:pt idx="2">
                  <c:v>0.33439189338913494</c:v>
                </c:pt>
                <c:pt idx="3">
                  <c:v>0.33916804357347063</c:v>
                </c:pt>
                <c:pt idx="4">
                  <c:v>0.34400532417543317</c:v>
                </c:pt>
                <c:pt idx="5">
                  <c:v>0.34890268533155905</c:v>
                </c:pt>
                <c:pt idx="6">
                  <c:v>0.35385926537261075</c:v>
                </c:pt>
                <c:pt idx="7">
                  <c:v>0.35887438356127083</c:v>
                </c:pt>
                <c:pt idx="8">
                  <c:v>0.36394753309284389</c:v>
                </c:pt>
                <c:pt idx="9">
                  <c:v>0.36072634092302697</c:v>
                </c:pt>
                <c:pt idx="10">
                  <c:v>0.35755852360273005</c:v>
                </c:pt>
                <c:pt idx="11">
                  <c:v>0.35444276797525476</c:v>
                </c:pt>
                <c:pt idx="12">
                  <c:v>0.35137779169863426</c:v>
                </c:pt>
                <c:pt idx="13">
                  <c:v>0.34836234138149835</c:v>
                </c:pt>
                <c:pt idx="14">
                  <c:v>0.34539519090839005</c:v>
                </c:pt>
                <c:pt idx="15">
                  <c:v>0.34247513994283457</c:v>
                </c:pt>
                <c:pt idx="16">
                  <c:v>0.33960101259644676</c:v>
                </c:pt>
                <c:pt idx="17">
                  <c:v>0.33677165625245215</c:v>
                </c:pt>
                <c:pt idx="18">
                  <c:v>0.33397440946410584</c:v>
                </c:pt>
                <c:pt idx="19">
                  <c:v>0.33120824926483622</c:v>
                </c:pt>
                <c:pt idx="20">
                  <c:v>0.32847219186722976</c:v>
                </c:pt>
                <c:pt idx="21">
                  <c:v>0.32576529122477577</c:v>
                </c:pt>
                <c:pt idx="22">
                  <c:v>0.32308663767568313</c:v>
                </c:pt>
                <c:pt idx="23">
                  <c:v>0.32043535666223882</c:v>
                </c:pt>
                <c:pt idx="24">
                  <c:v>0.31781060751957207</c:v>
                </c:pt>
                <c:pt idx="25">
                  <c:v>0.31658518973057981</c:v>
                </c:pt>
                <c:pt idx="26">
                  <c:v>0.31537927895160994</c:v>
                </c:pt>
                <c:pt idx="27">
                  <c:v>0.31419198890279204</c:v>
                </c:pt>
                <c:pt idx="28">
                  <c:v>0.313022466054586</c:v>
                </c:pt>
                <c:pt idx="29">
                  <c:v>0.3118698874439445</c:v>
                </c:pt>
                <c:pt idx="30">
                  <c:v>0.31073345870625352</c:v>
                </c:pt>
                <c:pt idx="31">
                  <c:v>0.30961241230443382</c:v>
                </c:pt>
                <c:pt idx="32">
                  <c:v>0.30850600593781241</c:v>
                </c:pt>
                <c:pt idx="33">
                  <c:v>0.30925157704518991</c:v>
                </c:pt>
                <c:pt idx="34">
                  <c:v>0.31000292261480794</c:v>
                </c:pt>
                <c:pt idx="35">
                  <c:v>0.31076014564862148</c:v>
                </c:pt>
                <c:pt idx="36">
                  <c:v>0.31152337348132364</c:v>
                </c:pt>
                <c:pt idx="37">
                  <c:v>0.31229275625650654</c:v>
                </c:pt>
                <c:pt idx="38">
                  <c:v>0.31306846547422118</c:v>
                </c:pt>
                <c:pt idx="39">
                  <c:v>0.31385069260936321</c:v>
                </c:pt>
                <c:pt idx="40">
                  <c:v>0.31463964780017478</c:v>
                </c:pt>
                <c:pt idx="41">
                  <c:v>0.32016446500938517</c:v>
                </c:pt>
                <c:pt idx="42">
                  <c:v>0.3258069622451879</c:v>
                </c:pt>
                <c:pt idx="43">
                  <c:v>0.33156591047557843</c:v>
                </c:pt>
                <c:pt idx="44">
                  <c:v>0.33744010873828945</c:v>
                </c:pt>
                <c:pt idx="45">
                  <c:v>0.34342838405789289</c:v>
                </c:pt>
                <c:pt idx="46">
                  <c:v>0.3495295914192223</c:v>
                </c:pt>
                <c:pt idx="47">
                  <c:v>0.35574261378531113</c:v>
                </c:pt>
                <c:pt idx="48">
                  <c:v>0.36206636214995702</c:v>
                </c:pt>
                <c:pt idx="49">
                  <c:v>0.36579537245956567</c:v>
                </c:pt>
                <c:pt idx="50">
                  <c:v>0.36957767949247639</c:v>
                </c:pt>
                <c:pt idx="51">
                  <c:v>0.37342204574450866</c:v>
                </c:pt>
                <c:pt idx="52">
                  <c:v>0.37733770325802807</c:v>
                </c:pt>
                <c:pt idx="53">
                  <c:v>0.38133440136188479</c:v>
                </c:pt>
                <c:pt idx="54">
                  <c:v>0.38542245991076318</c:v>
                </c:pt>
                <c:pt idx="55">
                  <c:v>0.3896128287046014</c:v>
                </c:pt>
                <c:pt idx="56">
                  <c:v>0.39391715387372556</c:v>
                </c:pt>
                <c:pt idx="57">
                  <c:v>0.39834785213755247</c:v>
                </c:pt>
                <c:pt idx="58">
                  <c:v>0.40291819398741868</c:v>
                </c:pt>
                <c:pt idx="59">
                  <c:v>0.4076423970112254</c:v>
                </c:pt>
                <c:pt idx="60">
                  <c:v>0.41253380805380313</c:v>
                </c:pt>
                <c:pt idx="61">
                  <c:v>0.41760262040984941</c:v>
                </c:pt>
                <c:pt idx="62">
                  <c:v>0.42285970015513086</c:v>
                </c:pt>
                <c:pt idx="63">
                  <c:v>0.42831663680100102</c:v>
                </c:pt>
                <c:pt idx="64">
                  <c:v>0.43398579071717119</c:v>
                </c:pt>
                <c:pt idx="65">
                  <c:v>0.43987639930670669</c:v>
                </c:pt>
                <c:pt idx="66">
                  <c:v>0.44599226738663639</c:v>
                </c:pt>
                <c:pt idx="67">
                  <c:v>0.45233729816875856</c:v>
                </c:pt>
                <c:pt idx="68">
                  <c:v>0.4589154931456314</c:v>
                </c:pt>
                <c:pt idx="69">
                  <c:v>0.465679049481311</c:v>
                </c:pt>
                <c:pt idx="70">
                  <c:v>0.47235806136279462</c:v>
                </c:pt>
                <c:pt idx="71">
                  <c:v>0.47895358559575968</c:v>
                </c:pt>
                <c:pt idx="72">
                  <c:v>0.48546666577581266</c:v>
                </c:pt>
                <c:pt idx="73">
                  <c:v>0.49189833245361497</c:v>
                </c:pt>
                <c:pt idx="74">
                  <c:v>0.49824960329794477</c:v>
                </c:pt>
                <c:pt idx="75">
                  <c:v>0.50452148325672042</c:v>
                </c:pt>
                <c:pt idx="76">
                  <c:v>0.51071496471601141</c:v>
                </c:pt>
                <c:pt idx="77">
                  <c:v>0.51683102765706124</c:v>
                </c:pt>
                <c:pt idx="78">
                  <c:v>0.52287063981134796</c:v>
                </c:pt>
                <c:pt idx="79">
                  <c:v>0.52883475681370606</c:v>
                </c:pt>
                <c:pt idx="80">
                  <c:v>0.53472432235353473</c:v>
                </c:pt>
                <c:pt idx="81">
                  <c:v>0.5405402683241155</c:v>
                </c:pt>
                <c:pt idx="82">
                  <c:v>0.54628351497006411</c:v>
                </c:pt>
                <c:pt idx="83">
                  <c:v>0.55195497103293834</c:v>
                </c:pt>
                <c:pt idx="84">
                  <c:v>0.55755553389502666</c:v>
                </c:pt>
                <c:pt idx="85">
                  <c:v>0.56308608972133878</c:v>
                </c:pt>
                <c:pt idx="86">
                  <c:v>0.56854751359982203</c:v>
                </c:pt>
                <c:pt idx="87">
                  <c:v>0.57394066967982427</c:v>
                </c:pt>
                <c:pt idx="88">
                  <c:v>0.5792664113088265</c:v>
                </c:pt>
                <c:pt idx="89">
                  <c:v>0.58452558116746622</c:v>
                </c:pt>
                <c:pt idx="90">
                  <c:v>0.58971901140287286</c:v>
                </c:pt>
                <c:pt idx="91">
                  <c:v>0.594847523760337</c:v>
                </c:pt>
                <c:pt idx="92">
                  <c:v>0.59991192971333285</c:v>
                </c:pt>
                <c:pt idx="93">
                  <c:v>0.60491303059191615</c:v>
                </c:pt>
                <c:pt idx="94">
                  <c:v>0.60985161770951724</c:v>
                </c:pt>
                <c:pt idx="95">
                  <c:v>0.61472847248814833</c:v>
                </c:pt>
                <c:pt idx="96">
                  <c:v>0.61954436658204648</c:v>
                </c:pt>
                <c:pt idx="97">
                  <c:v>0.62430006199977095</c:v>
                </c:pt>
                <c:pt idx="98">
                  <c:v>0.62899631122477384</c:v>
                </c:pt>
                <c:pt idx="99">
                  <c:v>0.6336338573344642</c:v>
                </c:pt>
                <c:pt idx="100">
                  <c:v>0.63821343411778342</c:v>
                </c:pt>
                <c:pt idx="101">
                  <c:v>0.64273576619131112</c:v>
                </c:pt>
                <c:pt idx="102">
                  <c:v>0.64720156911391968</c:v>
                </c:pt>
                <c:pt idx="103">
                  <c:v>0.65161154949999567</c:v>
                </c:pt>
                <c:pt idx="104">
                  <c:v>0.65596640513124571</c:v>
                </c:pt>
              </c:numCache>
            </c:numRef>
          </c:yVal>
          <c:smooth val="0"/>
          <c:extLst>
            <c:ext xmlns:c16="http://schemas.microsoft.com/office/drawing/2014/chart" uri="{C3380CC4-5D6E-409C-BE32-E72D297353CC}">
              <c16:uniqueId val="{00000004-0245-4E33-95B6-175C1050FA82}"/>
            </c:ext>
          </c:extLst>
        </c:ser>
        <c:ser>
          <c:idx val="5"/>
          <c:order val="5"/>
          <c:tx>
            <c:strRef>
              <c:f>Model!$A$8</c:f>
              <c:strCache>
                <c:ptCount val="1"/>
                <c:pt idx="0">
                  <c:v>SDG6</c:v>
                </c:pt>
              </c:strCache>
            </c:strRef>
          </c:tx>
          <c:spPr>
            <a:ln w="12700">
              <a:solidFill>
                <a:srgbClr val="26BDE2"/>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Model!$B$8:$DB$8</c:f>
              <c:numCache>
                <c:formatCode>General</c:formatCode>
                <c:ptCount val="105"/>
                <c:pt idx="0">
                  <c:v>0.7371634674072266</c:v>
                </c:pt>
                <c:pt idx="1">
                  <c:v>0.73256815138974007</c:v>
                </c:pt>
                <c:pt idx="2">
                  <c:v>0.72803027682247212</c:v>
                </c:pt>
                <c:pt idx="3">
                  <c:v>0.72354912568729512</c:v>
                </c:pt>
                <c:pt idx="4">
                  <c:v>0.7191239889413078</c:v>
                </c:pt>
                <c:pt idx="5">
                  <c:v>0.71475416640464529</c:v>
                </c:pt>
                <c:pt idx="6">
                  <c:v>0.71043896664969108</c:v>
                </c:pt>
                <c:pt idx="7">
                  <c:v>0.70617770689167381</c:v>
                </c:pt>
                <c:pt idx="8">
                  <c:v>0.7019697128806317</c:v>
                </c:pt>
                <c:pt idx="9">
                  <c:v>0.69444509146962385</c:v>
                </c:pt>
                <c:pt idx="10">
                  <c:v>0.68701452782625361</c:v>
                </c:pt>
                <c:pt idx="11">
                  <c:v>0.67967684622842539</c:v>
                </c:pt>
                <c:pt idx="12">
                  <c:v>0.67243088565057008</c:v>
                </c:pt>
                <c:pt idx="13">
                  <c:v>0.66527549957993792</c:v>
                </c:pt>
                <c:pt idx="14">
                  <c:v>0.6582095558351887</c:v>
                </c:pt>
                <c:pt idx="15">
                  <c:v>0.65123193638724886</c:v>
                </c:pt>
                <c:pt idx="16">
                  <c:v>0.64434153718240827</c:v>
                </c:pt>
                <c:pt idx="17">
                  <c:v>0.63753726796762822</c:v>
                </c:pt>
                <c:pt idx="18">
                  <c:v>0.63081805211803288</c:v>
                </c:pt>
                <c:pt idx="19">
                  <c:v>0.62418282646655743</c:v>
                </c:pt>
                <c:pt idx="20">
                  <c:v>0.61763054113572546</c:v>
                </c:pt>
                <c:pt idx="21">
                  <c:v>0.6111601593715289</c:v>
                </c:pt>
                <c:pt idx="22">
                  <c:v>0.60477065737938474</c:v>
                </c:pt>
                <c:pt idx="23">
                  <c:v>0.59846102416214242</c:v>
                </c:pt>
                <c:pt idx="24">
                  <c:v>0.59223026136011558</c:v>
                </c:pt>
                <c:pt idx="25">
                  <c:v>0.58732738309311416</c:v>
                </c:pt>
                <c:pt idx="26">
                  <c:v>0.58248579080445029</c:v>
                </c:pt>
                <c:pt idx="27">
                  <c:v>0.57770471841939464</c:v>
                </c:pt>
                <c:pt idx="28">
                  <c:v>0.57298340943915216</c:v>
                </c:pt>
                <c:pt idx="29">
                  <c:v>0.56832111682116271</c:v>
                </c:pt>
                <c:pt idx="30">
                  <c:v>0.56371710286089816</c:v>
                </c:pt>
                <c:pt idx="31">
                  <c:v>0.55917063907513698</c:v>
                </c:pt>
                <c:pt idx="32">
                  <c:v>0.55468100608669779</c:v>
                </c:pt>
                <c:pt idx="33">
                  <c:v>0.55696203685320445</c:v>
                </c:pt>
                <c:pt idx="34">
                  <c:v>0.55921455473512971</c:v>
                </c:pt>
                <c:pt idx="35">
                  <c:v>0.56143891614353092</c:v>
                </c:pt>
                <c:pt idx="36">
                  <c:v>0.56363547303432715</c:v>
                </c:pt>
                <c:pt idx="37">
                  <c:v>0.56580457296398834</c:v>
                </c:pt>
                <c:pt idx="38">
                  <c:v>0.56794655914452885</c:v>
                </c:pt>
                <c:pt idx="39">
                  <c:v>0.57006177049781259</c:v>
                </c:pt>
                <c:pt idx="40">
                  <c:v>0.57215054170918023</c:v>
                </c:pt>
                <c:pt idx="41">
                  <c:v>0.57348770431462759</c:v>
                </c:pt>
                <c:pt idx="42">
                  <c:v>0.57480815238750693</c:v>
                </c:pt>
                <c:pt idx="43">
                  <c:v>0.57611209485947523</c:v>
                </c:pt>
                <c:pt idx="44">
                  <c:v>0.5773997380505439</c:v>
                </c:pt>
                <c:pt idx="45">
                  <c:v>0.57867128570172421</c:v>
                </c:pt>
                <c:pt idx="46">
                  <c:v>0.57992693900726477</c:v>
                </c:pt>
                <c:pt idx="47">
                  <c:v>0.58116689664648613</c:v>
                </c:pt>
                <c:pt idx="48">
                  <c:v>0.5823913548152172</c:v>
                </c:pt>
                <c:pt idx="49">
                  <c:v>0.58761146255700714</c:v>
                </c:pt>
                <c:pt idx="50">
                  <c:v>0.5927663189520247</c:v>
                </c:pt>
                <c:pt idx="51">
                  <c:v>0.59785673964210451</c:v>
                </c:pt>
                <c:pt idx="52">
                  <c:v>0.60288353007355833</c:v>
                </c:pt>
                <c:pt idx="53">
                  <c:v>0.60784748562461899</c:v>
                </c:pt>
                <c:pt idx="54">
                  <c:v>0.61274939173129139</c:v>
                </c:pt>
                <c:pt idx="55">
                  <c:v>0.61759002401163032</c:v>
                </c:pt>
                <c:pt idx="56">
                  <c:v>0.62237014838846505</c:v>
                </c:pt>
                <c:pt idx="57">
                  <c:v>0.62709052121058939</c:v>
                </c:pt>
                <c:pt idx="58">
                  <c:v>0.63175188937243709</c:v>
                </c:pt>
                <c:pt idx="59">
                  <c:v>0.63635499043226174</c:v>
                </c:pt>
                <c:pt idx="60">
                  <c:v>0.64090055272883861</c:v>
                </c:pt>
                <c:pt idx="61">
                  <c:v>0.6453892954967082</c:v>
                </c:pt>
                <c:pt idx="62">
                  <c:v>0.64982192897997948</c:v>
                </c:pt>
                <c:pt idx="63">
                  <c:v>0.65419915454470989</c:v>
                </c:pt>
                <c:pt idx="64">
                  <c:v>0.65852166478988117</c:v>
                </c:pt>
                <c:pt idx="65">
                  <c:v>0.66279014365698774</c:v>
                </c:pt>
                <c:pt idx="66">
                  <c:v>0.66700526653825554</c:v>
                </c:pt>
                <c:pt idx="67">
                  <c:v>0.67116770038350748</c:v>
                </c:pt>
                <c:pt idx="68">
                  <c:v>0.67527810380569375</c:v>
                </c:pt>
                <c:pt idx="69">
                  <c:v>0.67933712718510264</c:v>
                </c:pt>
                <c:pt idx="70">
                  <c:v>0.68334541277226901</c:v>
                </c:pt>
                <c:pt idx="71">
                  <c:v>0.6873035947895958</c:v>
                </c:pt>
                <c:pt idx="72">
                  <c:v>0.69121229953170593</c:v>
                </c:pt>
                <c:pt idx="73">
                  <c:v>0.69507214546453977</c:v>
                </c:pt>
                <c:pt idx="74">
                  <c:v>0.69888374332321312</c:v>
                </c:pt>
                <c:pt idx="75">
                  <c:v>0.70264769620865308</c:v>
                </c:pt>
                <c:pt idx="76">
                  <c:v>0.70636459968302501</c:v>
                </c:pt>
                <c:pt idx="77">
                  <c:v>0.71003504186396726</c:v>
                </c:pt>
                <c:pt idx="78">
                  <c:v>0.71365960351764779</c:v>
                </c:pt>
                <c:pt idx="79">
                  <c:v>0.71723885815065735</c:v>
                </c:pt>
                <c:pt idx="80">
                  <c:v>0.72077337210075421</c:v>
                </c:pt>
                <c:pt idx="81">
                  <c:v>0.72426370462647494</c:v>
                </c:pt>
                <c:pt idx="82">
                  <c:v>0.72771040799562414</c:v>
                </c:pt>
                <c:pt idx="83">
                  <c:v>0.73111402757265898</c:v>
                </c:pt>
                <c:pt idx="84">
                  <c:v>0.73447510190498089</c:v>
                </c:pt>
                <c:pt idx="85">
                  <c:v>0.73779416280814869</c:v>
                </c:pt>
                <c:pt idx="86">
                  <c:v>0.74107173545002691</c:v>
                </c:pt>
                <c:pt idx="87">
                  <c:v>0.74430833843388167</c:v>
                </c:pt>
                <c:pt idx="88">
                  <c:v>0.74750448388043822</c:v>
                </c:pt>
                <c:pt idx="89">
                  <c:v>0.75066067750891285</c:v>
                </c:pt>
                <c:pt idx="90">
                  <c:v>0.75377741871703152</c:v>
                </c:pt>
                <c:pt idx="91">
                  <c:v>0.75685520066004874</c:v>
                </c:pt>
                <c:pt idx="92">
                  <c:v>0.75989451032877819</c:v>
                </c:pt>
                <c:pt idx="93">
                  <c:v>0.76289582862664862</c:v>
                </c:pt>
                <c:pt idx="94">
                  <c:v>0.76585963044579564</c:v>
                </c:pt>
                <c:pt idx="95">
                  <c:v>0.76878638474220329</c:v>
                </c:pt>
                <c:pt idx="96">
                  <c:v>0.77167655460990581</c:v>
                </c:pt>
                <c:pt idx="97">
                  <c:v>0.77453059735426211</c:v>
                </c:pt>
                <c:pt idx="98">
                  <c:v>0.7773489645643139</c:v>
                </c:pt>
                <c:pt idx="99">
                  <c:v>0.78013210218424012</c:v>
                </c:pt>
                <c:pt idx="100">
                  <c:v>0.7828804505839172</c:v>
                </c:pt>
                <c:pt idx="101">
                  <c:v>0.78559444462859829</c:v>
                </c:pt>
                <c:pt idx="102">
                  <c:v>0.78827451374772095</c:v>
                </c:pt>
                <c:pt idx="103">
                  <c:v>0.79092108200285449</c:v>
                </c:pt>
                <c:pt idx="104">
                  <c:v>0.79353456815479895</c:v>
                </c:pt>
              </c:numCache>
            </c:numRef>
          </c:yVal>
          <c:smooth val="0"/>
          <c:extLst>
            <c:ext xmlns:c16="http://schemas.microsoft.com/office/drawing/2014/chart" uri="{C3380CC4-5D6E-409C-BE32-E72D297353CC}">
              <c16:uniqueId val="{00000005-0245-4E33-95B6-175C1050FA82}"/>
            </c:ext>
          </c:extLst>
        </c:ser>
        <c:ser>
          <c:idx val="6"/>
          <c:order val="6"/>
          <c:tx>
            <c:strRef>
              <c:f>Model!$A$9</c:f>
              <c:strCache>
                <c:ptCount val="1"/>
                <c:pt idx="0">
                  <c:v>SDG7</c:v>
                </c:pt>
              </c:strCache>
            </c:strRef>
          </c:tx>
          <c:spPr>
            <a:ln w="12700">
              <a:solidFill>
                <a:srgbClr val="FCC30B"/>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Model!$B$9:$DB$9</c:f>
              <c:numCache>
                <c:formatCode>General</c:formatCode>
                <c:ptCount val="105"/>
                <c:pt idx="0">
                  <c:v>0.53973793029785155</c:v>
                </c:pt>
                <c:pt idx="1">
                  <c:v>0.53954953201877265</c:v>
                </c:pt>
                <c:pt idx="2">
                  <c:v>0.53936348871818229</c:v>
                </c:pt>
                <c:pt idx="3">
                  <c:v>0.53917977095884928</c:v>
                </c:pt>
                <c:pt idx="4">
                  <c:v>0.53899834967150795</c:v>
                </c:pt>
                <c:pt idx="5">
                  <c:v>0.53881919615025831</c:v>
                </c:pt>
                <c:pt idx="6">
                  <c:v>0.53864228204802433</c:v>
                </c:pt>
                <c:pt idx="7">
                  <c:v>0.53846757937206824</c:v>
                </c:pt>
                <c:pt idx="8">
                  <c:v>0.53829506047956166</c:v>
                </c:pt>
                <c:pt idx="9">
                  <c:v>0.54406637222356713</c:v>
                </c:pt>
                <c:pt idx="10">
                  <c:v>0.54976554257077259</c:v>
                </c:pt>
                <c:pt idx="11">
                  <c:v>0.55539347328863797</c:v>
                </c:pt>
                <c:pt idx="12">
                  <c:v>0.56095105487253005</c:v>
                </c:pt>
                <c:pt idx="13">
                  <c:v>0.56643916668662342</c:v>
                </c:pt>
                <c:pt idx="14">
                  <c:v>0.57185867710304061</c:v>
                </c:pt>
                <c:pt idx="15">
                  <c:v>0.57721044363925256</c:v>
                </c:pt>
                <c:pt idx="16">
                  <c:v>0.5824953130937619</c:v>
                </c:pt>
                <c:pt idx="17">
                  <c:v>0.58771412168008985</c:v>
                </c:pt>
                <c:pt idx="18">
                  <c:v>0.59286769515908877</c:v>
                </c:pt>
                <c:pt idx="19">
                  <c:v>0.59795684896960011</c:v>
                </c:pt>
                <c:pt idx="20">
                  <c:v>0.60298238835748008</c:v>
                </c:pt>
                <c:pt idx="21">
                  <c:v>0.60794510850301153</c:v>
                </c:pt>
                <c:pt idx="22">
                  <c:v>0.61284579464672384</c:v>
                </c:pt>
                <c:pt idx="23">
                  <c:v>0.61768522221363975</c:v>
                </c:pt>
                <c:pt idx="24">
                  <c:v>0.62246415693596924</c:v>
                </c:pt>
                <c:pt idx="25">
                  <c:v>0.62718335497426958</c:v>
                </c:pt>
                <c:pt idx="26">
                  <c:v>0.63184356303709122</c:v>
                </c:pt>
                <c:pt idx="27">
                  <c:v>0.63644551849912756</c:v>
                </c:pt>
                <c:pt idx="28">
                  <c:v>0.64098994951788846</c:v>
                </c:pt>
                <c:pt idx="29">
                  <c:v>0.64547757514891491</c:v>
                </c:pt>
                <c:pt idx="30">
                  <c:v>0.64990910545955349</c:v>
                </c:pt>
                <c:pt idx="31">
                  <c:v>0.65428524164130908</c:v>
                </c:pt>
                <c:pt idx="32">
                  <c:v>0.65860667612079271</c:v>
                </c:pt>
                <c:pt idx="33">
                  <c:v>0.65712081679800594</c:v>
                </c:pt>
                <c:pt idx="34">
                  <c:v>0.65565353071675403</c:v>
                </c:pt>
                <c:pt idx="35">
                  <c:v>0.65420458571151774</c:v>
                </c:pt>
                <c:pt idx="36">
                  <c:v>0.65277375251884695</c:v>
                </c:pt>
                <c:pt idx="37">
                  <c:v>0.65136080474108449</c:v>
                </c:pt>
                <c:pt idx="38">
                  <c:v>0.6499655188105441</c:v>
                </c:pt>
                <c:pt idx="39">
                  <c:v>0.64858767395413541</c:v>
                </c:pt>
                <c:pt idx="40">
                  <c:v>0.6472270521584319</c:v>
                </c:pt>
                <c:pt idx="41">
                  <c:v>0.64817582177946798</c:v>
                </c:pt>
                <c:pt idx="42">
                  <c:v>0.64911273178024109</c:v>
                </c:pt>
                <c:pt idx="43">
                  <c:v>0.65003793040600455</c:v>
                </c:pt>
                <c:pt idx="44">
                  <c:v>0.65095156404894594</c:v>
                </c:pt>
                <c:pt idx="45">
                  <c:v>0.65185377727135052</c:v>
                </c:pt>
                <c:pt idx="46">
                  <c:v>0.65274471282847502</c:v>
                </c:pt>
                <c:pt idx="47">
                  <c:v>0.65362451169113545</c:v>
                </c:pt>
                <c:pt idx="48">
                  <c:v>0.65449331306801273</c:v>
                </c:pt>
                <c:pt idx="49">
                  <c:v>0.65881212836008185</c:v>
                </c:pt>
                <c:pt idx="50">
                  <c:v>0.66307695846100012</c:v>
                </c:pt>
                <c:pt idx="51">
                  <c:v>0.66728847818565695</c:v>
                </c:pt>
                <c:pt idx="52">
                  <c:v>0.67144735391375554</c:v>
                </c:pt>
                <c:pt idx="53">
                  <c:v>0.67555424369525285</c:v>
                </c:pt>
                <c:pt idx="54">
                  <c:v>0.67960979735448146</c:v>
                </c:pt>
                <c:pt idx="55">
                  <c:v>0.68361465659296972</c:v>
                </c:pt>
                <c:pt idx="56">
                  <c:v>0.68756945509097689</c:v>
                </c:pt>
                <c:pt idx="57">
                  <c:v>0.69147481860775895</c:v>
                </c:pt>
                <c:pt idx="58">
                  <c:v>0.69533136508058124</c:v>
                </c:pt>
                <c:pt idx="59">
                  <c:v>0.6991397047224932</c:v>
                </c:pt>
                <c:pt idx="60">
                  <c:v>0.70290044011888131</c:v>
                </c:pt>
                <c:pt idx="61">
                  <c:v>0.7066141663228146</c:v>
                </c:pt>
                <c:pt idx="62">
                  <c:v>0.71028147094919869</c:v>
                </c:pt>
                <c:pt idx="63">
                  <c:v>0.71390293426775298</c:v>
                </c:pt>
                <c:pt idx="64">
                  <c:v>0.71747912929482538</c:v>
                </c:pt>
                <c:pt idx="65">
                  <c:v>0.72101062188405929</c:v>
                </c:pt>
                <c:pt idx="66">
                  <c:v>0.72449797081592782</c:v>
                </c:pt>
                <c:pt idx="67">
                  <c:v>0.72794172788614797</c:v>
                </c:pt>
                <c:pt idx="68">
                  <c:v>0.73134243799299037</c:v>
                </c:pt>
                <c:pt idx="69">
                  <c:v>0.73470063922349726</c:v>
                </c:pt>
                <c:pt idx="70">
                  <c:v>0.73801686293862279</c:v>
                </c:pt>
                <c:pt idx="71">
                  <c:v>0.74129163385730923</c:v>
                </c:pt>
                <c:pt idx="72">
                  <c:v>0.74452547013951209</c:v>
                </c:pt>
                <c:pt idx="73">
                  <c:v>0.74771888346818749</c:v>
                </c:pt>
                <c:pt idx="74">
                  <c:v>0.7508723791302544</c:v>
                </c:pt>
                <c:pt idx="75">
                  <c:v>0.75398645609654547</c:v>
                </c:pt>
                <c:pt idx="76">
                  <c:v>0.75706160710075787</c:v>
                </c:pt>
                <c:pt idx="77">
                  <c:v>0.76009831871741773</c:v>
                </c:pt>
                <c:pt idx="78">
                  <c:v>0.76309707143886929</c:v>
                </c:pt>
                <c:pt idx="79">
                  <c:v>0.76605833975130266</c:v>
                </c:pt>
                <c:pt idx="80">
                  <c:v>0.76898259220983067</c:v>
                </c:pt>
                <c:pt idx="81">
                  <c:v>0.77187029151262709</c:v>
                </c:pt>
                <c:pt idx="82">
                  <c:v>0.77472189457413854</c:v>
                </c:pt>
                <c:pt idx="83">
                  <c:v>0.77753785259738106</c:v>
                </c:pt>
                <c:pt idx="84">
                  <c:v>0.78031861114533307</c:v>
                </c:pt>
                <c:pt idx="85">
                  <c:v>0.7830646102114357</c:v>
                </c:pt>
                <c:pt idx="86">
                  <c:v>0.78577628428921198</c:v>
                </c:pt>
                <c:pt idx="87">
                  <c:v>0.78845406244101612</c:v>
                </c:pt>
                <c:pt idx="88">
                  <c:v>0.79109836836592273</c:v>
                </c:pt>
                <c:pt idx="89">
                  <c:v>0.79370962046676796</c:v>
                </c:pt>
                <c:pt idx="90">
                  <c:v>0.79628823191635267</c:v>
                </c:pt>
                <c:pt idx="91">
                  <c:v>0.79883461072281758</c:v>
                </c:pt>
                <c:pt idx="92">
                  <c:v>0.80134915979420163</c:v>
                </c:pt>
                <c:pt idx="93">
                  <c:v>0.8038322770021934</c:v>
                </c:pt>
                <c:pt idx="94">
                  <c:v>0.80628435524508524</c:v>
                </c:pt>
                <c:pt idx="95">
                  <c:v>0.80870578250994096</c:v>
                </c:pt>
                <c:pt idx="96">
                  <c:v>0.81109694193398596</c:v>
                </c:pt>
                <c:pt idx="97">
                  <c:v>0.81345821186523037</c:v>
                </c:pt>
                <c:pt idx="98">
                  <c:v>0.81578996592233433</c:v>
                </c:pt>
                <c:pt idx="99">
                  <c:v>0.8180925730537244</c:v>
                </c:pt>
                <c:pt idx="100">
                  <c:v>0.82036639759597207</c:v>
                </c:pt>
                <c:pt idx="101">
                  <c:v>0.82261179933144168</c:v>
                </c:pt>
                <c:pt idx="102">
                  <c:v>0.82482913354521792</c:v>
                </c:pt>
                <c:pt idx="103">
                  <c:v>0.82701875108132195</c:v>
                </c:pt>
                <c:pt idx="104">
                  <c:v>0.82918099839822468</c:v>
                </c:pt>
              </c:numCache>
            </c:numRef>
          </c:yVal>
          <c:smooth val="0"/>
          <c:extLst>
            <c:ext xmlns:c16="http://schemas.microsoft.com/office/drawing/2014/chart" uri="{C3380CC4-5D6E-409C-BE32-E72D297353CC}">
              <c16:uniqueId val="{00000006-0245-4E33-95B6-175C1050FA82}"/>
            </c:ext>
          </c:extLst>
        </c:ser>
        <c:ser>
          <c:idx val="7"/>
          <c:order val="7"/>
          <c:tx>
            <c:strRef>
              <c:f>Model!$A$10</c:f>
              <c:strCache>
                <c:ptCount val="1"/>
                <c:pt idx="0">
                  <c:v>SDG8</c:v>
                </c:pt>
              </c:strCache>
            </c:strRef>
          </c:tx>
          <c:spPr>
            <a:ln w="12700">
              <a:solidFill>
                <a:srgbClr val="A21942"/>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Model!$B$10:$DB$10</c:f>
              <c:numCache>
                <c:formatCode>General</c:formatCode>
                <c:ptCount val="105"/>
                <c:pt idx="0">
                  <c:v>0.68254425048828127</c:v>
                </c:pt>
                <c:pt idx="1">
                  <c:v>0.67416482096092789</c:v>
                </c:pt>
                <c:pt idx="2">
                  <c:v>0.66700032363838291</c:v>
                </c:pt>
                <c:pt idx="3">
                  <c:v>0.65993535985182961</c:v>
                </c:pt>
                <c:pt idx="4">
                  <c:v>0.65296830101085002</c:v>
                </c:pt>
                <c:pt idx="5">
                  <c:v>0.6460975512738617</c:v>
                </c:pt>
                <c:pt idx="6">
                  <c:v>0.63932154654236939</c:v>
                </c:pt>
                <c:pt idx="7">
                  <c:v>0.63263875352115362</c:v>
                </c:pt>
                <c:pt idx="8">
                  <c:v>0.62604766883708396</c:v>
                </c:pt>
                <c:pt idx="9">
                  <c:v>0.62087156344394268</c:v>
                </c:pt>
                <c:pt idx="10">
                  <c:v>0.61577172407296965</c:v>
                </c:pt>
                <c:pt idx="11">
                  <c:v>0.61074549961630631</c:v>
                </c:pt>
                <c:pt idx="12">
                  <c:v>0.60579034776590435</c:v>
                </c:pt>
                <c:pt idx="13">
                  <c:v>0.60090383084417465</c:v>
                </c:pt>
                <c:pt idx="14">
                  <c:v>0.59608361178569924</c:v>
                </c:pt>
                <c:pt idx="15">
                  <c:v>0.59132745026463396</c:v>
                </c:pt>
                <c:pt idx="16">
                  <c:v>0.58663319896262389</c:v>
                </c:pt>
                <c:pt idx="17">
                  <c:v>0.5846973159688913</c:v>
                </c:pt>
                <c:pt idx="18">
                  <c:v>0.58280287893497495</c:v>
                </c:pt>
                <c:pt idx="19">
                  <c:v>0.58094717694858122</c:v>
                </c:pt>
                <c:pt idx="20">
                  <c:v>0.57912761517568823</c:v>
                </c:pt>
                <c:pt idx="21">
                  <c:v>0.57734171085256958</c:v>
                </c:pt>
                <c:pt idx="22">
                  <c:v>0.57558708940103243</c:v>
                </c:pt>
                <c:pt idx="23">
                  <c:v>0.57386148066341525</c:v>
                </c:pt>
                <c:pt idx="24">
                  <c:v>0.57216271525397611</c:v>
                </c:pt>
                <c:pt idx="25">
                  <c:v>0.57596676073346631</c:v>
                </c:pt>
                <c:pt idx="26">
                  <c:v>0.57992293410917872</c:v>
                </c:pt>
                <c:pt idx="27">
                  <c:v>0.58402733594111977</c:v>
                </c:pt>
                <c:pt idx="28">
                  <c:v>0.58827610320785828</c:v>
                </c:pt>
                <c:pt idx="29">
                  <c:v>0.59266541055641986</c:v>
                </c:pt>
                <c:pt idx="30">
                  <c:v>0.59719147145713347</c:v>
                </c:pt>
                <c:pt idx="31">
                  <c:v>0.60185053926779986</c:v>
                </c:pt>
                <c:pt idx="32">
                  <c:v>0.60663890821136579</c:v>
                </c:pt>
                <c:pt idx="33">
                  <c:v>0.60971810975806728</c:v>
                </c:pt>
                <c:pt idx="34">
                  <c:v>0.61269292620687088</c:v>
                </c:pt>
                <c:pt idx="35">
                  <c:v>0.61556624617911282</c:v>
                </c:pt>
                <c:pt idx="36">
                  <c:v>0.61834089718874485</c:v>
                </c:pt>
                <c:pt idx="37">
                  <c:v>0.62101964658724018</c:v>
                </c:pt>
                <c:pt idx="38">
                  <c:v>0.6236052025034251</c:v>
                </c:pt>
                <c:pt idx="39">
                  <c:v>0.62610021477838573</c:v>
                </c:pt>
                <c:pt idx="40">
                  <c:v>0.62850727589557398</c:v>
                </c:pt>
                <c:pt idx="41">
                  <c:v>0.63315093494687935</c:v>
                </c:pt>
                <c:pt idx="42">
                  <c:v>0.63773654826004333</c:v>
                </c:pt>
                <c:pt idx="43">
                  <c:v>0.64226484140679274</c:v>
                </c:pt>
                <c:pt idx="44">
                  <c:v>0.64673653088920779</c:v>
                </c:pt>
                <c:pt idx="45">
                  <c:v>0.65115232425309266</c:v>
                </c:pt>
                <c:pt idx="46">
                  <c:v>0.65551292019992902</c:v>
                </c:pt>
                <c:pt idx="47">
                  <c:v>0.65981900869742993</c:v>
                </c:pt>
                <c:pt idx="48">
                  <c:v>0.66407127108871211</c:v>
                </c:pt>
                <c:pt idx="49">
                  <c:v>0.66440407566815995</c:v>
                </c:pt>
                <c:pt idx="50">
                  <c:v>0.66499145985936559</c:v>
                </c:pt>
                <c:pt idx="51">
                  <c:v>0.66583208687574857</c:v>
                </c:pt>
                <c:pt idx="52">
                  <c:v>0.66692483589389417</c:v>
                </c:pt>
                <c:pt idx="53">
                  <c:v>0.66826879584382703</c:v>
                </c:pt>
                <c:pt idx="54">
                  <c:v>0.66986325941051905</c:v>
                </c:pt>
                <c:pt idx="55">
                  <c:v>0.67170771724106382</c:v>
                </c:pt>
                <c:pt idx="56">
                  <c:v>0.67380185235204326</c:v>
                </c:pt>
                <c:pt idx="57">
                  <c:v>0.67614553473170813</c:v>
                </c:pt>
                <c:pt idx="58">
                  <c:v>0.67873881613169051</c:v>
                </c:pt>
                <c:pt idx="59">
                  <c:v>0.68158192504306858</c:v>
                </c:pt>
                <c:pt idx="60">
                  <c:v>0.68467526185170391</c:v>
                </c:pt>
                <c:pt idx="61">
                  <c:v>0.68801939416787361</c:v>
                </c:pt>
                <c:pt idx="62">
                  <c:v>0.6916150523253225</c:v>
                </c:pt>
                <c:pt idx="63">
                  <c:v>0.6954631250442086</c:v>
                </c:pt>
                <c:pt idx="64">
                  <c:v>0.699269835981156</c:v>
                </c:pt>
                <c:pt idx="65">
                  <c:v>0.70302896303139151</c:v>
                </c:pt>
                <c:pt idx="66">
                  <c:v>0.70674110099349907</c:v>
                </c:pt>
                <c:pt idx="67">
                  <c:v>0.71040683723108033</c:v>
                </c:pt>
                <c:pt idx="68">
                  <c:v>0.71402675176569186</c:v>
                </c:pt>
                <c:pt idx="69">
                  <c:v>0.71760141736862071</c:v>
                </c:pt>
                <c:pt idx="70">
                  <c:v>0.72113139965151296</c:v>
                </c:pt>
                <c:pt idx="71">
                  <c:v>0.724617257155869</c:v>
                </c:pt>
                <c:pt idx="72">
                  <c:v>0.7280595414414206</c:v>
                </c:pt>
                <c:pt idx="73">
                  <c:v>0.73145879717340279</c:v>
                </c:pt>
                <c:pt idx="74">
                  <c:v>0.73481556220873523</c:v>
                </c:pt>
                <c:pt idx="75">
                  <c:v>0.73813036768112605</c:v>
                </c:pt>
                <c:pt idx="76">
                  <c:v>0.74140373808511195</c:v>
                </c:pt>
                <c:pt idx="77">
                  <c:v>0.74463619135904802</c:v>
                </c:pt>
                <c:pt idx="78">
                  <c:v>0.74782823896705997</c:v>
                </c:pt>
                <c:pt idx="79">
                  <c:v>0.75098038597997174</c:v>
                </c:pt>
                <c:pt idx="80">
                  <c:v>0.75409313115522214</c:v>
                </c:pt>
                <c:pt idx="81">
                  <c:v>0.7571669670157819</c:v>
                </c:pt>
                <c:pt idx="82">
                  <c:v>0.76020237992808459</c:v>
                </c:pt>
                <c:pt idx="83">
                  <c:v>0.76319985017898351</c:v>
                </c:pt>
                <c:pt idx="84">
                  <c:v>0.76615985205174619</c:v>
                </c:pt>
                <c:pt idx="85">
                  <c:v>0.76908285390109932</c:v>
                </c:pt>
                <c:pt idx="86">
                  <c:v>0.77196931822733561</c:v>
                </c:pt>
                <c:pt idx="87">
                  <c:v>0.77481970174949388</c:v>
                </c:pt>
                <c:pt idx="88">
                  <c:v>0.77763445547762522</c:v>
                </c:pt>
                <c:pt idx="89">
                  <c:v>0.78041402478415489</c:v>
                </c:pt>
                <c:pt idx="90">
                  <c:v>0.78315884947435299</c:v>
                </c:pt>
                <c:pt idx="91">
                  <c:v>0.78586936385592354</c:v>
                </c:pt>
                <c:pt idx="92">
                  <c:v>0.78854599680772453</c:v>
                </c:pt>
                <c:pt idx="93">
                  <c:v>0.79118917184762794</c:v>
                </c:pt>
                <c:pt idx="94">
                  <c:v>0.79379930719953262</c:v>
                </c:pt>
                <c:pt idx="95">
                  <c:v>0.79637681585953846</c:v>
                </c:pt>
                <c:pt idx="96">
                  <c:v>0.79892210566129418</c:v>
                </c:pt>
                <c:pt idx="97">
                  <c:v>0.801435579340528</c:v>
                </c:pt>
                <c:pt idx="98">
                  <c:v>0.80391763459877141</c:v>
                </c:pt>
                <c:pt idx="99">
                  <c:v>0.80636866416628672</c:v>
                </c:pt>
                <c:pt idx="100">
                  <c:v>0.80878905586420813</c:v>
                </c:pt>
                <c:pt idx="101">
                  <c:v>0.81117919266590555</c:v>
                </c:pt>
                <c:pt idx="102">
                  <c:v>0.81353945275758177</c:v>
                </c:pt>
                <c:pt idx="103">
                  <c:v>0.81587020959811196</c:v>
                </c:pt>
                <c:pt idx="104">
                  <c:v>0.81817183197813559</c:v>
                </c:pt>
              </c:numCache>
            </c:numRef>
          </c:yVal>
          <c:smooth val="0"/>
          <c:extLst>
            <c:ext xmlns:c16="http://schemas.microsoft.com/office/drawing/2014/chart" uri="{C3380CC4-5D6E-409C-BE32-E72D297353CC}">
              <c16:uniqueId val="{00000007-0245-4E33-95B6-175C1050FA82}"/>
            </c:ext>
          </c:extLst>
        </c:ser>
        <c:ser>
          <c:idx val="8"/>
          <c:order val="8"/>
          <c:tx>
            <c:strRef>
              <c:f>Model!$A$11</c:f>
              <c:strCache>
                <c:ptCount val="1"/>
                <c:pt idx="0">
                  <c:v>SDG9</c:v>
                </c:pt>
              </c:strCache>
            </c:strRef>
          </c:tx>
          <c:spPr>
            <a:ln w="12700">
              <a:solidFill>
                <a:srgbClr val="FD6925"/>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Model!$B$11:$DB$11</c:f>
              <c:numCache>
                <c:formatCode>General</c:formatCode>
                <c:ptCount val="105"/>
                <c:pt idx="0">
                  <c:v>0.33077934265136721</c:v>
                </c:pt>
                <c:pt idx="1">
                  <c:v>0.33162449157495472</c:v>
                </c:pt>
                <c:pt idx="2">
                  <c:v>0.33118546591118481</c:v>
                </c:pt>
                <c:pt idx="3">
                  <c:v>0.33073647250688953</c:v>
                </c:pt>
                <c:pt idx="4">
                  <c:v>0.33027795513020319</c:v>
                </c:pt>
                <c:pt idx="5">
                  <c:v>0.32981034337737558</c:v>
                </c:pt>
                <c:pt idx="6">
                  <c:v>0.3293340531520797</c:v>
                </c:pt>
                <c:pt idx="7">
                  <c:v>0.32884948712559314</c:v>
                </c:pt>
                <c:pt idx="8">
                  <c:v>0.32835703517877252</c:v>
                </c:pt>
                <c:pt idx="9">
                  <c:v>0.3254643354366219</c:v>
                </c:pt>
                <c:pt idx="10">
                  <c:v>0.32260329219462264</c:v>
                </c:pt>
                <c:pt idx="11">
                  <c:v>0.31977359873565914</c:v>
                </c:pt>
                <c:pt idx="12">
                  <c:v>0.31697494990296754</c:v>
                </c:pt>
                <c:pt idx="13">
                  <c:v>0.31420704215565343</c:v>
                </c:pt>
                <c:pt idx="14">
                  <c:v>0.31146957362044314</c:v>
                </c:pt>
                <c:pt idx="15">
                  <c:v>0.30876224413986492</c:v>
                </c:pt>
                <c:pt idx="16">
                  <c:v>0.3060847553170466</c:v>
                </c:pt>
                <c:pt idx="17">
                  <c:v>0.30461492523902761</c:v>
                </c:pt>
                <c:pt idx="18">
                  <c:v>0.30315576803625538</c:v>
                </c:pt>
                <c:pt idx="19">
                  <c:v>0.30170729577543232</c:v>
                </c:pt>
                <c:pt idx="20">
                  <c:v>0.30026951686914988</c:v>
                </c:pt>
                <c:pt idx="21">
                  <c:v>0.29884243622996609</c:v>
                </c:pt>
                <c:pt idx="22">
                  <c:v>0.29742605541839229</c:v>
                </c:pt>
                <c:pt idx="23">
                  <c:v>0.29602037278505633</c:v>
                </c:pt>
                <c:pt idx="24">
                  <c:v>0.29462538360729568</c:v>
                </c:pt>
                <c:pt idx="25">
                  <c:v>0.29553959412863812</c:v>
                </c:pt>
                <c:pt idx="26">
                  <c:v>0.29642912005446015</c:v>
                </c:pt>
                <c:pt idx="27">
                  <c:v>0.29729451047469502</c:v>
                </c:pt>
                <c:pt idx="28">
                  <c:v>0.2981363021303185</c:v>
                </c:pt>
                <c:pt idx="29">
                  <c:v>0.29895501972751304</c:v>
                </c:pt>
                <c:pt idx="30">
                  <c:v>0.29975117624212555</c:v>
                </c:pt>
                <c:pt idx="31">
                  <c:v>0.30052527321478867</c:v>
                </c:pt>
                <c:pt idx="32">
                  <c:v>0.30127780103706026</c:v>
                </c:pt>
                <c:pt idx="33">
                  <c:v>0.30123095491553203</c:v>
                </c:pt>
                <c:pt idx="34">
                  <c:v>0.30118604473839233</c:v>
                </c:pt>
                <c:pt idx="35">
                  <c:v>0.30114307198864931</c:v>
                </c:pt>
                <c:pt idx="36">
                  <c:v>0.30110203735729923</c:v>
                </c:pt>
                <c:pt idx="37">
                  <c:v>0.30106294076867857</c:v>
                </c:pt>
                <c:pt idx="38">
                  <c:v>0.30102578140516617</c:v>
                </c:pt>
                <c:pt idx="39">
                  <c:v>0.30099055773125272</c:v>
                </c:pt>
                <c:pt idx="40">
                  <c:v>0.30095726751699492</c:v>
                </c:pt>
                <c:pt idx="41">
                  <c:v>0.30465651404870919</c:v>
                </c:pt>
                <c:pt idx="42">
                  <c:v>0.30829013339245182</c:v>
                </c:pt>
                <c:pt idx="43">
                  <c:v>0.31185928683168712</c:v>
                </c:pt>
                <c:pt idx="44">
                  <c:v>0.31536511368568737</c:v>
                </c:pt>
                <c:pt idx="45">
                  <c:v>0.31880873179080177</c:v>
                </c:pt>
                <c:pt idx="46">
                  <c:v>0.32219123796858939</c:v>
                </c:pt>
                <c:pt idx="47">
                  <c:v>0.3255137084812727</c:v>
                </c:pt>
                <c:pt idx="48">
                  <c:v>0.32877719947494993</c:v>
                </c:pt>
                <c:pt idx="49">
                  <c:v>0.33716748448151307</c:v>
                </c:pt>
                <c:pt idx="50">
                  <c:v>0.34545289092549414</c:v>
                </c:pt>
                <c:pt idx="51">
                  <c:v>0.35363472978892546</c:v>
                </c:pt>
                <c:pt idx="52">
                  <c:v>0.36171429566656388</c:v>
                </c:pt>
                <c:pt idx="53">
                  <c:v>0.36969286697073184</c:v>
                </c:pt>
                <c:pt idx="54">
                  <c:v>0.3775717061335977</c:v>
                </c:pt>
                <c:pt idx="55">
                  <c:v>0.38535205980692772</c:v>
                </c:pt>
                <c:pt idx="56">
                  <c:v>0.39303515905934111</c:v>
                </c:pt>
                <c:pt idx="57">
                  <c:v>0.40062221957109934</c:v>
                </c:pt>
                <c:pt idx="58">
                  <c:v>0.40811444182646062</c:v>
                </c:pt>
                <c:pt idx="59">
                  <c:v>0.41551301130362983</c:v>
                </c:pt>
                <c:pt idx="60">
                  <c:v>0.42281909866233447</c:v>
                </c:pt>
                <c:pt idx="61">
                  <c:v>0.4300338599290553</c:v>
                </c:pt>
                <c:pt idx="62">
                  <c:v>0.43715843667994209</c:v>
                </c:pt>
                <c:pt idx="63">
                  <c:v>0.44419395622144281</c:v>
                </c:pt>
                <c:pt idx="64">
                  <c:v>0.45114153176867478</c:v>
                </c:pt>
                <c:pt idx="65">
                  <c:v>0.45798363099238171</c:v>
                </c:pt>
                <c:pt idx="66">
                  <c:v>0.46471744172584878</c:v>
                </c:pt>
                <c:pt idx="67">
                  <c:v>0.47134468342962521</c:v>
                </c:pt>
                <c:pt idx="68">
                  <c:v>0.47786792674391554</c:v>
                </c:pt>
                <c:pt idx="69">
                  <c:v>0.48429043902716762</c:v>
                </c:pt>
                <c:pt idx="70">
                  <c:v>0.49061538491062234</c:v>
                </c:pt>
                <c:pt idx="71">
                  <c:v>0.49684583071040228</c:v>
                </c:pt>
                <c:pt idx="72">
                  <c:v>0.50298474859213926</c:v>
                </c:pt>
                <c:pt idx="73">
                  <c:v>0.50903502050517646</c:v>
                </c:pt>
                <c:pt idx="74">
                  <c:v>0.51499944190199898</c:v>
                </c:pt>
                <c:pt idx="75">
                  <c:v>0.52088072525729623</c:v>
                </c:pt>
                <c:pt idx="76">
                  <c:v>0.52668150339991848</c:v>
                </c:pt>
                <c:pt idx="77">
                  <c:v>0.53240433266995679</c:v>
                </c:pt>
                <c:pt idx="78">
                  <c:v>0.53805169591223123</c:v>
                </c:pt>
                <c:pt idx="79">
                  <c:v>0.54362600531661232</c:v>
                </c:pt>
                <c:pt idx="80">
                  <c:v>0.54912960511481568</c:v>
                </c:pt>
                <c:pt idx="81">
                  <c:v>0.55456477414259275</c:v>
                </c:pt>
                <c:pt idx="82">
                  <c:v>0.55993372827558263</c:v>
                </c:pt>
                <c:pt idx="83">
                  <c:v>0.56523862274649106</c:v>
                </c:pt>
                <c:pt idx="84">
                  <c:v>0.57048155435071002</c:v>
                </c:pt>
                <c:pt idx="85">
                  <c:v>0.57566456354698603</c:v>
                </c:pt>
                <c:pt idx="86">
                  <c:v>0.58078963645928083</c:v>
                </c:pt>
                <c:pt idx="87">
                  <c:v>0.58585870678554164</c:v>
                </c:pt>
                <c:pt idx="88">
                  <c:v>0.5908736576187037</c:v>
                </c:pt>
                <c:pt idx="89">
                  <c:v>0.59583632318488777</c:v>
                </c:pt>
                <c:pt idx="90">
                  <c:v>0.60074849050341961</c:v>
                </c:pt>
                <c:pt idx="91">
                  <c:v>0.60561190097299178</c:v>
                </c:pt>
                <c:pt idx="92">
                  <c:v>0.6104282518880032</c:v>
                </c:pt>
                <c:pt idx="93">
                  <c:v>0.61519919788884847</c:v>
                </c:pt>
                <c:pt idx="94">
                  <c:v>0.61992635234968774</c:v>
                </c:pt>
                <c:pt idx="95">
                  <c:v>0.62461128870699933</c:v>
                </c:pt>
                <c:pt idx="96">
                  <c:v>0.62925554173201248</c:v>
                </c:pt>
                <c:pt idx="97">
                  <c:v>0.6338606087499209</c:v>
                </c:pt>
                <c:pt idx="98">
                  <c:v>0.63842795080860093</c:v>
                </c:pt>
                <c:pt idx="99">
                  <c:v>0.64294760142349339</c:v>
                </c:pt>
                <c:pt idx="100">
                  <c:v>0.64741075640569967</c:v>
                </c:pt>
                <c:pt idx="101">
                  <c:v>0.65181812195062838</c:v>
                </c:pt>
                <c:pt idx="102">
                  <c:v>0.65617039542624556</c:v>
                </c:pt>
                <c:pt idx="103">
                  <c:v>0.66046826548341753</c:v>
                </c:pt>
                <c:pt idx="104">
                  <c:v>0.66471241216487476</c:v>
                </c:pt>
              </c:numCache>
            </c:numRef>
          </c:yVal>
          <c:smooth val="0"/>
          <c:extLst>
            <c:ext xmlns:c16="http://schemas.microsoft.com/office/drawing/2014/chart" uri="{C3380CC4-5D6E-409C-BE32-E72D297353CC}">
              <c16:uniqueId val="{00000008-0245-4E33-95B6-175C1050FA82}"/>
            </c:ext>
          </c:extLst>
        </c:ser>
        <c:dLbls>
          <c:showLegendKey val="0"/>
          <c:showVal val="0"/>
          <c:showCatName val="0"/>
          <c:showSerName val="0"/>
          <c:showPercent val="0"/>
          <c:showBubbleSize val="0"/>
        </c:dLbls>
        <c:axId val="507480351"/>
        <c:axId val="1"/>
      </c:scatterChart>
      <c:valAx>
        <c:axId val="507480351"/>
        <c:scaling>
          <c:orientation val="minMax"/>
          <c:max val="2030"/>
          <c:min val="2017"/>
        </c:scaling>
        <c:delete val="0"/>
        <c:axPos val="b"/>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1"/>
        <c:crossesAt val="0"/>
        <c:crossBetween val="midCat"/>
        <c:majorUnit val="1"/>
      </c:valAx>
      <c:valAx>
        <c:axId val="1"/>
        <c:scaling>
          <c:orientation val="minMax"/>
          <c:max val="1"/>
        </c:scaling>
        <c:delete val="0"/>
        <c:axPos val="l"/>
        <c:majorGridlines>
          <c:spPr>
            <a:ln w="12700">
              <a:solidFill>
                <a:srgbClr val="000000"/>
              </a:solidFill>
              <a:prstDash val="solid"/>
            </a:ln>
          </c:spPr>
        </c:majorGridlines>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507480351"/>
        <c:crossesAt val="0"/>
        <c:crossBetween val="midCat"/>
      </c:valAx>
      <c:spPr>
        <a:solidFill>
          <a:srgbClr val="FFFFFF"/>
        </a:solidFill>
        <a:ln w="12700">
          <a:solidFill>
            <a:srgbClr val="808080"/>
          </a:solidFill>
          <a:prstDash val="solid"/>
        </a:ln>
      </c:spPr>
    </c:plotArea>
    <c:legend>
      <c:legendPos val="r"/>
      <c:layout>
        <c:manualLayout>
          <c:xMode val="edge"/>
          <c:yMode val="edge"/>
          <c:x val="9.1712079128680402E-2"/>
          <c:y val="0.87620443670074277"/>
          <c:w val="0.77142470359929283"/>
          <c:h val="9.0606901596316902E-2"/>
        </c:manualLayout>
      </c:layout>
      <c:overlay val="0"/>
      <c:spPr>
        <a:solidFill>
          <a:srgbClr val="FFFFFF"/>
        </a:solidFill>
        <a:ln w="25400">
          <a:noFill/>
        </a:ln>
      </c:sp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169846371983592E-2"/>
          <c:y val="3.697300036647326E-2"/>
          <c:w val="0.87775192527344581"/>
          <c:h val="0.8134060080624117"/>
        </c:manualLayout>
      </c:layout>
      <c:scatterChart>
        <c:scatterStyle val="lineMarker"/>
        <c:varyColors val="0"/>
        <c:ser>
          <c:idx val="0"/>
          <c:order val="0"/>
          <c:tx>
            <c:strRef>
              <c:f>Model!$A$12</c:f>
              <c:strCache>
                <c:ptCount val="1"/>
                <c:pt idx="0">
                  <c:v>SDG10</c:v>
                </c:pt>
              </c:strCache>
            </c:strRef>
          </c:tx>
          <c:spPr>
            <a:ln w="12700">
              <a:solidFill>
                <a:srgbClr val="DD1367"/>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Model!$B$12:$DB$12</c:f>
              <c:numCache>
                <c:formatCode>General</c:formatCode>
                <c:ptCount val="105"/>
                <c:pt idx="0">
                  <c:v>0.72533958435058599</c:v>
                </c:pt>
                <c:pt idx="1">
                  <c:v>0.71629293384578174</c:v>
                </c:pt>
                <c:pt idx="2">
                  <c:v>0.70854446022522</c:v>
                </c:pt>
                <c:pt idx="3">
                  <c:v>0.70090971444683547</c:v>
                </c:pt>
                <c:pt idx="4">
                  <c:v>0.69338668004240411</c:v>
                </c:pt>
                <c:pt idx="5">
                  <c:v>0.68597336990831204</c:v>
                </c:pt>
                <c:pt idx="6">
                  <c:v>0.67866782640209367</c:v>
                </c:pt>
                <c:pt idx="7">
                  <c:v>0.67146812141913537</c:v>
                </c:pt>
                <c:pt idx="8">
                  <c:v>0.6643723564483488</c:v>
                </c:pt>
                <c:pt idx="9">
                  <c:v>0.65737866260605571</c:v>
                </c:pt>
                <c:pt idx="10">
                  <c:v>0.65046868797531754</c:v>
                </c:pt>
                <c:pt idx="11">
                  <c:v>0.64364059543008267</c:v>
                </c:pt>
                <c:pt idx="12">
                  <c:v>0.63689261351527682</c:v>
                </c:pt>
                <c:pt idx="13">
                  <c:v>0.63022303283374725</c:v>
                </c:pt>
                <c:pt idx="14">
                  <c:v>0.62363020275707237</c:v>
                </c:pt>
                <c:pt idx="15">
                  <c:v>0.61711252843311659</c:v>
                </c:pt>
                <c:pt idx="16">
                  <c:v>0.61066846806437913</c:v>
                </c:pt>
                <c:pt idx="17">
                  <c:v>0.60429653043246478</c:v>
                </c:pt>
                <c:pt idx="18">
                  <c:v>0.59799693992105063</c:v>
                </c:pt>
                <c:pt idx="19">
                  <c:v>0.59176825442776249</c:v>
                </c:pt>
                <c:pt idx="20">
                  <c:v>0.58560907537440388</c:v>
                </c:pt>
                <c:pt idx="21">
                  <c:v>0.57951804620737413</c:v>
                </c:pt>
                <c:pt idx="22">
                  <c:v>0.57349385100111261</c:v>
                </c:pt>
                <c:pt idx="23">
                  <c:v>0.56753521315455013</c:v>
                </c:pt>
                <c:pt idx="24">
                  <c:v>0.56164089417128571</c:v>
                </c:pt>
                <c:pt idx="25">
                  <c:v>0.5558096925149153</c:v>
                </c:pt>
                <c:pt idx="26">
                  <c:v>0.55007122088931826</c:v>
                </c:pt>
                <c:pt idx="27">
                  <c:v>0.54442450522313401</c:v>
                </c:pt>
                <c:pt idx="28">
                  <c:v>0.53886858363772727</c:v>
                </c:pt>
                <c:pt idx="29">
                  <c:v>0.53340250527932365</c:v>
                </c:pt>
                <c:pt idx="30">
                  <c:v>0.52802532922805401</c:v>
                </c:pt>
                <c:pt idx="31">
                  <c:v>0.52273612347993448</c:v>
                </c:pt>
                <c:pt idx="32">
                  <c:v>0.51753396399800544</c:v>
                </c:pt>
                <c:pt idx="33">
                  <c:v>0.52087968127697737</c:v>
                </c:pt>
                <c:pt idx="34">
                  <c:v>0.52425398210673357</c:v>
                </c:pt>
                <c:pt idx="35">
                  <c:v>0.52765497856699584</c:v>
                </c:pt>
                <c:pt idx="36">
                  <c:v>0.53108090186915735</c:v>
                </c:pt>
                <c:pt idx="37">
                  <c:v>0.5345300999109962</c:v>
                </c:pt>
                <c:pt idx="38">
                  <c:v>0.53800103480649419</c:v>
                </c:pt>
                <c:pt idx="39">
                  <c:v>0.54149228040273845</c:v>
                </c:pt>
                <c:pt idx="40">
                  <c:v>0.54500251979496983</c:v>
                </c:pt>
                <c:pt idx="41">
                  <c:v>0.53961560393682118</c:v>
                </c:pt>
                <c:pt idx="42">
                  <c:v>0.53432958057437185</c:v>
                </c:pt>
                <c:pt idx="43">
                  <c:v>0.52914293008929969</c:v>
                </c:pt>
                <c:pt idx="44">
                  <c:v>0.52405414765913905</c:v>
                </c:pt>
                <c:pt idx="45">
                  <c:v>0.51906174417331141</c:v>
                </c:pt>
                <c:pt idx="46">
                  <c:v>0.51416424710059017</c:v>
                </c:pt>
                <c:pt idx="47">
                  <c:v>0.50936020130860504</c:v>
                </c:pt>
                <c:pt idx="48">
                  <c:v>0.50464816983618854</c:v>
                </c:pt>
                <c:pt idx="49">
                  <c:v>0.50002673461952751</c:v>
                </c:pt>
                <c:pt idx="50">
                  <c:v>0.49550959148218643</c:v>
                </c:pt>
                <c:pt idx="51">
                  <c:v>0.49109715631723083</c:v>
                </c:pt>
                <c:pt idx="52">
                  <c:v>0.48679004172661611</c:v>
                </c:pt>
                <c:pt idx="53">
                  <c:v>0.48258906452729433</c:v>
                </c:pt>
                <c:pt idx="54">
                  <c:v>0.4784952547772065</c:v>
                </c:pt>
                <c:pt idx="55">
                  <c:v>0.47450986644873233</c:v>
                </c:pt>
                <c:pt idx="56">
                  <c:v>0.47063438989986756</c:v>
                </c:pt>
                <c:pt idx="57">
                  <c:v>0.46687056631947571</c:v>
                </c:pt>
                <c:pt idx="58">
                  <c:v>0.46322040435306316</c:v>
                </c:pt>
                <c:pt idx="59">
                  <c:v>0.45968619915044112</c:v>
                </c:pt>
                <c:pt idx="60">
                  <c:v>0.45627010554083924</c:v>
                </c:pt>
                <c:pt idx="61">
                  <c:v>0.45297358848183139</c:v>
                </c:pt>
                <c:pt idx="62">
                  <c:v>0.44979831109675494</c:v>
                </c:pt>
                <c:pt idx="63">
                  <c:v>0.44674614634931309</c:v>
                </c:pt>
                <c:pt idx="64">
                  <c:v>0.44381918806319465</c:v>
                </c:pt>
                <c:pt idx="65">
                  <c:v>0.44101764951657574</c:v>
                </c:pt>
                <c:pt idx="66">
                  <c:v>0.43834166223101145</c:v>
                </c:pt>
                <c:pt idx="67">
                  <c:v>0.43579138578842402</c:v>
                </c:pt>
                <c:pt idx="68">
                  <c:v>0.4333670383415229</c:v>
                </c:pt>
                <c:pt idx="69">
                  <c:v>0.43106890542483062</c:v>
                </c:pt>
                <c:pt idx="70">
                  <c:v>0.4288973483807007</c:v>
                </c:pt>
                <c:pt idx="71">
                  <c:v>0.42685280629890782</c:v>
                </c:pt>
                <c:pt idx="72">
                  <c:v>0.42493489774319071</c:v>
                </c:pt>
                <c:pt idx="73">
                  <c:v>0.4231428062747486</c:v>
                </c:pt>
                <c:pt idx="74">
                  <c:v>0.42147572631060726</c:v>
                </c:pt>
                <c:pt idx="75">
                  <c:v>0.41993286635022692</c:v>
                </c:pt>
                <c:pt idx="76">
                  <c:v>0.418513452203989</c:v>
                </c:pt>
                <c:pt idx="77">
                  <c:v>0.41721673022188288</c:v>
                </c:pt>
                <c:pt idx="78">
                  <c:v>0.41604197052104441</c:v>
                </c:pt>
                <c:pt idx="79">
                  <c:v>0.41498847021111884</c:v>
                </c:pt>
                <c:pt idx="80">
                  <c:v>0.41405555661673427</c:v>
                </c:pt>
                <c:pt idx="81">
                  <c:v>0.41324259049667716</c:v>
                </c:pt>
                <c:pt idx="82">
                  <c:v>0.41254896925966017</c:v>
                </c:pt>
                <c:pt idx="83">
                  <c:v>0.41197413017686579</c:v>
                </c:pt>
                <c:pt idx="84">
                  <c:v>0.41151755359173731</c:v>
                </c:pt>
                <c:pt idx="85">
                  <c:v>0.4111787661277716</c:v>
                </c:pt>
                <c:pt idx="86">
                  <c:v>0.41095734389534982</c:v>
                </c:pt>
                <c:pt idx="87">
                  <c:v>0.41085291569891919</c:v>
                </c:pt>
                <c:pt idx="88">
                  <c:v>0.41086516624611552</c:v>
                </c:pt>
                <c:pt idx="89">
                  <c:v>0.41099383936069245</c:v>
                </c:pt>
                <c:pt idx="90">
                  <c:v>0.41123874120139786</c:v>
                </c:pt>
                <c:pt idx="91">
                  <c:v>0.41159974348921624</c:v>
                </c:pt>
                <c:pt idx="92">
                  <c:v>0.41207678674567289</c:v>
                </c:pt>
                <c:pt idx="93">
                  <c:v>0.41266987788429077</c:v>
                </c:pt>
                <c:pt idx="94">
                  <c:v>0.41337909070095452</c:v>
                </c:pt>
                <c:pt idx="95">
                  <c:v>0.41420456835200997</c:v>
                </c:pt>
                <c:pt idx="96">
                  <c:v>0.41514652583417866</c:v>
                </c:pt>
                <c:pt idx="97">
                  <c:v>0.41620525246971207</c:v>
                </c:pt>
                <c:pt idx="98">
                  <c:v>0.41738111440037745</c:v>
                </c:pt>
                <c:pt idx="99">
                  <c:v>0.41867455709403578</c:v>
                </c:pt>
                <c:pt idx="100">
                  <c:v>0.42008599012751191</c:v>
                </c:pt>
                <c:pt idx="101">
                  <c:v>0.42161579740560423</c:v>
                </c:pt>
                <c:pt idx="102">
                  <c:v>0.42326443650620166</c:v>
                </c:pt>
                <c:pt idx="103">
                  <c:v>0.42503244100061593</c:v>
                </c:pt>
                <c:pt idx="104">
                  <c:v>0.42692042277062686</c:v>
                </c:pt>
              </c:numCache>
            </c:numRef>
          </c:yVal>
          <c:smooth val="0"/>
          <c:extLst>
            <c:ext xmlns:c16="http://schemas.microsoft.com/office/drawing/2014/chart" uri="{C3380CC4-5D6E-409C-BE32-E72D297353CC}">
              <c16:uniqueId val="{00000000-CAE3-45AC-BD7D-7619C01C227E}"/>
            </c:ext>
          </c:extLst>
        </c:ser>
        <c:ser>
          <c:idx val="1"/>
          <c:order val="1"/>
          <c:tx>
            <c:strRef>
              <c:f>Model!$A$13</c:f>
              <c:strCache>
                <c:ptCount val="1"/>
                <c:pt idx="0">
                  <c:v>SDG11</c:v>
                </c:pt>
              </c:strCache>
            </c:strRef>
          </c:tx>
          <c:spPr>
            <a:ln w="12700">
              <a:solidFill>
                <a:srgbClr val="FD9D24"/>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Model!$B$13:$DB$13</c:f>
              <c:numCache>
                <c:formatCode>General</c:formatCode>
                <c:ptCount val="105"/>
                <c:pt idx="0">
                  <c:v>0.34302524566650389</c:v>
                </c:pt>
                <c:pt idx="1">
                  <c:v>0.34891281342134284</c:v>
                </c:pt>
                <c:pt idx="2">
                  <c:v>0.35705140325357604</c:v>
                </c:pt>
                <c:pt idx="3">
                  <c:v>0.36508826071290634</c:v>
                </c:pt>
                <c:pt idx="4">
                  <c:v>0.37302465745399499</c:v>
                </c:pt>
                <c:pt idx="5">
                  <c:v>0.38086184923582006</c:v>
                </c:pt>
                <c:pt idx="6">
                  <c:v>0.38860107612037231</c:v>
                </c:pt>
                <c:pt idx="7">
                  <c:v>0.39624356266886768</c:v>
                </c:pt>
                <c:pt idx="8">
                  <c:v>0.40379051813550682</c:v>
                </c:pt>
                <c:pt idx="9">
                  <c:v>0.41124313665881296</c:v>
                </c:pt>
                <c:pt idx="10">
                  <c:v>0.41860259745057782</c:v>
                </c:pt>
                <c:pt idx="11">
                  <c:v>0.42587006498244562</c:v>
                </c:pt>
                <c:pt idx="12">
                  <c:v>0.43304668917016503</c:v>
                </c:pt>
                <c:pt idx="13">
                  <c:v>0.44013360555553799</c:v>
                </c:pt>
                <c:pt idx="14">
                  <c:v>0.44713193548609376</c:v>
                </c:pt>
                <c:pt idx="15">
                  <c:v>0.4540427862925176</c:v>
                </c:pt>
                <c:pt idx="16">
                  <c:v>0.46086725146386115</c:v>
                </c:pt>
                <c:pt idx="17">
                  <c:v>0.46593721332405003</c:v>
                </c:pt>
                <c:pt idx="18">
                  <c:v>0.47076127936385948</c:v>
                </c:pt>
                <c:pt idx="19">
                  <c:v>0.47534661286693558</c:v>
                </c:pt>
                <c:pt idx="20">
                  <c:v>0.47970012554930153</c:v>
                </c:pt>
                <c:pt idx="21">
                  <c:v>0.48382848899818093</c:v>
                </c:pt>
                <c:pt idx="22">
                  <c:v>0.48773814560725032</c:v>
                </c:pt>
                <c:pt idx="23">
                  <c:v>0.49143531902080961</c:v>
                </c:pt>
                <c:pt idx="24">
                  <c:v>0.49492602410032921</c:v>
                </c:pt>
                <c:pt idx="25">
                  <c:v>0.49969897339081198</c:v>
                </c:pt>
                <c:pt idx="26">
                  <c:v>0.50432887289326733</c:v>
                </c:pt>
                <c:pt idx="27">
                  <c:v>0.50882043913651975</c:v>
                </c:pt>
                <c:pt idx="28">
                  <c:v>0.51317817212984662</c:v>
                </c:pt>
                <c:pt idx="29">
                  <c:v>0.51740636518001926</c:v>
                </c:pt>
                <c:pt idx="30">
                  <c:v>0.52150911435304104</c:v>
                </c:pt>
                <c:pt idx="31">
                  <c:v>0.52549032758503722</c:v>
                </c:pt>
                <c:pt idx="32">
                  <c:v>0.52935373344773951</c:v>
                </c:pt>
                <c:pt idx="33">
                  <c:v>0.52603215702054529</c:v>
                </c:pt>
                <c:pt idx="34">
                  <c:v>0.52278522521417847</c:v>
                </c:pt>
                <c:pt idx="35">
                  <c:v>0.51961160511164883</c:v>
                </c:pt>
                <c:pt idx="36">
                  <c:v>0.5165099829790456</c:v>
                </c:pt>
                <c:pt idx="37">
                  <c:v>0.51347906424088141</c:v>
                </c:pt>
                <c:pt idx="38">
                  <c:v>0.51051757344736703</c:v>
                </c:pt>
                <c:pt idx="39">
                  <c:v>0.5076242542340248</c:v>
                </c:pt>
                <c:pt idx="40">
                  <c:v>0.50479786927403525</c:v>
                </c:pt>
                <c:pt idx="41">
                  <c:v>0.50286310765844133</c:v>
                </c:pt>
                <c:pt idx="42">
                  <c:v>0.50100103045643851</c:v>
                </c:pt>
                <c:pt idx="43">
                  <c:v>0.49921029801645544</c:v>
                </c:pt>
                <c:pt idx="44">
                  <c:v>0.49748958846983116</c:v>
                </c:pt>
                <c:pt idx="45">
                  <c:v>0.49583759760366919</c:v>
                </c:pt>
                <c:pt idx="46">
                  <c:v>0.49425303873140569</c:v>
                </c:pt>
                <c:pt idx="47">
                  <c:v>0.4927346425612355</c:v>
                </c:pt>
                <c:pt idx="48">
                  <c:v>0.4912811570625355</c:v>
                </c:pt>
                <c:pt idx="49">
                  <c:v>0.49306687471327898</c:v>
                </c:pt>
                <c:pt idx="50">
                  <c:v>0.49492063609775822</c:v>
                </c:pt>
                <c:pt idx="51">
                  <c:v>0.4968443032553268</c:v>
                </c:pt>
                <c:pt idx="52">
                  <c:v>0.49883989634239456</c:v>
                </c:pt>
                <c:pt idx="53">
                  <c:v>0.50090959772725951</c:v>
                </c:pt>
                <c:pt idx="54">
                  <c:v>0.50305575645062506</c:v>
                </c:pt>
                <c:pt idx="55">
                  <c:v>0.50528089307007706</c:v>
                </c:pt>
                <c:pt idx="56">
                  <c:v>0.50758770490841343</c:v>
                </c:pt>
                <c:pt idx="57">
                  <c:v>0.50997907172745138</c:v>
                </c:pt>
                <c:pt idx="58">
                  <c:v>0.51245806185079246</c:v>
                </c:pt>
                <c:pt idx="59">
                  <c:v>0.51502793876102237</c:v>
                </c:pt>
                <c:pt idx="60">
                  <c:v>0.51769041617289302</c:v>
                </c:pt>
                <c:pt idx="61">
                  <c:v>0.52044361977214526</c:v>
                </c:pt>
                <c:pt idx="62">
                  <c:v>0.52328568670910958</c:v>
                </c:pt>
                <c:pt idx="63">
                  <c:v>0.52621476612479445</c:v>
                </c:pt>
                <c:pt idx="64">
                  <c:v>0.52922901964911617</c:v>
                </c:pt>
                <c:pt idx="65">
                  <c:v>0.53232662187220614</c:v>
                </c:pt>
                <c:pt idx="66">
                  <c:v>0.5355057607897018</c:v>
                </c:pt>
                <c:pt idx="67">
                  <c:v>0.53876463822290566</c:v>
                </c:pt>
                <c:pt idx="68">
                  <c:v>0.54210147021466593</c:v>
                </c:pt>
                <c:pt idx="69">
                  <c:v>0.54551448740181285</c:v>
                </c:pt>
                <c:pt idx="70">
                  <c:v>0.54900193536495567</c:v>
                </c:pt>
                <c:pt idx="71">
                  <c:v>0.55256207495642529</c:v>
                </c:pt>
                <c:pt idx="72">
                  <c:v>0.55619318260712292</c:v>
                </c:pt>
                <c:pt idx="73">
                  <c:v>0.55989355061301327</c:v>
                </c:pt>
                <c:pt idx="74">
                  <c:v>0.56366148740197897</c:v>
                </c:pt>
                <c:pt idx="75">
                  <c:v>0.5674953177817319</c:v>
                </c:pt>
                <c:pt idx="76">
                  <c:v>0.57139338316945698</c:v>
                </c:pt>
                <c:pt idx="77">
                  <c:v>0.57535404180384286</c:v>
                </c:pt>
                <c:pt idx="78">
                  <c:v>0.57937566894013592</c:v>
                </c:pt>
                <c:pt idx="79">
                  <c:v>0.58345665702883454</c:v>
                </c:pt>
                <c:pt idx="80">
                  <c:v>0.58759541587862174</c:v>
                </c:pt>
                <c:pt idx="81">
                  <c:v>0.59179037280411673</c:v>
                </c:pt>
                <c:pt idx="82">
                  <c:v>0.59603997275900944</c:v>
                </c:pt>
                <c:pt idx="83">
                  <c:v>0.60034267845512368</c:v>
                </c:pt>
                <c:pt idx="84">
                  <c:v>0.60469697046793869</c:v>
                </c:pt>
                <c:pt idx="85">
                  <c:v>0.60910134732908383</c:v>
                </c:pt>
                <c:pt idx="86">
                  <c:v>0.61355432560630419</c:v>
                </c:pt>
                <c:pt idx="87">
                  <c:v>0.61805443997138032</c:v>
                </c:pt>
                <c:pt idx="88">
                  <c:v>0.62260024325647056</c:v>
                </c:pt>
                <c:pt idx="89">
                  <c:v>0.62719030649933127</c:v>
                </c:pt>
                <c:pt idx="90">
                  <c:v>0.63182321897785332</c:v>
                </c:pt>
                <c:pt idx="91">
                  <c:v>0.63642542874063013</c:v>
                </c:pt>
                <c:pt idx="92">
                  <c:v>0.64097011088137223</c:v>
                </c:pt>
                <c:pt idx="93">
                  <c:v>0.64545798449535507</c:v>
                </c:pt>
                <c:pt idx="94">
                  <c:v>0.64988975968916318</c:v>
                </c:pt>
                <c:pt idx="95">
                  <c:v>0.65426613769304864</c:v>
                </c:pt>
                <c:pt idx="96">
                  <c:v>0.65858781097188557</c:v>
                </c:pt>
                <c:pt idx="97">
                  <c:v>0.66285546333473699</c:v>
                </c:pt>
                <c:pt idx="98">
                  <c:v>0.66706977004305279</c:v>
                </c:pt>
                <c:pt idx="99">
                  <c:v>0.67123139791751463</c:v>
                </c:pt>
                <c:pt idx="100">
                  <c:v>0.67534100544354569</c:v>
                </c:pt>
                <c:pt idx="101">
                  <c:v>0.67939924287550135</c:v>
                </c:pt>
                <c:pt idx="102">
                  <c:v>0.68340675233955761</c:v>
                </c:pt>
                <c:pt idx="103">
                  <c:v>0.68736416793531319</c:v>
                </c:pt>
                <c:pt idx="104">
                  <c:v>0.6912721158361218</c:v>
                </c:pt>
              </c:numCache>
            </c:numRef>
          </c:yVal>
          <c:smooth val="0"/>
          <c:extLst>
            <c:ext xmlns:c16="http://schemas.microsoft.com/office/drawing/2014/chart" uri="{C3380CC4-5D6E-409C-BE32-E72D297353CC}">
              <c16:uniqueId val="{00000001-CAE3-45AC-BD7D-7619C01C227E}"/>
            </c:ext>
          </c:extLst>
        </c:ser>
        <c:ser>
          <c:idx val="2"/>
          <c:order val="2"/>
          <c:tx>
            <c:strRef>
              <c:f>Model!$A$14</c:f>
              <c:strCache>
                <c:ptCount val="1"/>
                <c:pt idx="0">
                  <c:v>SDG12</c:v>
                </c:pt>
              </c:strCache>
            </c:strRef>
          </c:tx>
          <c:spPr>
            <a:ln w="12700">
              <a:solidFill>
                <a:srgbClr val="BF8B2E"/>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Model!$B$14:$DB$14</c:f>
              <c:numCache>
                <c:formatCode>General</c:formatCode>
                <c:ptCount val="105"/>
                <c:pt idx="0">
                  <c:v>0.81556205749511723</c:v>
                </c:pt>
                <c:pt idx="1">
                  <c:v>0.81786753177642824</c:v>
                </c:pt>
                <c:pt idx="2">
                  <c:v>0.81786497194736496</c:v>
                </c:pt>
                <c:pt idx="3">
                  <c:v>0.81773062520253681</c:v>
                </c:pt>
                <c:pt idx="4">
                  <c:v>0.81747560021952193</c:v>
                </c:pt>
                <c:pt idx="5">
                  <c:v>0.81710993022456302</c:v>
                </c:pt>
                <c:pt idx="6">
                  <c:v>0.81664268791901584</c:v>
                </c:pt>
                <c:pt idx="7">
                  <c:v>0.81608208564203288</c:v>
                </c:pt>
                <c:pt idx="8">
                  <c:v>0.81543556303575215</c:v>
                </c:pt>
                <c:pt idx="9">
                  <c:v>0.81774261849780527</c:v>
                </c:pt>
                <c:pt idx="10">
                  <c:v>0.82002083576658269</c:v>
                </c:pt>
                <c:pt idx="11">
                  <c:v>0.82227057531950043</c:v>
                </c:pt>
                <c:pt idx="12">
                  <c:v>0.8244921931280067</c:v>
                </c:pt>
                <c:pt idx="13">
                  <c:v>0.82668604071390661</c:v>
                </c:pt>
                <c:pt idx="14">
                  <c:v>0.82885246520498279</c:v>
                </c:pt>
                <c:pt idx="15">
                  <c:v>0.83099180938992045</c:v>
                </c:pt>
                <c:pt idx="16">
                  <c:v>0.83310441177254646</c:v>
                </c:pt>
                <c:pt idx="17">
                  <c:v>0.83519060662538958</c:v>
                </c:pt>
                <c:pt idx="18">
                  <c:v>0.83725072404257217</c:v>
                </c:pt>
                <c:pt idx="19">
                  <c:v>0.83928508999203999</c:v>
                </c:pt>
                <c:pt idx="20">
                  <c:v>0.84129402636713946</c:v>
                </c:pt>
                <c:pt idx="21">
                  <c:v>0.84327785103755026</c:v>
                </c:pt>
                <c:pt idx="22">
                  <c:v>0.84523687789958091</c:v>
                </c:pt>
                <c:pt idx="23">
                  <c:v>0.8471714169258362</c:v>
                </c:pt>
                <c:pt idx="24">
                  <c:v>0.84908177421426323</c:v>
                </c:pt>
                <c:pt idx="25">
                  <c:v>0.85096825203658499</c:v>
                </c:pt>
                <c:pt idx="26">
                  <c:v>0.85283114888612765</c:v>
                </c:pt>
                <c:pt idx="27">
                  <c:v>0.854670759525051</c:v>
                </c:pt>
                <c:pt idx="28">
                  <c:v>0.85648737503098782</c:v>
                </c:pt>
                <c:pt idx="29">
                  <c:v>0.85828128284310046</c:v>
                </c:pt>
                <c:pt idx="30">
                  <c:v>0.86005276680756171</c:v>
                </c:pt>
                <c:pt idx="31">
                  <c:v>0.8618021072224672</c:v>
                </c:pt>
                <c:pt idx="32">
                  <c:v>0.86352958088218634</c:v>
                </c:pt>
                <c:pt idx="33">
                  <c:v>0.85845627863506924</c:v>
                </c:pt>
                <c:pt idx="34">
                  <c:v>0.85349363220629637</c:v>
                </c:pt>
                <c:pt idx="35">
                  <c:v>0.84863982139122485</c:v>
                </c:pt>
                <c:pt idx="36">
                  <c:v>0.84389299167446374</c:v>
                </c:pt>
                <c:pt idx="37">
                  <c:v>0.83925125654096977</c:v>
                </c:pt>
                <c:pt idx="38">
                  <c:v>0.83471269977120421</c:v>
                </c:pt>
                <c:pt idx="39">
                  <c:v>0.83027537772034377</c:v>
                </c:pt>
                <c:pt idx="40">
                  <c:v>0.82593732158082056</c:v>
                </c:pt>
                <c:pt idx="41">
                  <c:v>0.82777997419265492</c:v>
                </c:pt>
                <c:pt idx="42">
                  <c:v>0.82928349863436579</c:v>
                </c:pt>
                <c:pt idx="43">
                  <c:v>0.83046656661832396</c:v>
                </c:pt>
                <c:pt idx="44">
                  <c:v>0.83134663557178246</c:v>
                </c:pt>
                <c:pt idx="45">
                  <c:v>0.83194004870415117</c:v>
                </c:pt>
                <c:pt idx="46">
                  <c:v>0.8322621250218909</c:v>
                </c:pt>
                <c:pt idx="47">
                  <c:v>0.83232724048215445</c:v>
                </c:pt>
                <c:pt idx="48">
                  <c:v>0.83214890131380048</c:v>
                </c:pt>
                <c:pt idx="49">
                  <c:v>0.82235967094760942</c:v>
                </c:pt>
                <c:pt idx="50">
                  <c:v>0.81266436702315392</c:v>
                </c:pt>
                <c:pt idx="51">
                  <c:v>0.80306322668407992</c:v>
                </c:pt>
                <c:pt idx="52">
                  <c:v>0.79355637340988328</c:v>
                </c:pt>
                <c:pt idx="53">
                  <c:v>0.78414383153054334</c:v>
                </c:pt>
                <c:pt idx="54">
                  <c:v>0.77482553872609905</c:v>
                </c:pt>
                <c:pt idx="55">
                  <c:v>0.76560135682761843</c:v>
                </c:pt>
                <c:pt idx="56">
                  <c:v>0.75647108117955864</c:v>
                </c:pt>
                <c:pt idx="57">
                  <c:v>0.74743444877835408</c:v>
                </c:pt>
                <c:pt idx="58">
                  <c:v>0.73849114536570826</c:v>
                </c:pt>
                <c:pt idx="59">
                  <c:v>0.72964081162562544</c:v>
                </c:pt>
                <c:pt idx="60">
                  <c:v>0.72088304861023211</c:v>
                </c:pt>
                <c:pt idx="61">
                  <c:v>0.71221742464271864</c:v>
                </c:pt>
                <c:pt idx="62">
                  <c:v>0.70364348353591366</c:v>
                </c:pt>
                <c:pt idx="63">
                  <c:v>0.69516074730005761</c:v>
                </c:pt>
                <c:pt idx="64">
                  <c:v>0.68676871848280086</c:v>
                </c:pt>
                <c:pt idx="65">
                  <c:v>0.67846700164505203</c:v>
                </c:pt>
                <c:pt idx="66">
                  <c:v>0.67025531706272257</c:v>
                </c:pt>
                <c:pt idx="67">
                  <c:v>0.66213333148782705</c:v>
                </c:pt>
                <c:pt idx="68">
                  <c:v>0.65410066095959307</c:v>
                </c:pt>
                <c:pt idx="69">
                  <c:v>0.64615687566024194</c:v>
                </c:pt>
                <c:pt idx="70">
                  <c:v>0.6383015044292033</c:v>
                </c:pt>
                <c:pt idx="71">
                  <c:v>0.63053403922374851</c:v>
                </c:pt>
                <c:pt idx="72">
                  <c:v>0.62285399175406542</c:v>
                </c:pt>
                <c:pt idx="73">
                  <c:v>0.61526086064228946</c:v>
                </c:pt>
                <c:pt idx="74">
                  <c:v>0.60775410601517332</c:v>
                </c:pt>
                <c:pt idx="75">
                  <c:v>0.60033315403881482</c:v>
                </c:pt>
                <c:pt idx="76">
                  <c:v>0.59299740096830167</c:v>
                </c:pt>
                <c:pt idx="77">
                  <c:v>0.58574621677008021</c:v>
                </c:pt>
                <c:pt idx="78">
                  <c:v>0.5785789483671151</c:v>
                </c:pt>
                <c:pt idx="79">
                  <c:v>0.5714949225503182</c:v>
                </c:pt>
                <c:pt idx="80">
                  <c:v>0.56449344859409767</c:v>
                </c:pt>
                <c:pt idx="81">
                  <c:v>0.55757382060906002</c:v>
                </c:pt>
                <c:pt idx="82">
                  <c:v>0.55073531966075928</c:v>
                </c:pt>
                <c:pt idx="83">
                  <c:v>0.54397721567982515</c:v>
                </c:pt>
                <c:pt idx="84">
                  <c:v>0.53729876918572805</c:v>
                </c:pt>
                <c:pt idx="85">
                  <c:v>0.53069923284377718</c:v>
                </c:pt>
                <c:pt idx="86">
                  <c:v>0.52417785287264229</c:v>
                </c:pt>
                <c:pt idx="87">
                  <c:v>0.51773387031768237</c:v>
                </c:pt>
                <c:pt idx="88">
                  <c:v>0.51136652220361911</c:v>
                </c:pt>
                <c:pt idx="89">
                  <c:v>0.50507504257856728</c:v>
                </c:pt>
                <c:pt idx="90">
                  <c:v>0.49885866346009816</c:v>
                </c:pt>
                <c:pt idx="91">
                  <c:v>0.49271661569284614</c:v>
                </c:pt>
                <c:pt idx="92">
                  <c:v>0.48664813998404627</c:v>
                </c:pt>
                <c:pt idx="93">
                  <c:v>0.48065247944045641</c:v>
                </c:pt>
                <c:pt idx="94">
                  <c:v>0.47472887615678377</c:v>
                </c:pt>
                <c:pt idx="95">
                  <c:v>0.46887657203177618</c:v>
                </c:pt>
                <c:pt idx="96">
                  <c:v>0.46309480950303672</c:v>
                </c:pt>
                <c:pt idx="97">
                  <c:v>0.45738283220866793</c:v>
                </c:pt>
                <c:pt idx="98">
                  <c:v>0.45173988558296752</c:v>
                </c:pt>
                <c:pt idx="99">
                  <c:v>0.44616521739261567</c:v>
                </c:pt>
                <c:pt idx="100">
                  <c:v>0.44065807945812507</c:v>
                </c:pt>
                <c:pt idx="101">
                  <c:v>0.43521772776784656</c:v>
                </c:pt>
                <c:pt idx="102">
                  <c:v>0.42984342175349755</c:v>
                </c:pt>
                <c:pt idx="103">
                  <c:v>0.42453442465517111</c:v>
                </c:pt>
                <c:pt idx="104">
                  <c:v>0.41929000384905724</c:v>
                </c:pt>
              </c:numCache>
            </c:numRef>
          </c:yVal>
          <c:smooth val="0"/>
          <c:extLst>
            <c:ext xmlns:c16="http://schemas.microsoft.com/office/drawing/2014/chart" uri="{C3380CC4-5D6E-409C-BE32-E72D297353CC}">
              <c16:uniqueId val="{00000002-CAE3-45AC-BD7D-7619C01C227E}"/>
            </c:ext>
          </c:extLst>
        </c:ser>
        <c:ser>
          <c:idx val="3"/>
          <c:order val="3"/>
          <c:tx>
            <c:strRef>
              <c:f>Model!$A$15</c:f>
              <c:strCache>
                <c:ptCount val="1"/>
                <c:pt idx="0">
                  <c:v>SDG13</c:v>
                </c:pt>
              </c:strCache>
            </c:strRef>
          </c:tx>
          <c:spPr>
            <a:ln w="12700">
              <a:solidFill>
                <a:srgbClr val="3F7E44"/>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Model!$B$15:$DB$15</c:f>
              <c:numCache>
                <c:formatCode>General</c:formatCode>
                <c:ptCount val="105"/>
                <c:pt idx="0">
                  <c:v>0.74665122985839849</c:v>
                </c:pt>
                <c:pt idx="1">
                  <c:v>0.74906084918975835</c:v>
                </c:pt>
                <c:pt idx="2">
                  <c:v>0.75219758857488639</c:v>
                </c:pt>
                <c:pt idx="3">
                  <c:v>0.75529511871770028</c:v>
                </c:pt>
                <c:pt idx="4">
                  <c:v>0.75835392973372906</c:v>
                </c:pt>
                <c:pt idx="5">
                  <c:v>0.76137450561205744</c:v>
                </c:pt>
                <c:pt idx="6">
                  <c:v>0.76435732429190673</c:v>
                </c:pt>
                <c:pt idx="7">
                  <c:v>0.7673028577382579</c:v>
                </c:pt>
                <c:pt idx="8">
                  <c:v>0.77021157201652968</c:v>
                </c:pt>
                <c:pt idx="9">
                  <c:v>0.77308392736632303</c:v>
                </c:pt>
                <c:pt idx="10">
                  <c:v>0.77592037827424398</c:v>
                </c:pt>
                <c:pt idx="11">
                  <c:v>0.77872137354581594</c:v>
                </c:pt>
                <c:pt idx="12">
                  <c:v>0.78148735637649325</c:v>
                </c:pt>
                <c:pt idx="13">
                  <c:v>0.78421876442178706</c:v>
                </c:pt>
                <c:pt idx="14">
                  <c:v>0.78691602986651477</c:v>
                </c:pt>
                <c:pt idx="15">
                  <c:v>0.78957957949318336</c:v>
                </c:pt>
                <c:pt idx="16">
                  <c:v>0.79220983474951856</c:v>
                </c:pt>
                <c:pt idx="17">
                  <c:v>0.79480721181514957</c:v>
                </c:pt>
                <c:pt idx="18">
                  <c:v>0.79737212166746019</c:v>
                </c:pt>
                <c:pt idx="19">
                  <c:v>0.79990497014661699</c:v>
                </c:pt>
                <c:pt idx="20">
                  <c:v>0.80240615801978432</c:v>
                </c:pt>
                <c:pt idx="21">
                  <c:v>0.80487608104453701</c:v>
                </c:pt>
                <c:pt idx="22">
                  <c:v>0.80731513003148025</c:v>
                </c:pt>
                <c:pt idx="23">
                  <c:v>0.80972369090608676</c:v>
                </c:pt>
                <c:pt idx="24">
                  <c:v>0.81210214476976073</c:v>
                </c:pt>
                <c:pt idx="25">
                  <c:v>0.81445086796013877</c:v>
                </c:pt>
                <c:pt idx="26">
                  <c:v>0.81677023211063704</c:v>
                </c:pt>
                <c:pt idx="27">
                  <c:v>0.81906060420925408</c:v>
                </c:pt>
                <c:pt idx="28">
                  <c:v>0.82132234665663839</c:v>
                </c:pt>
                <c:pt idx="29">
                  <c:v>0.82355581732343042</c:v>
                </c:pt>
                <c:pt idx="30">
                  <c:v>0.82576136960688751</c:v>
                </c:pt>
                <c:pt idx="31">
                  <c:v>0.82793935248680139</c:v>
                </c:pt>
                <c:pt idx="32">
                  <c:v>0.83009011058071636</c:v>
                </c:pt>
                <c:pt idx="33">
                  <c:v>0.82978882472769599</c:v>
                </c:pt>
                <c:pt idx="34">
                  <c:v>0.82948203369588824</c:v>
                </c:pt>
                <c:pt idx="35">
                  <c:v>0.82916992219067742</c:v>
                </c:pt>
                <c:pt idx="36">
                  <c:v>0.82885267115999728</c:v>
                </c:pt>
                <c:pt idx="37">
                  <c:v>0.82853045785940715</c:v>
                </c:pt>
                <c:pt idx="38">
                  <c:v>0.82820345591612843</c:v>
                </c:pt>
                <c:pt idx="39">
                  <c:v>0.82787183539205655</c:v>
                </c:pt>
                <c:pt idx="40">
                  <c:v>0.82753576284576491</c:v>
                </c:pt>
                <c:pt idx="41">
                  <c:v>0.82969156581019288</c:v>
                </c:pt>
                <c:pt idx="42">
                  <c:v>0.8318204212375655</c:v>
                </c:pt>
                <c:pt idx="43">
                  <c:v>0.83392266597209597</c:v>
                </c:pt>
                <c:pt idx="44">
                  <c:v>0.83599863264744478</c:v>
                </c:pt>
                <c:pt idx="45">
                  <c:v>0.83804864973935167</c:v>
                </c:pt>
                <c:pt idx="46">
                  <c:v>0.84007304161760976</c:v>
                </c:pt>
                <c:pt idx="47">
                  <c:v>0.84207212859738967</c:v>
                </c:pt>
                <c:pt idx="48">
                  <c:v>0.84404622698992227</c:v>
                </c:pt>
                <c:pt idx="49">
                  <c:v>0.84599564915254821</c:v>
                </c:pt>
                <c:pt idx="50">
                  <c:v>0.84792070353814131</c:v>
                </c:pt>
                <c:pt idx="51">
                  <c:v>0.84982169474391456</c:v>
                </c:pt>
                <c:pt idx="52">
                  <c:v>0.85169892355961563</c:v>
                </c:pt>
                <c:pt idx="53">
                  <c:v>0.85355268701512044</c:v>
                </c:pt>
                <c:pt idx="54">
                  <c:v>0.85538327842743145</c:v>
                </c:pt>
                <c:pt idx="55">
                  <c:v>0.85719098744708855</c:v>
                </c:pt>
                <c:pt idx="56">
                  <c:v>0.85897610010399994</c:v>
                </c:pt>
                <c:pt idx="57">
                  <c:v>0.86073889885269994</c:v>
                </c:pt>
                <c:pt idx="58">
                  <c:v>0.86247966261704123</c:v>
                </c:pt>
                <c:pt idx="59">
                  <c:v>0.86419866683432822</c:v>
                </c:pt>
                <c:pt idx="60">
                  <c:v>0.86589618349889907</c:v>
                </c:pt>
                <c:pt idx="61">
                  <c:v>0.86757248120516284</c:v>
                </c:pt>
                <c:pt idx="62">
                  <c:v>0.86922782519009834</c:v>
                </c:pt>
                <c:pt idx="63">
                  <c:v>0.87086247737522215</c:v>
                </c:pt>
                <c:pt idx="64">
                  <c:v>0.87247669640803183</c:v>
                </c:pt>
                <c:pt idx="65">
                  <c:v>0.87407073770293142</c:v>
                </c:pt>
                <c:pt idx="66">
                  <c:v>0.87564485348164478</c:v>
                </c:pt>
                <c:pt idx="67">
                  <c:v>0.87713713709055829</c:v>
                </c:pt>
                <c:pt idx="68">
                  <c:v>0.87849506540360034</c:v>
                </c:pt>
                <c:pt idx="69">
                  <c:v>0.87972176413385383</c:v>
                </c:pt>
                <c:pt idx="70">
                  <c:v>0.88082030184458959</c:v>
                </c:pt>
                <c:pt idx="71">
                  <c:v>0.8817936908896189</c:v>
                </c:pt>
                <c:pt idx="72">
                  <c:v>0.88264488833906718</c:v>
                </c:pt>
                <c:pt idx="73">
                  <c:v>0.88337679689078563</c:v>
                </c:pt>
                <c:pt idx="74">
                  <c:v>0.88399226576761614</c:v>
                </c:pt>
                <c:pt idx="75">
                  <c:v>0.88449409160071957</c:v>
                </c:pt>
                <c:pt idx="76">
                  <c:v>0.88488501929917718</c:v>
                </c:pt>
                <c:pt idx="77">
                  <c:v>0.88516774290606859</c:v>
                </c:pt>
                <c:pt idx="78">
                  <c:v>0.8853449064412301</c:v>
                </c:pt>
                <c:pt idx="79">
                  <c:v>0.88541910473089147</c:v>
                </c:pt>
                <c:pt idx="80">
                  <c:v>0.88539288422438778</c:v>
                </c:pt>
                <c:pt idx="81">
                  <c:v>0.88526874379814036</c:v>
                </c:pt>
                <c:pt idx="82">
                  <c:v>0.88504913554709697</c:v>
                </c:pt>
                <c:pt idx="83">
                  <c:v>0.88473646556381913</c:v>
                </c:pt>
                <c:pt idx="84">
                  <c:v>0.88433309470540189</c:v>
                </c:pt>
                <c:pt idx="85">
                  <c:v>0.88384133934840858</c:v>
                </c:pt>
                <c:pt idx="86">
                  <c:v>0.8832634721320004</c:v>
                </c:pt>
                <c:pt idx="87">
                  <c:v>0.88260172268943715</c:v>
                </c:pt>
                <c:pt idx="88">
                  <c:v>0.88185827836812525</c:v>
                </c:pt>
                <c:pt idx="89">
                  <c:v>0.88103528493838379</c:v>
                </c:pt>
                <c:pt idx="90">
                  <c:v>0.88013484729109881</c:v>
                </c:pt>
                <c:pt idx="91">
                  <c:v>0.87915903012443219</c:v>
                </c:pt>
                <c:pt idx="92">
                  <c:v>0.87810985861975088</c:v>
                </c:pt>
                <c:pt idx="93">
                  <c:v>0.87698931910693756</c:v>
                </c:pt>
                <c:pt idx="94">
                  <c:v>0.87579935971924316</c:v>
                </c:pt>
                <c:pt idx="95">
                  <c:v>0.87454189103783864</c:v>
                </c:pt>
                <c:pt idx="96">
                  <c:v>0.873218786726221</c:v>
                </c:pt>
                <c:pt idx="97">
                  <c:v>0.87183188415462698</c:v>
                </c:pt>
                <c:pt idx="98">
                  <c:v>0.87038298501460476</c:v>
                </c:pt>
                <c:pt idx="99">
                  <c:v>0.86887385592389188</c:v>
                </c:pt>
                <c:pt idx="100">
                  <c:v>0.86730622902174614</c:v>
                </c:pt>
                <c:pt idx="101">
                  <c:v>0.86568180255487392</c:v>
                </c:pt>
                <c:pt idx="102">
                  <c:v>0.86400224145409676</c:v>
                </c:pt>
                <c:pt idx="103">
                  <c:v>0.86226917790189772</c:v>
                </c:pt>
                <c:pt idx="104">
                  <c:v>0.86048421189098434</c:v>
                </c:pt>
              </c:numCache>
            </c:numRef>
          </c:yVal>
          <c:smooth val="0"/>
          <c:extLst>
            <c:ext xmlns:c16="http://schemas.microsoft.com/office/drawing/2014/chart" uri="{C3380CC4-5D6E-409C-BE32-E72D297353CC}">
              <c16:uniqueId val="{00000003-CAE3-45AC-BD7D-7619C01C227E}"/>
            </c:ext>
          </c:extLst>
        </c:ser>
        <c:ser>
          <c:idx val="4"/>
          <c:order val="4"/>
          <c:tx>
            <c:strRef>
              <c:f>Model!$A$16</c:f>
              <c:strCache>
                <c:ptCount val="1"/>
                <c:pt idx="0">
                  <c:v>SDG14</c:v>
                </c:pt>
              </c:strCache>
            </c:strRef>
          </c:tx>
          <c:spPr>
            <a:ln w="12700">
              <a:solidFill>
                <a:srgbClr val="0A97D9"/>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Model!$B$16:$DB$16</c:f>
              <c:numCache>
                <c:formatCode>General</c:formatCode>
                <c:ptCount val="105"/>
                <c:pt idx="0">
                  <c:v>0.42901557922363281</c:v>
                </c:pt>
                <c:pt idx="1">
                  <c:v>0.43615288448333739</c:v>
                </c:pt>
                <c:pt idx="2">
                  <c:v>0.4432009734272957</c:v>
                </c:pt>
                <c:pt idx="3">
                  <c:v>0.45016096125945448</c:v>
                </c:pt>
                <c:pt idx="4">
                  <c:v>0.45703394924371132</c:v>
                </c:pt>
                <c:pt idx="5">
                  <c:v>0.46382102487816496</c:v>
                </c:pt>
                <c:pt idx="6">
                  <c:v>0.47052326206718792</c:v>
                </c:pt>
                <c:pt idx="7">
                  <c:v>0.47714172129134808</c:v>
                </c:pt>
                <c:pt idx="8">
                  <c:v>0.48367744977520621</c:v>
                </c:pt>
                <c:pt idx="9">
                  <c:v>0.48742875931602192</c:v>
                </c:pt>
                <c:pt idx="10">
                  <c:v>0.4911331774875774</c:v>
                </c:pt>
                <c:pt idx="11">
                  <c:v>0.49479129043198844</c:v>
                </c:pt>
                <c:pt idx="12">
                  <c:v>0.49840367696459437</c:v>
                </c:pt>
                <c:pt idx="13">
                  <c:v>0.50197090866554273</c:v>
                </c:pt>
                <c:pt idx="14">
                  <c:v>0.50549354997022922</c:v>
                </c:pt>
                <c:pt idx="15">
                  <c:v>0.50897215825860709</c:v>
                </c:pt>
                <c:pt idx="16">
                  <c:v>0.51240728394338031</c:v>
                </c:pt>
                <c:pt idx="17">
                  <c:v>0.51850219289408805</c:v>
                </c:pt>
                <c:pt idx="18">
                  <c:v>0.52452091548291191</c:v>
                </c:pt>
                <c:pt idx="19">
                  <c:v>0.53046440403937556</c:v>
                </c:pt>
                <c:pt idx="20">
                  <c:v>0.53633359898888333</c:v>
                </c:pt>
                <c:pt idx="21">
                  <c:v>0.54212942900152228</c:v>
                </c:pt>
                <c:pt idx="22">
                  <c:v>0.5478528111390033</c:v>
                </c:pt>
                <c:pt idx="23">
                  <c:v>0.55350465099976576</c:v>
                </c:pt>
                <c:pt idx="24">
                  <c:v>0.5590858428622687</c:v>
                </c:pt>
                <c:pt idx="25">
                  <c:v>0.56459726982649039</c:v>
                </c:pt>
                <c:pt idx="26">
                  <c:v>0.57003980395365927</c:v>
                </c:pt>
                <c:pt idx="27">
                  <c:v>0.57541430640423852</c:v>
                </c:pt>
                <c:pt idx="28">
                  <c:v>0.58072162757418555</c:v>
                </c:pt>
                <c:pt idx="29">
                  <c:v>0.58596260722950821</c:v>
                </c:pt>
                <c:pt idx="30">
                  <c:v>0.59113807463913937</c:v>
                </c:pt>
                <c:pt idx="31">
                  <c:v>0.59624884870615014</c:v>
                </c:pt>
                <c:pt idx="32">
                  <c:v>0.60129573809732328</c:v>
                </c:pt>
                <c:pt idx="33">
                  <c:v>0.59914223611140216</c:v>
                </c:pt>
                <c:pt idx="34">
                  <c:v>0.597015652900305</c:v>
                </c:pt>
                <c:pt idx="35">
                  <c:v>0.59491565197934659</c:v>
                </c:pt>
                <c:pt idx="36">
                  <c:v>0.5928419010699002</c:v>
                </c:pt>
                <c:pt idx="37">
                  <c:v>0.59079407204682188</c:v>
                </c:pt>
                <c:pt idx="38">
                  <c:v>0.58877184088653201</c:v>
                </c:pt>
                <c:pt idx="39">
                  <c:v>0.58677488761574581</c:v>
                </c:pt>
                <c:pt idx="40">
                  <c:v>0.58480289626084436</c:v>
                </c:pt>
                <c:pt idx="41">
                  <c:v>0.58821824953817459</c:v>
                </c:pt>
                <c:pt idx="42">
                  <c:v>0.59159091089953819</c:v>
                </c:pt>
                <c:pt idx="43">
                  <c:v>0.59492141399388476</c:v>
                </c:pt>
                <c:pt idx="44">
                  <c:v>0.59821028579955204</c:v>
                </c:pt>
                <c:pt idx="45">
                  <c:v>0.60145804670764846</c:v>
                </c:pt>
                <c:pt idx="46">
                  <c:v>0.60466521060439371</c:v>
                </c:pt>
                <c:pt idx="47">
                  <c:v>0.60783228495242958</c:v>
                </c:pt>
                <c:pt idx="48">
                  <c:v>0.61095977087111508</c:v>
                </c:pt>
                <c:pt idx="49">
                  <c:v>0.61582276002215608</c:v>
                </c:pt>
                <c:pt idx="50">
                  <c:v>0.62062496180880911</c:v>
                </c:pt>
                <c:pt idx="51">
                  <c:v>0.62536713607312899</c:v>
                </c:pt>
                <c:pt idx="52">
                  <c:v>0.63005003315914487</c:v>
                </c:pt>
                <c:pt idx="53">
                  <c:v>0.63467439403158554</c:v>
                </c:pt>
                <c:pt idx="54">
                  <c:v>0.63924095039312068</c:v>
                </c:pt>
                <c:pt idx="55">
                  <c:v>0.64375042480013667</c:v>
                </c:pt>
                <c:pt idx="56">
                  <c:v>0.64820353077706494</c:v>
                </c:pt>
                <c:pt idx="57">
                  <c:v>0.65260097292928154</c:v>
                </c:pt>
                <c:pt idx="58">
                  <c:v>0.65694344705459551</c:v>
                </c:pt>
                <c:pt idx="59">
                  <c:v>0.66123164025334302</c:v>
                </c:pt>
                <c:pt idx="60">
                  <c:v>0.66546623103710623</c:v>
                </c:pt>
                <c:pt idx="61">
                  <c:v>0.66964788943607234</c:v>
                </c:pt>
                <c:pt idx="62">
                  <c:v>0.67377727710505142</c:v>
                </c:pt>
                <c:pt idx="63">
                  <c:v>0.67785504742816827</c:v>
                </c:pt>
                <c:pt idx="64">
                  <c:v>0.68188184562224607</c:v>
                </c:pt>
                <c:pt idx="65">
                  <c:v>0.68585830883889798</c:v>
                </c:pt>
                <c:pt idx="66">
                  <c:v>0.68978506626534175</c:v>
                </c:pt>
                <c:pt idx="67">
                  <c:v>0.69366273922395494</c:v>
                </c:pt>
                <c:pt idx="68">
                  <c:v>0.69749194127058545</c:v>
                </c:pt>
                <c:pt idx="69">
                  <c:v>0.70127327829163311</c:v>
                </c:pt>
                <c:pt idx="70">
                  <c:v>0.70500734859991765</c:v>
                </c:pt>
                <c:pt idx="71">
                  <c:v>0.70869474302934865</c:v>
                </c:pt>
                <c:pt idx="72">
                  <c:v>0.71233604502841175</c:v>
                </c:pt>
                <c:pt idx="73">
                  <c:v>0.71593183075248656</c:v>
                </c:pt>
                <c:pt idx="74">
                  <c:v>0.71948266915501047</c:v>
                </c:pt>
                <c:pt idx="75">
                  <c:v>0.72298912207750277</c:v>
                </c:pt>
                <c:pt idx="76">
                  <c:v>0.72645174433846393</c:v>
                </c:pt>
                <c:pt idx="77">
                  <c:v>0.72987108382116306</c:v>
                </c:pt>
                <c:pt idx="78">
                  <c:v>0.73324768156032849</c:v>
                </c:pt>
                <c:pt idx="79">
                  <c:v>0.73658207182775437</c:v>
                </c:pt>
                <c:pt idx="80">
                  <c:v>0.73987478221683745</c:v>
                </c:pt>
                <c:pt idx="81">
                  <c:v>0.74312633372605696</c:v>
                </c:pt>
                <c:pt idx="82">
                  <c:v>0.74633724084141118</c:v>
                </c:pt>
                <c:pt idx="83">
                  <c:v>0.74950801161782354</c:v>
                </c:pt>
                <c:pt idx="84">
                  <c:v>0.75263914775953067</c:v>
                </c:pt>
                <c:pt idx="85">
                  <c:v>0.75573114469946645</c:v>
                </c:pt>
                <c:pt idx="86">
                  <c:v>0.75878449167765305</c:v>
                </c:pt>
                <c:pt idx="87">
                  <c:v>0.7617996718186123</c:v>
                </c:pt>
                <c:pt idx="88">
                  <c:v>0.76477716220780956</c:v>
                </c:pt>
                <c:pt idx="89">
                  <c:v>0.76771743396714187</c:v>
                </c:pt>
                <c:pt idx="90">
                  <c:v>0.77062095232948258</c:v>
                </c:pt>
                <c:pt idx="91">
                  <c:v>0.77348817671229397</c:v>
                </c:pt>
                <c:pt idx="92">
                  <c:v>0.77631956079032027</c:v>
                </c:pt>
                <c:pt idx="93">
                  <c:v>0.77911555256737119</c:v>
                </c:pt>
                <c:pt idx="94">
                  <c:v>0.78187659444720903</c:v>
                </c:pt>
                <c:pt idx="95">
                  <c:v>0.78460312330354887</c:v>
                </c:pt>
                <c:pt idx="96">
                  <c:v>0.78729557054918442</c:v>
                </c:pt>
                <c:pt idx="97">
                  <c:v>0.78995436220424953</c:v>
                </c:pt>
                <c:pt idx="98">
                  <c:v>0.79257991896362634</c:v>
                </c:pt>
                <c:pt idx="99">
                  <c:v>0.79517265626351097</c:v>
                </c:pt>
                <c:pt idx="100">
                  <c:v>0.79773298434714701</c:v>
                </c:pt>
                <c:pt idx="101">
                  <c:v>0.80026130832973763</c:v>
                </c:pt>
                <c:pt idx="102">
                  <c:v>0.80275802826254583</c:v>
                </c:pt>
                <c:pt idx="103">
                  <c:v>0.80522353919619394</c:v>
                </c:pt>
                <c:pt idx="104">
                  <c:v>0.80765823124317149</c:v>
                </c:pt>
              </c:numCache>
            </c:numRef>
          </c:yVal>
          <c:smooth val="0"/>
          <c:extLst>
            <c:ext xmlns:c16="http://schemas.microsoft.com/office/drawing/2014/chart" uri="{C3380CC4-5D6E-409C-BE32-E72D297353CC}">
              <c16:uniqueId val="{00000004-CAE3-45AC-BD7D-7619C01C227E}"/>
            </c:ext>
          </c:extLst>
        </c:ser>
        <c:ser>
          <c:idx val="5"/>
          <c:order val="5"/>
          <c:tx>
            <c:strRef>
              <c:f>Model!$A$17</c:f>
              <c:strCache>
                <c:ptCount val="1"/>
                <c:pt idx="0">
                  <c:v>SDG15</c:v>
                </c:pt>
              </c:strCache>
            </c:strRef>
          </c:tx>
          <c:spPr>
            <a:ln w="12700">
              <a:solidFill>
                <a:srgbClr val="56C02B"/>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Model!$B$17:$DB$17</c:f>
              <c:numCache>
                <c:formatCode>General</c:formatCode>
                <c:ptCount val="105"/>
                <c:pt idx="0">
                  <c:v>0.46971038818359373</c:v>
                </c:pt>
                <c:pt idx="1">
                  <c:v>0.46853029647049277</c:v>
                </c:pt>
                <c:pt idx="2">
                  <c:v>0.46736495590380561</c:v>
                </c:pt>
                <c:pt idx="3">
                  <c:v>0.46621418209420201</c:v>
                </c:pt>
                <c:pt idx="4">
                  <c:v>0.46507779295721846</c:v>
                </c:pt>
                <c:pt idx="5">
                  <c:v>0.46395560868444724</c:v>
                </c:pt>
                <c:pt idx="6">
                  <c:v>0.46284745171508562</c:v>
                </c:pt>
                <c:pt idx="7">
                  <c:v>0.46175314670784101</c:v>
                </c:pt>
                <c:pt idx="8">
                  <c:v>0.46067252051318697</c:v>
                </c:pt>
                <c:pt idx="9">
                  <c:v>0.46429669028516007</c:v>
                </c:pt>
                <c:pt idx="10">
                  <c:v>0.46787555793498353</c:v>
                </c:pt>
                <c:pt idx="11">
                  <c:v>0.47140968973918423</c:v>
                </c:pt>
                <c:pt idx="12">
                  <c:v>0.47489964489583242</c:v>
                </c:pt>
                <c:pt idx="13">
                  <c:v>0.4783459756130225</c:v>
                </c:pt>
                <c:pt idx="14">
                  <c:v>0.48174922719624769</c:v>
                </c:pt>
                <c:pt idx="15">
                  <c:v>0.48510993813468256</c:v>
                </c:pt>
                <c:pt idx="16">
                  <c:v>0.48842864018638699</c:v>
                </c:pt>
                <c:pt idx="17">
                  <c:v>0.49040577240518662</c:v>
                </c:pt>
                <c:pt idx="18">
                  <c:v>0.49235819047125123</c:v>
                </c:pt>
                <c:pt idx="19">
                  <c:v>0.49428620331149004</c:v>
                </c:pt>
                <c:pt idx="20">
                  <c:v>0.49619011599122587</c:v>
                </c:pt>
                <c:pt idx="21">
                  <c:v>0.49807022976246501</c:v>
                </c:pt>
                <c:pt idx="22">
                  <c:v>0.49992684211156363</c:v>
                </c:pt>
                <c:pt idx="23">
                  <c:v>0.50176024680629849</c:v>
                </c:pt>
                <c:pt idx="24">
                  <c:v>0.50357073394234919</c:v>
                </c:pt>
                <c:pt idx="25">
                  <c:v>0.50402346749865568</c:v>
                </c:pt>
                <c:pt idx="26">
                  <c:v>0.50447054188550833</c:v>
                </c:pt>
                <c:pt idx="27">
                  <c:v>0.50491202784252531</c:v>
                </c:pt>
                <c:pt idx="28">
                  <c:v>0.50534799522507967</c:v>
                </c:pt>
                <c:pt idx="29">
                  <c:v>0.50577851301535204</c:v>
                </c:pt>
                <c:pt idx="30">
                  <c:v>0.50620364933324602</c:v>
                </c:pt>
                <c:pt idx="31">
                  <c:v>0.50662347144716635</c:v>
                </c:pt>
                <c:pt idx="32">
                  <c:v>0.50703804578466261</c:v>
                </c:pt>
                <c:pt idx="33">
                  <c:v>0.50657145006464921</c:v>
                </c:pt>
                <c:pt idx="34">
                  <c:v>0.50611068679113602</c:v>
                </c:pt>
                <c:pt idx="35">
                  <c:v>0.50565568305854169</c:v>
                </c:pt>
                <c:pt idx="36">
                  <c:v>0.5052063668726049</c:v>
                </c:pt>
                <c:pt idx="37">
                  <c:v>0.5047626671389922</c:v>
                </c:pt>
                <c:pt idx="38">
                  <c:v>0.50432451365204978</c:v>
                </c:pt>
                <c:pt idx="39">
                  <c:v>0.50389183708369412</c:v>
                </c:pt>
                <c:pt idx="40">
                  <c:v>0.50346456897244285</c:v>
                </c:pt>
                <c:pt idx="41">
                  <c:v>0.49842126186028729</c:v>
                </c:pt>
                <c:pt idx="42">
                  <c:v>0.49344099608703368</c:v>
                </c:pt>
                <c:pt idx="43">
                  <c:v>0.48852298363594576</c:v>
                </c:pt>
                <c:pt idx="44">
                  <c:v>0.48366644634049644</c:v>
                </c:pt>
                <c:pt idx="45">
                  <c:v>0.47887061576124024</c:v>
                </c:pt>
                <c:pt idx="46">
                  <c:v>0.47413473306422471</c:v>
                </c:pt>
                <c:pt idx="47">
                  <c:v>0.46945804890092191</c:v>
                </c:pt>
                <c:pt idx="48">
                  <c:v>0.46483982328966039</c:v>
                </c:pt>
                <c:pt idx="49">
                  <c:v>0.46027932549853962</c:v>
                </c:pt>
                <c:pt idx="50">
                  <c:v>0.45577583392980786</c:v>
                </c:pt>
                <c:pt idx="51">
                  <c:v>0.45132863600568529</c:v>
                </c:pt>
                <c:pt idx="52">
                  <c:v>0.44693702805561425</c:v>
                </c:pt>
                <c:pt idx="53">
                  <c:v>0.44260031520491905</c:v>
                </c:pt>
                <c:pt idx="54">
                  <c:v>0.43831781126485758</c:v>
                </c:pt>
                <c:pt idx="55">
                  <c:v>0.43408883862404685</c:v>
                </c:pt>
                <c:pt idx="56">
                  <c:v>0.42991272814124626</c:v>
                </c:pt>
                <c:pt idx="57">
                  <c:v>0.42578881903948068</c:v>
                </c:pt>
                <c:pt idx="58">
                  <c:v>0.42171645880148717</c:v>
                </c:pt>
                <c:pt idx="59">
                  <c:v>0.41769500306646856</c:v>
                </c:pt>
                <c:pt idx="60">
                  <c:v>0.4137238155281377</c:v>
                </c:pt>
                <c:pt idx="61">
                  <c:v>0.40980226783403595</c:v>
                </c:pt>
                <c:pt idx="62">
                  <c:v>0.4059297394861105</c:v>
                </c:pt>
                <c:pt idx="63">
                  <c:v>0.40210561774253412</c:v>
                </c:pt>
                <c:pt idx="64">
                  <c:v>0.39832929752075241</c:v>
                </c:pt>
                <c:pt idx="65">
                  <c:v>0.39460018130174301</c:v>
                </c:pt>
                <c:pt idx="66">
                  <c:v>0.3909176790354712</c:v>
                </c:pt>
                <c:pt idx="67">
                  <c:v>0.3872812080475278</c:v>
                </c:pt>
                <c:pt idx="68">
                  <c:v>0.38369019294693368</c:v>
                </c:pt>
                <c:pt idx="69">
                  <c:v>0.380144065535097</c:v>
                </c:pt>
                <c:pt idx="70">
                  <c:v>0.37664226471590828</c:v>
                </c:pt>
                <c:pt idx="71">
                  <c:v>0.37318423640695941</c:v>
                </c:pt>
                <c:pt idx="72">
                  <c:v>0.36976943345187241</c:v>
                </c:pt>
                <c:pt idx="73">
                  <c:v>0.36639731553372401</c:v>
                </c:pt>
                <c:pt idx="74">
                  <c:v>0.36306734908955246</c:v>
                </c:pt>
                <c:pt idx="75">
                  <c:v>0.35977900722593303</c:v>
                </c:pt>
                <c:pt idx="76">
                  <c:v>0.3565317696356089</c:v>
                </c:pt>
                <c:pt idx="77">
                  <c:v>0.35332512251516379</c:v>
                </c:pt>
                <c:pt idx="78">
                  <c:v>0.35015855848372424</c:v>
                </c:pt>
                <c:pt idx="79">
                  <c:v>0.34703157650267769</c:v>
                </c:pt>
                <c:pt idx="80">
                  <c:v>0.34394368179639423</c:v>
                </c:pt>
                <c:pt idx="81">
                  <c:v>0.34089438577393932</c:v>
                </c:pt>
                <c:pt idx="82">
                  <c:v>0.33788320595176508</c:v>
                </c:pt>
                <c:pt idx="83">
                  <c:v>0.33490966587736803</c:v>
                </c:pt>
                <c:pt idx="84">
                  <c:v>0.33197329505390094</c:v>
                </c:pt>
                <c:pt idx="85">
                  <c:v>0.32907362886572716</c:v>
                </c:pt>
                <c:pt idx="86">
                  <c:v>0.32621020850490556</c:v>
                </c:pt>
                <c:pt idx="87">
                  <c:v>0.32338258089859423</c:v>
                </c:pt>
                <c:pt idx="88">
                  <c:v>0.32059029863736183</c:v>
                </c:pt>
                <c:pt idx="89">
                  <c:v>0.31783291990439483</c:v>
                </c:pt>
                <c:pt idx="90">
                  <c:v>0.31511000840558989</c:v>
                </c:pt>
                <c:pt idx="91">
                  <c:v>0.31242113330052002</c:v>
                </c:pt>
                <c:pt idx="92">
                  <c:v>0.30976586913426352</c:v>
                </c:pt>
                <c:pt idx="93">
                  <c:v>0.30714379577008522</c:v>
                </c:pt>
                <c:pt idx="94">
                  <c:v>0.30455449832295917</c:v>
                </c:pt>
                <c:pt idx="95">
                  <c:v>0.30199756709392217</c:v>
                </c:pt>
                <c:pt idx="96">
                  <c:v>0.29947259750524813</c:v>
                </c:pt>
                <c:pt idx="97">
                  <c:v>0.29697919003643253</c:v>
                </c:pt>
                <c:pt idx="98">
                  <c:v>0.29451695016097712</c:v>
                </c:pt>
                <c:pt idx="99">
                  <c:v>0.29208548828396491</c:v>
                </c:pt>
                <c:pt idx="100">
                  <c:v>0.28968441968041536</c:v>
                </c:pt>
                <c:pt idx="101">
                  <c:v>0.28731336443441019</c:v>
                </c:pt>
                <c:pt idx="102">
                  <c:v>0.28497194737898007</c:v>
                </c:pt>
                <c:pt idx="103">
                  <c:v>0.28265979803674285</c:v>
                </c:pt>
                <c:pt idx="104">
                  <c:v>0.28037655056128358</c:v>
                </c:pt>
              </c:numCache>
            </c:numRef>
          </c:yVal>
          <c:smooth val="0"/>
          <c:extLst>
            <c:ext xmlns:c16="http://schemas.microsoft.com/office/drawing/2014/chart" uri="{C3380CC4-5D6E-409C-BE32-E72D297353CC}">
              <c16:uniqueId val="{00000005-CAE3-45AC-BD7D-7619C01C227E}"/>
            </c:ext>
          </c:extLst>
        </c:ser>
        <c:ser>
          <c:idx val="6"/>
          <c:order val="6"/>
          <c:tx>
            <c:strRef>
              <c:f>Model!$A$18</c:f>
              <c:strCache>
                <c:ptCount val="1"/>
                <c:pt idx="0">
                  <c:v>SDG16</c:v>
                </c:pt>
              </c:strCache>
            </c:strRef>
          </c:tx>
          <c:spPr>
            <a:ln w="12700">
              <a:solidFill>
                <a:srgbClr val="00689D"/>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Model!$B$18:$DB$18</c:f>
              <c:numCache>
                <c:formatCode>General</c:formatCode>
                <c:ptCount val="105"/>
                <c:pt idx="0">
                  <c:v>0.69426445007324222</c:v>
                </c:pt>
                <c:pt idx="1">
                  <c:v>0.68617317626522023</c:v>
                </c:pt>
                <c:pt idx="2">
                  <c:v>0.69009601156190503</c:v>
                </c:pt>
                <c:pt idx="3">
                  <c:v>0.69396981141738123</c:v>
                </c:pt>
                <c:pt idx="4">
                  <c:v>0.69779518877466395</c:v>
                </c:pt>
                <c:pt idx="5">
                  <c:v>0.70157274891498067</c:v>
                </c:pt>
                <c:pt idx="6">
                  <c:v>0.70530308955354337</c:v>
                </c:pt>
                <c:pt idx="7">
                  <c:v>0.70898680093412403</c:v>
                </c:pt>
                <c:pt idx="8">
                  <c:v>0.71262446592244744</c:v>
                </c:pt>
                <c:pt idx="9">
                  <c:v>0.70542045342067539</c:v>
                </c:pt>
                <c:pt idx="10">
                  <c:v>0.69830188644465829</c:v>
                </c:pt>
                <c:pt idx="11">
                  <c:v>0.69126679262207791</c:v>
                </c:pt>
                <c:pt idx="12">
                  <c:v>0.68431327438386236</c:v>
                </c:pt>
                <c:pt idx="13">
                  <c:v>0.67743950577341572</c:v>
                </c:pt>
                <c:pt idx="14">
                  <c:v>0.67064372939354833</c:v>
                </c:pt>
                <c:pt idx="15">
                  <c:v>0.66392425348560302</c:v>
                </c:pt>
                <c:pt idx="16">
                  <c:v>0.65727944913552183</c:v>
                </c:pt>
                <c:pt idx="17">
                  <c:v>0.65133297564639236</c:v>
                </c:pt>
                <c:pt idx="18">
                  <c:v>0.64544863385742324</c:v>
                </c:pt>
                <c:pt idx="19">
                  <c:v>0.63962425124722344</c:v>
                </c:pt>
                <c:pt idx="20">
                  <c:v>0.63385777348947914</c:v>
                </c:pt>
                <c:pt idx="21">
                  <c:v>0.62814725812797501</c:v>
                </c:pt>
                <c:pt idx="22">
                  <c:v>0.62249086865052561</c:v>
                </c:pt>
                <c:pt idx="23">
                  <c:v>0.61688686893244349</c:v>
                </c:pt>
                <c:pt idx="24">
                  <c:v>0.61133361802235375</c:v>
                </c:pt>
                <c:pt idx="25">
                  <c:v>0.6079671826933023</c:v>
                </c:pt>
                <c:pt idx="26">
                  <c:v>0.60467274022476214</c:v>
                </c:pt>
                <c:pt idx="27">
                  <c:v>0.60144899872463409</c:v>
                </c:pt>
                <c:pt idx="28">
                  <c:v>0.59829470739659607</c:v>
                </c:pt>
                <c:pt idx="29">
                  <c:v>0.59520865225268005</c:v>
                </c:pt>
                <c:pt idx="30">
                  <c:v>0.59218965223780007</c:v>
                </c:pt>
                <c:pt idx="31">
                  <c:v>0.58923655573309264</c:v>
                </c:pt>
                <c:pt idx="32">
                  <c:v>0.58634823740729858</c:v>
                </c:pt>
                <c:pt idx="33">
                  <c:v>0.5879277603821812</c:v>
                </c:pt>
                <c:pt idx="34">
                  <c:v>0.5895320904989011</c:v>
                </c:pt>
                <c:pt idx="35">
                  <c:v>0.59116205050624882</c:v>
                </c:pt>
                <c:pt idx="36">
                  <c:v>0.59281848491309519</c:v>
                </c:pt>
                <c:pt idx="37">
                  <c:v>0.59450226017379715</c:v>
                </c:pt>
                <c:pt idx="38">
                  <c:v>0.59621426493537288</c:v>
                </c:pt>
                <c:pt idx="39">
                  <c:v>0.59795541034119937</c:v>
                </c:pt>
                <c:pt idx="40">
                  <c:v>0.59972663038721263</c:v>
                </c:pt>
                <c:pt idx="41">
                  <c:v>0.59356942687777059</c:v>
                </c:pt>
                <c:pt idx="42">
                  <c:v>0.58751034198986785</c:v>
                </c:pt>
                <c:pt idx="43">
                  <c:v>0.58154856390088483</c:v>
                </c:pt>
                <c:pt idx="44">
                  <c:v>0.57568329026147835</c:v>
                </c:pt>
                <c:pt idx="45">
                  <c:v>0.56991372831901355</c:v>
                </c:pt>
                <c:pt idx="46">
                  <c:v>0.56423909504588499</c:v>
                </c:pt>
                <c:pt idx="47">
                  <c:v>0.5586586172719209</c:v>
                </c:pt>
                <c:pt idx="48">
                  <c:v>0.55317153182015111</c:v>
                </c:pt>
                <c:pt idx="49">
                  <c:v>0.54777708564530958</c:v>
                </c:pt>
                <c:pt idx="50">
                  <c:v>0.54245547786911097</c:v>
                </c:pt>
                <c:pt idx="51">
                  <c:v>0.53720728870425505</c:v>
                </c:pt>
                <c:pt idx="52">
                  <c:v>0.53203316515339727</c:v>
                </c:pt>
                <c:pt idx="53">
                  <c:v>0.52693382836050739</c:v>
                </c:pt>
                <c:pt idx="54">
                  <c:v>0.52191008186330712</c:v>
                </c:pt>
                <c:pt idx="55">
                  <c:v>0.51696282086847856</c:v>
                </c:pt>
                <c:pt idx="56">
                  <c:v>0.51209304269233547</c:v>
                </c:pt>
                <c:pt idx="57">
                  <c:v>0.5073018585344482</c:v>
                </c:pt>
                <c:pt idx="58">
                  <c:v>0.50259050678110118</c:v>
                </c:pt>
                <c:pt idx="59">
                  <c:v>0.49796036807044192</c:v>
                </c:pt>
                <c:pt idx="60">
                  <c:v>0.49341298239296411</c:v>
                </c:pt>
                <c:pt idx="61">
                  <c:v>0.48895004835366757</c:v>
                </c:pt>
                <c:pt idx="62">
                  <c:v>0.48457339901926544</c:v>
                </c:pt>
                <c:pt idx="63">
                  <c:v>0.48028501876559798</c:v>
                </c:pt>
                <c:pt idx="64">
                  <c:v>0.47608706184755456</c:v>
                </c:pt>
                <c:pt idx="65">
                  <c:v>0.47198109346349143</c:v>
                </c:pt>
                <c:pt idx="66">
                  <c:v>0.46796784132181485</c:v>
                </c:pt>
                <c:pt idx="67">
                  <c:v>0.46404810319992423</c:v>
                </c:pt>
                <c:pt idx="68">
                  <c:v>0.46022275017892594</c:v>
                </c:pt>
                <c:pt idx="69">
                  <c:v>0.45649273019669062</c:v>
                </c:pt>
                <c:pt idx="70">
                  <c:v>0.45285884088081668</c:v>
                </c:pt>
                <c:pt idx="71">
                  <c:v>0.449320728928708</c:v>
                </c:pt>
                <c:pt idx="72">
                  <c:v>0.44587808934723017</c:v>
                </c:pt>
                <c:pt idx="73">
                  <c:v>0.44253066178922545</c:v>
                </c:pt>
                <c:pt idx="74">
                  <c:v>0.43927822842973385</c:v>
                </c:pt>
                <c:pt idx="75">
                  <c:v>0.43612061401704139</c:v>
                </c:pt>
                <c:pt idx="76">
                  <c:v>0.43305768594527644</c:v>
                </c:pt>
                <c:pt idx="77">
                  <c:v>0.43008935435016027</c:v>
                </c:pt>
                <c:pt idx="78">
                  <c:v>0.42721557222960382</c:v>
                </c:pt>
                <c:pt idx="79">
                  <c:v>0.42443633559093485</c:v>
                </c:pt>
                <c:pt idx="80">
                  <c:v>0.42175168362663529</c:v>
                </c:pt>
                <c:pt idx="81">
                  <c:v>0.41916169892057176</c:v>
                </c:pt>
                <c:pt idx="82">
                  <c:v>0.41666650768680658</c:v>
                </c:pt>
                <c:pt idx="83">
                  <c:v>0.4142662800431865</c:v>
                </c:pt>
                <c:pt idx="84">
                  <c:v>0.41196123032201604</c:v>
                </c:pt>
                <c:pt idx="85">
                  <c:v>0.40975161742023714</c:v>
                </c:pt>
                <c:pt idx="86">
                  <c:v>0.40763774519165036</c:v>
                </c:pt>
                <c:pt idx="87">
                  <c:v>0.40561996288382884</c:v>
                </c:pt>
                <c:pt idx="88">
                  <c:v>0.40369866562249263</c:v>
                </c:pt>
                <c:pt idx="89">
                  <c:v>0.40187429494622828</c:v>
                </c:pt>
                <c:pt idx="90">
                  <c:v>0.4001473393945551</c:v>
                </c:pt>
                <c:pt idx="91">
                  <c:v>0.39851833515245755</c:v>
                </c:pt>
                <c:pt idx="92">
                  <c:v>0.39698747551481678</c:v>
                </c:pt>
                <c:pt idx="93">
                  <c:v>0.39555484923898399</c:v>
                </c:pt>
                <c:pt idx="94">
                  <c:v>0.39422058780767083</c:v>
                </c:pt>
                <c:pt idx="95">
                  <c:v>0.3929848660469617</c:v>
                </c:pt>
                <c:pt idx="96">
                  <c:v>0.39184790276997505</c:v>
                </c:pt>
                <c:pt idx="97">
                  <c:v>0.39080996144994168</c:v>
                </c:pt>
                <c:pt idx="98">
                  <c:v>0.38987135092639286</c:v>
                </c:pt>
                <c:pt idx="99">
                  <c:v>0.38903242614807682</c:v>
                </c:pt>
                <c:pt idx="100">
                  <c:v>0.38829358895615257</c:v>
                </c:pt>
                <c:pt idx="101">
                  <c:v>0.38765528772967162</c:v>
                </c:pt>
                <c:pt idx="102">
                  <c:v>0.38711801706293886</c:v>
                </c:pt>
                <c:pt idx="103">
                  <c:v>0.38668231841370149</c:v>
                </c:pt>
                <c:pt idx="104">
                  <c:v>0.38634878079355528</c:v>
                </c:pt>
              </c:numCache>
            </c:numRef>
          </c:yVal>
          <c:smooth val="0"/>
          <c:extLst>
            <c:ext xmlns:c16="http://schemas.microsoft.com/office/drawing/2014/chart" uri="{C3380CC4-5D6E-409C-BE32-E72D297353CC}">
              <c16:uniqueId val="{00000006-CAE3-45AC-BD7D-7619C01C227E}"/>
            </c:ext>
          </c:extLst>
        </c:ser>
        <c:ser>
          <c:idx val="7"/>
          <c:order val="7"/>
          <c:tx>
            <c:strRef>
              <c:f>Model!$A$19</c:f>
              <c:strCache>
                <c:ptCount val="1"/>
                <c:pt idx="0">
                  <c:v>SDG17</c:v>
                </c:pt>
              </c:strCache>
            </c:strRef>
          </c:tx>
          <c:spPr>
            <a:ln w="12700">
              <a:solidFill>
                <a:srgbClr val="19486A"/>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Model!$B$19:$DB$19</c:f>
              <c:numCache>
                <c:formatCode>General</c:formatCode>
                <c:ptCount val="105"/>
                <c:pt idx="0">
                  <c:v>0.51738662719726558</c:v>
                </c:pt>
                <c:pt idx="1">
                  <c:v>0.51677064755558189</c:v>
                </c:pt>
                <c:pt idx="2">
                  <c:v>0.51616236765941925</c:v>
                </c:pt>
                <c:pt idx="3">
                  <c:v>0.51556169126195861</c:v>
                </c:pt>
                <c:pt idx="4">
                  <c:v>0.5149685233194663</c:v>
                </c:pt>
                <c:pt idx="5">
                  <c:v>0.51438276997625509</c:v>
                </c:pt>
                <c:pt idx="6">
                  <c:v>0.51380433854983409</c:v>
                </c:pt>
                <c:pt idx="7">
                  <c:v>0.51323313751624333</c:v>
                </c:pt>
                <c:pt idx="8">
                  <c:v>0.51266907649557247</c:v>
                </c:pt>
                <c:pt idx="9">
                  <c:v>0.51796341943594204</c:v>
                </c:pt>
                <c:pt idx="10">
                  <c:v>0.52319158308955704</c:v>
                </c:pt>
                <c:pt idx="11">
                  <c:v>0.52835439469750189</c:v>
                </c:pt>
                <c:pt idx="12">
                  <c:v>0.53345267116034745</c:v>
                </c:pt>
                <c:pt idx="13">
                  <c:v>0.53848721916740738</c:v>
                </c:pt>
                <c:pt idx="14">
                  <c:v>0.54345883532437911</c:v>
                </c:pt>
                <c:pt idx="15">
                  <c:v>0.5483683062793886</c:v>
                </c:pt>
                <c:pt idx="16">
                  <c:v>0.55321640884746048</c:v>
                </c:pt>
                <c:pt idx="17">
                  <c:v>0.54755120373686728</c:v>
                </c:pt>
                <c:pt idx="18">
                  <c:v>0.54195681369015647</c:v>
                </c:pt>
                <c:pt idx="19">
                  <c:v>0.53643235351902951</c:v>
                </c:pt>
                <c:pt idx="20">
                  <c:v>0.53097694910004167</c:v>
                </c:pt>
                <c:pt idx="21">
                  <c:v>0.5255897372362911</c:v>
                </c:pt>
                <c:pt idx="22">
                  <c:v>0.52026986552083743</c:v>
                </c:pt>
                <c:pt idx="23">
                  <c:v>0.51501649220182699</c:v>
                </c:pt>
                <c:pt idx="24">
                  <c:v>0.50982878604930415</c:v>
                </c:pt>
                <c:pt idx="25">
                  <c:v>0.5059559262236879</c:v>
                </c:pt>
                <c:pt idx="26">
                  <c:v>0.50213147714589179</c:v>
                </c:pt>
                <c:pt idx="27">
                  <c:v>0.49835483368156813</c:v>
                </c:pt>
                <c:pt idx="28">
                  <c:v>0.49462539826054852</c:v>
                </c:pt>
                <c:pt idx="29">
                  <c:v>0.49094258078229164</c:v>
                </c:pt>
                <c:pt idx="30">
                  <c:v>0.48730579852251299</c:v>
                </c:pt>
                <c:pt idx="31">
                  <c:v>0.48371447604098156</c:v>
                </c:pt>
                <c:pt idx="32">
                  <c:v>0.48016804509046929</c:v>
                </c:pt>
                <c:pt idx="33">
                  <c:v>0.48063327736680422</c:v>
                </c:pt>
                <c:pt idx="34">
                  <c:v>0.48109269423968498</c:v>
                </c:pt>
                <c:pt idx="35">
                  <c:v>0.48154636840165471</c:v>
                </c:pt>
                <c:pt idx="36">
                  <c:v>0.48199437163659986</c:v>
                </c:pt>
                <c:pt idx="37">
                  <c:v>0.48243677483110819</c:v>
                </c:pt>
                <c:pt idx="38">
                  <c:v>0.48287364798568516</c:v>
                </c:pt>
                <c:pt idx="39">
                  <c:v>0.48330506022582992</c:v>
                </c:pt>
                <c:pt idx="40">
                  <c:v>0.48373107981297286</c:v>
                </c:pt>
                <c:pt idx="41">
                  <c:v>0.49018444131531069</c:v>
                </c:pt>
                <c:pt idx="42">
                  <c:v>0.49655713579886929</c:v>
                </c:pt>
                <c:pt idx="43">
                  <c:v>0.50285017160138346</c:v>
                </c:pt>
                <c:pt idx="44">
                  <c:v>0.50906454445636617</c:v>
                </c:pt>
                <c:pt idx="45">
                  <c:v>0.51520123765066161</c:v>
                </c:pt>
                <c:pt idx="46">
                  <c:v>0.52126122218002835</c:v>
                </c:pt>
                <c:pt idx="47">
                  <c:v>0.52724545690277802</c:v>
                </c:pt>
                <c:pt idx="48">
                  <c:v>0.5331548886914933</c:v>
                </c:pt>
                <c:pt idx="49">
                  <c:v>0.53899045164208081</c:v>
                </c:pt>
                <c:pt idx="50">
                  <c:v>0.54475307005578599</c:v>
                </c:pt>
                <c:pt idx="51">
                  <c:v>0.55044365573931986</c:v>
                </c:pt>
                <c:pt idx="52">
                  <c:v>0.55606310910180956</c:v>
                </c:pt>
                <c:pt idx="53">
                  <c:v>0.56161231929726807</c:v>
                </c:pt>
                <c:pt idx="54">
                  <c:v>0.56709216436528342</c:v>
                </c:pt>
                <c:pt idx="55">
                  <c:v>0.57250351136994859</c:v>
                </c:pt>
                <c:pt idx="56">
                  <c:v>0.5778472165370554</c:v>
                </c:pt>
                <c:pt idx="57">
                  <c:v>0.58312412538957337</c:v>
                </c:pt>
                <c:pt idx="58">
                  <c:v>0.58833507288143483</c:v>
                </c:pt>
                <c:pt idx="59">
                  <c:v>0.59348088352964801</c:v>
                </c:pt>
                <c:pt idx="60">
                  <c:v>0.59856237154475855</c:v>
                </c:pt>
                <c:pt idx="61">
                  <c:v>0.60358034095968027</c:v>
                </c:pt>
                <c:pt idx="62">
                  <c:v>0.60853558575691546</c:v>
                </c:pt>
                <c:pt idx="63">
                  <c:v>0.61342888999418521</c:v>
                </c:pt>
                <c:pt idx="64">
                  <c:v>0.61826102792848903</c:v>
                </c:pt>
                <c:pt idx="65">
                  <c:v>0.62303276413861408</c:v>
                </c:pt>
                <c:pt idx="66">
                  <c:v>0.62774485364611254</c:v>
                </c:pt>
                <c:pt idx="67">
                  <c:v>0.63239804203476735</c:v>
                </c:pt>
                <c:pt idx="68">
                  <c:v>0.63699306556856394</c:v>
                </c:pt>
                <c:pt idx="69">
                  <c:v>0.64153065130818809</c:v>
                </c:pt>
                <c:pt idx="70">
                  <c:v>0.64601151722606687</c:v>
                </c:pt>
                <c:pt idx="71">
                  <c:v>0.6504363723199722</c:v>
                </c:pt>
                <c:pt idx="72">
                  <c:v>0.65480591672520372</c:v>
                </c:pt>
                <c:pt idx="73">
                  <c:v>0.65912084182536979</c:v>
                </c:pt>
                <c:pt idx="74">
                  <c:v>0.66338183036178378</c:v>
                </c:pt>
                <c:pt idx="75">
                  <c:v>0.66758955654149266</c:v>
                </c:pt>
                <c:pt idx="76">
                  <c:v>0.67174468614395522</c:v>
                </c:pt>
                <c:pt idx="77">
                  <c:v>0.6758478766263869</c:v>
                </c:pt>
                <c:pt idx="78">
                  <c:v>0.67989977722778827</c:v>
                </c:pt>
                <c:pt idx="79">
                  <c:v>0.68390102907167205</c:v>
                </c:pt>
                <c:pt idx="80">
                  <c:v>0.68785226526750731</c:v>
                </c:pt>
                <c:pt idx="81">
                  <c:v>0.69175411101089468</c:v>
                </c:pt>
                <c:pt idx="82">
                  <c:v>0.69560718368248964</c:v>
                </c:pt>
                <c:pt idx="83">
                  <c:v>0.69941209294568973</c:v>
                </c:pt>
                <c:pt idx="84">
                  <c:v>0.70316944084309974</c:v>
                </c:pt>
                <c:pt idx="85">
                  <c:v>0.7068798218917921</c:v>
                </c:pt>
                <c:pt idx="86">
                  <c:v>0.71054382317737586</c:v>
                </c:pt>
                <c:pt idx="87">
                  <c:v>0.71416202444688981</c:v>
                </c:pt>
                <c:pt idx="88">
                  <c:v>0.71773499820053488</c:v>
                </c:pt>
                <c:pt idx="89">
                  <c:v>0.72126330978225939</c:v>
                </c:pt>
                <c:pt idx="90">
                  <c:v>0.72474751746921229</c:v>
                </c:pt>
                <c:pt idx="91">
                  <c:v>0.72818817256007828</c:v>
                </c:pt>
                <c:pt idx="92">
                  <c:v>0.7315858194623085</c:v>
                </c:pt>
                <c:pt idx="93">
                  <c:v>0.73494099577826077</c:v>
                </c:pt>
                <c:pt idx="94">
                  <c:v>0.73825423239026366</c:v>
                </c:pt>
                <c:pt idx="95">
                  <c:v>0.74152605354461654</c:v>
                </c:pt>
                <c:pt idx="96">
                  <c:v>0.74475697693454002</c:v>
                </c:pt>
                <c:pt idx="97">
                  <c:v>0.74794751378208946</c:v>
                </c:pt>
                <c:pt idx="98">
                  <c:v>0.75109816891904446</c:v>
                </c:pt>
                <c:pt idx="99">
                  <c:v>0.75420944086678754</c:v>
                </c:pt>
                <c:pt idx="100">
                  <c:v>0.75728182191518389</c:v>
                </c:pt>
                <c:pt idx="101">
                  <c:v>0.76031579820047523</c:v>
                </c:pt>
                <c:pt idx="102">
                  <c:v>0.76331184978220046</c:v>
                </c:pt>
                <c:pt idx="103">
                  <c:v>0.76627045071915412</c:v>
                </c:pt>
                <c:pt idx="104">
                  <c:v>0.76919206914439586</c:v>
                </c:pt>
              </c:numCache>
            </c:numRef>
          </c:yVal>
          <c:smooth val="0"/>
          <c:extLst>
            <c:ext xmlns:c16="http://schemas.microsoft.com/office/drawing/2014/chart" uri="{C3380CC4-5D6E-409C-BE32-E72D297353CC}">
              <c16:uniqueId val="{00000007-CAE3-45AC-BD7D-7619C01C227E}"/>
            </c:ext>
          </c:extLst>
        </c:ser>
        <c:dLbls>
          <c:showLegendKey val="0"/>
          <c:showVal val="0"/>
          <c:showCatName val="0"/>
          <c:showSerName val="0"/>
          <c:showPercent val="0"/>
          <c:showBubbleSize val="0"/>
        </c:dLbls>
        <c:axId val="507483711"/>
        <c:axId val="1"/>
      </c:scatterChart>
      <c:valAx>
        <c:axId val="507483711"/>
        <c:scaling>
          <c:orientation val="minMax"/>
          <c:max val="2030"/>
          <c:min val="2017"/>
        </c:scaling>
        <c:delete val="0"/>
        <c:axPos val="b"/>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1"/>
        <c:crossesAt val="0"/>
        <c:crossBetween val="midCat"/>
        <c:majorUnit val="1"/>
      </c:valAx>
      <c:valAx>
        <c:axId val="1"/>
        <c:scaling>
          <c:orientation val="minMax"/>
          <c:max val="1"/>
        </c:scaling>
        <c:delete val="0"/>
        <c:axPos val="l"/>
        <c:majorGridlines>
          <c:spPr>
            <a:ln w="12700">
              <a:solidFill>
                <a:srgbClr val="000000"/>
              </a:solidFill>
              <a:prstDash val="solid"/>
            </a:ln>
          </c:spPr>
        </c:majorGridlines>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507483711"/>
        <c:crossesAt val="0"/>
        <c:crossBetween val="midCat"/>
        <c:majorUnit val="0.1"/>
      </c:valAx>
      <c:spPr>
        <a:solidFill>
          <a:srgbClr val="FFFFFF"/>
        </a:solidFill>
        <a:ln w="12700">
          <a:solidFill>
            <a:srgbClr val="808080"/>
          </a:solidFill>
          <a:prstDash val="solid"/>
        </a:ln>
      </c:spPr>
    </c:plotArea>
    <c:legend>
      <c:legendPos val="r"/>
      <c:layout>
        <c:manualLayout>
          <c:xMode val="edge"/>
          <c:yMode val="edge"/>
          <c:x val="1.9523057543118314E-2"/>
          <c:y val="0.94369181977252847"/>
          <c:w val="0.96855388927006525"/>
          <c:h val="5.6308180227471527E-2"/>
        </c:manualLayout>
      </c:layout>
      <c:overlay val="0"/>
      <c:spPr>
        <a:solidFill>
          <a:srgbClr val="FFFFFF"/>
        </a:solidFill>
        <a:ln w="25400">
          <a:noFill/>
        </a:ln>
      </c:sp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r>
              <a:rPr lang="en-US"/>
              <a:t>Average Score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Model!$D$298</c:f>
              <c:strCache>
                <c:ptCount val="1"/>
                <c:pt idx="0">
                  <c:v>Status Quo</c:v>
                </c:pt>
              </c:strCache>
            </c:strRef>
          </c:tx>
          <c:spPr>
            <a:ln w="19050" cap="rnd">
              <a:solidFill>
                <a:schemeClr val="accent1"/>
              </a:solidFill>
              <a:round/>
            </a:ln>
            <a:effectLst/>
          </c:spPr>
          <c:marker>
            <c:symbol val="none"/>
          </c:marker>
          <c:xVal>
            <c:numRef>
              <c:f>Model!$C$299:$C$312</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Model!$D$299:$D$312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0.60536107456786814</c:v>
                </c:pt>
                <c:pt idx="8">
                  <c:v>0.61538004259092061</c:v>
                </c:pt>
                <c:pt idx="9">
                  <c:v>0.6239032321118998</c:v>
                </c:pt>
                <c:pt idx="10">
                  <c:v>0.63139025254636538</c:v>
                </c:pt>
                <c:pt idx="11">
                  <c:v>0.6382182716564061</c:v>
                </c:pt>
                <c:pt idx="12">
                  <c:v>0.64470869935602404</c:v>
                </c:pt>
                <c:pt idx="13">
                  <c:v>0.65102510531967639</c:v>
                </c:pt>
              </c:numCache>
            </c:numRef>
          </c:yVal>
          <c:smooth val="0"/>
          <c:extLst>
            <c:ext xmlns:c16="http://schemas.microsoft.com/office/drawing/2014/chart" uri="{C3380CC4-5D6E-409C-BE32-E72D297353CC}">
              <c16:uniqueId val="{00000000-BEDB-4CBF-AEF1-033F4022AC0E}"/>
            </c:ext>
          </c:extLst>
        </c:ser>
        <c:ser>
          <c:idx val="1"/>
          <c:order val="1"/>
          <c:tx>
            <c:strRef>
              <c:f>Model!$E$298</c:f>
              <c:strCache>
                <c:ptCount val="1"/>
                <c:pt idx="0">
                  <c:v>Reallocation</c:v>
                </c:pt>
              </c:strCache>
            </c:strRef>
          </c:tx>
          <c:spPr>
            <a:ln w="19050" cap="rnd">
              <a:solidFill>
                <a:schemeClr val="accent2"/>
              </a:solidFill>
              <a:round/>
            </a:ln>
            <a:effectLst/>
          </c:spPr>
          <c:marker>
            <c:symbol val="none"/>
          </c:marker>
          <c:xVal>
            <c:numRef>
              <c:f>Model!$C$299:$C$312</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Model!$E$299:$E$312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0.60418856662343023</c:v>
                </c:pt>
                <c:pt idx="8">
                  <c:v>0.62189911819688148</c:v>
                </c:pt>
                <c:pt idx="9">
                  <c:v>0.64266417340572435</c:v>
                </c:pt>
                <c:pt idx="10">
                  <c:v>0.66268230631959546</c:v>
                </c:pt>
                <c:pt idx="11">
                  <c:v>0.68183761873156423</c:v>
                </c:pt>
                <c:pt idx="12">
                  <c:v>0.70019402545516141</c:v>
                </c:pt>
                <c:pt idx="13">
                  <c:v>0.71821342122755616</c:v>
                </c:pt>
              </c:numCache>
            </c:numRef>
          </c:yVal>
          <c:smooth val="0"/>
          <c:extLst>
            <c:ext xmlns:c16="http://schemas.microsoft.com/office/drawing/2014/chart" uri="{C3380CC4-5D6E-409C-BE32-E72D297353CC}">
              <c16:uniqueId val="{00000001-BEDB-4CBF-AEF1-033F4022AC0E}"/>
            </c:ext>
          </c:extLst>
        </c:ser>
        <c:dLbls>
          <c:showLegendKey val="0"/>
          <c:showVal val="0"/>
          <c:showCatName val="0"/>
          <c:showSerName val="0"/>
          <c:showPercent val="0"/>
          <c:showBubbleSize val="0"/>
        </c:dLbls>
        <c:axId val="277353935"/>
        <c:axId val="277357775"/>
      </c:scatterChart>
      <c:valAx>
        <c:axId val="277353935"/>
        <c:scaling>
          <c:orientation val="minMax"/>
          <c:max val="2030"/>
          <c:min val="201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77357775"/>
        <c:crosses val="autoZero"/>
        <c:crossBetween val="midCat"/>
        <c:majorUnit val="1"/>
      </c:valAx>
      <c:valAx>
        <c:axId val="277357775"/>
        <c:scaling>
          <c:orientation val="minMax"/>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7735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baseline="0"/>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03932B2-61EE-48D9-B277-26195DF4FF3E}">
  <sheetPr codeName="Chart18"/>
  <sheetViews>
    <sheetView zoomScale="8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8212" name="Chart 1">
          <a:extLst>
            <a:ext uri="{FF2B5EF4-FFF2-40B4-BE49-F238E27FC236}">
              <a16:creationId xmlns:a16="http://schemas.microsoft.com/office/drawing/2014/main" id="{0D1B42BA-B2EB-29A1-3A46-D80978D534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9236" name="Chart 1">
          <a:extLst>
            <a:ext uri="{FF2B5EF4-FFF2-40B4-BE49-F238E27FC236}">
              <a16:creationId xmlns:a16="http://schemas.microsoft.com/office/drawing/2014/main" id="{3C1EA62F-D479-4F9D-6BD0-0513F7B700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0260" name="Chart 1">
          <a:extLst>
            <a:ext uri="{FF2B5EF4-FFF2-40B4-BE49-F238E27FC236}">
              <a16:creationId xmlns:a16="http://schemas.microsoft.com/office/drawing/2014/main" id="{19DEDE8E-D35C-BBE4-94E1-010A0DBD35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1284" name="Chart 1">
          <a:extLst>
            <a:ext uri="{FF2B5EF4-FFF2-40B4-BE49-F238E27FC236}">
              <a16:creationId xmlns:a16="http://schemas.microsoft.com/office/drawing/2014/main" id="{434DAA1A-6B04-2FE0-F10A-7DA1181545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0.11487</cdr:x>
      <cdr:y>0.82345</cdr:y>
    </cdr:from>
    <cdr:to>
      <cdr:x>0.12255</cdr:x>
      <cdr:y>0.8549</cdr:y>
    </cdr:to>
    <cdr:sp macro="" textlink="">
      <cdr:nvSpPr>
        <cdr:cNvPr id="12289" name="Text 1"/>
        <cdr:cNvSpPr txBox="1">
          <a:spLocks xmlns:a="http://schemas.openxmlformats.org/drawingml/2006/main" noChangeArrowheads="1"/>
        </cdr:cNvSpPr>
      </cdr:nvSpPr>
      <cdr:spPr bwMode="auto">
        <a:xfrm xmlns:a="http://schemas.openxmlformats.org/drawingml/2006/main">
          <a:off x="812379" y="4408883"/>
          <a:ext cx="62424" cy="171714"/>
        </a:xfrm>
        <a:prstGeom xmlns:a="http://schemas.openxmlformats.org/drawingml/2006/main" prst="rect">
          <a:avLst/>
        </a:prstGeom>
        <a:solidFill xmlns:a="http://schemas.openxmlformats.org/drawingml/2006/main">
          <a:srgbClr val="FFFFFF"/>
        </a:solidFill>
        <a:ln xmlns:a="http://schemas.openxmlformats.org/drawingml/2006/main">
          <a:noFill/>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6.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3332" name="Chart 1">
          <a:extLst>
            <a:ext uri="{FF2B5EF4-FFF2-40B4-BE49-F238E27FC236}">
              <a16:creationId xmlns:a16="http://schemas.microsoft.com/office/drawing/2014/main" id="{2F0AD486-E231-F19F-8CFA-B1CFFCF30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4356" name="Chart 1">
          <a:extLst>
            <a:ext uri="{FF2B5EF4-FFF2-40B4-BE49-F238E27FC236}">
              <a16:creationId xmlns:a16="http://schemas.microsoft.com/office/drawing/2014/main" id="{2DC563DD-4B37-49C4-0E9E-5794C9BEBA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0.09324</cdr:x>
      <cdr:y>0.84677</cdr:y>
    </cdr:from>
    <cdr:to>
      <cdr:x>0.09579</cdr:x>
      <cdr:y>0.87602</cdr:y>
    </cdr:to>
    <cdr:sp macro="" textlink="">
      <cdr:nvSpPr>
        <cdr:cNvPr id="34817" name="Text Box 1"/>
        <cdr:cNvSpPr txBox="1">
          <a:spLocks xmlns:a="http://schemas.openxmlformats.org/drawingml/2006/main" noChangeArrowheads="1"/>
        </cdr:cNvSpPr>
      </cdr:nvSpPr>
      <cdr:spPr bwMode="auto">
        <a:xfrm xmlns:a="http://schemas.openxmlformats.org/drawingml/2006/main">
          <a:off x="676520" y="4531749"/>
          <a:ext cx="18530" cy="15651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ffectLst xmlns:a="http://schemas.openxmlformats.org/drawingml/2006/main"/>
      </cdr:spPr>
      <cdr:txBody>
        <a:bodyPr xmlns:a="http://schemas.openxmlformats.org/drawingml/2006/main" wrap="none" lIns="18288" tIns="0" rIns="0" bIns="0" anchor="ctr" upright="1">
          <a:spAutoFit/>
        </a:bodyPr>
        <a:lstStyle xmlns:a="http://schemas.openxmlformats.org/drawingml/2006/main"/>
        <a:p xmlns:a="http://schemas.openxmlformats.org/drawingml/2006/main">
          <a:pPr algn="ctr" rtl="0">
            <a:defRPr sz="1000"/>
          </a:pPr>
          <a:endParaRPr lang="en-US"/>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5380" name="Chart 1">
          <a:extLst>
            <a:ext uri="{FF2B5EF4-FFF2-40B4-BE49-F238E27FC236}">
              <a16:creationId xmlns:a16="http://schemas.microsoft.com/office/drawing/2014/main" id="{C1E743B2-975F-48F3-572F-B659D02997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6404" name="Chart 1">
          <a:extLst>
            <a:ext uri="{FF2B5EF4-FFF2-40B4-BE49-F238E27FC236}">
              <a16:creationId xmlns:a16="http://schemas.microsoft.com/office/drawing/2014/main" id="{175C89C2-269A-263B-BD50-9FF5B79FDB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7428" name="Chart 1">
          <a:extLst>
            <a:ext uri="{FF2B5EF4-FFF2-40B4-BE49-F238E27FC236}">
              <a16:creationId xmlns:a16="http://schemas.microsoft.com/office/drawing/2014/main" id="{574048A3-621C-8CE2-C958-93D9BDB3D8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8452" name="Chart 1">
          <a:extLst>
            <a:ext uri="{FF2B5EF4-FFF2-40B4-BE49-F238E27FC236}">
              <a16:creationId xmlns:a16="http://schemas.microsoft.com/office/drawing/2014/main" id="{49B87B52-585B-B304-B389-190CB1F769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9476" name="Chart 1">
          <a:extLst>
            <a:ext uri="{FF2B5EF4-FFF2-40B4-BE49-F238E27FC236}">
              <a16:creationId xmlns:a16="http://schemas.microsoft.com/office/drawing/2014/main" id="{4E4DF1DF-4066-915C-4521-881F37399B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0500" name="Chart 1">
          <a:extLst>
            <a:ext uri="{FF2B5EF4-FFF2-40B4-BE49-F238E27FC236}">
              <a16:creationId xmlns:a16="http://schemas.microsoft.com/office/drawing/2014/main" id="{D5481A9F-10C2-3C86-C7E6-8A57EF7681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1524" name="Chart 1">
          <a:extLst>
            <a:ext uri="{FF2B5EF4-FFF2-40B4-BE49-F238E27FC236}">
              <a16:creationId xmlns:a16="http://schemas.microsoft.com/office/drawing/2014/main" id="{5D3751D1-7755-0DAC-8220-85903269FA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2548" name="Chart 1">
          <a:extLst>
            <a:ext uri="{FF2B5EF4-FFF2-40B4-BE49-F238E27FC236}">
              <a16:creationId xmlns:a16="http://schemas.microsoft.com/office/drawing/2014/main" id="{B11CE3B9-81A6-3188-D2ED-39D5BB744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3572" name="Chart 1">
          <a:extLst>
            <a:ext uri="{FF2B5EF4-FFF2-40B4-BE49-F238E27FC236}">
              <a16:creationId xmlns:a16="http://schemas.microsoft.com/office/drawing/2014/main" id="{453C8A6B-0AAE-8CA1-4962-42D214766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4596" name="Chart 1">
          <a:extLst>
            <a:ext uri="{FF2B5EF4-FFF2-40B4-BE49-F238E27FC236}">
              <a16:creationId xmlns:a16="http://schemas.microsoft.com/office/drawing/2014/main" id="{26558741-3A62-6161-7F42-D47B0A7324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5620" name="Chart 1">
          <a:extLst>
            <a:ext uri="{FF2B5EF4-FFF2-40B4-BE49-F238E27FC236}">
              <a16:creationId xmlns:a16="http://schemas.microsoft.com/office/drawing/2014/main" id="{5ABEB20B-BD45-116E-E1E8-A6EFB8697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0.11314</cdr:x>
      <cdr:y>0.82345</cdr:y>
    </cdr:from>
    <cdr:to>
      <cdr:x>0.12154</cdr:x>
      <cdr:y>0.8549</cdr:y>
    </cdr:to>
    <cdr:sp macro="" textlink="">
      <cdr:nvSpPr>
        <cdr:cNvPr id="26625" name="Text 1"/>
        <cdr:cNvSpPr txBox="1">
          <a:spLocks xmlns:a="http://schemas.openxmlformats.org/drawingml/2006/main" noChangeArrowheads="1"/>
        </cdr:cNvSpPr>
      </cdr:nvSpPr>
      <cdr:spPr bwMode="auto">
        <a:xfrm xmlns:a="http://schemas.openxmlformats.org/drawingml/2006/main">
          <a:off x="799894" y="4408883"/>
          <a:ext cx="62424" cy="171714"/>
        </a:xfrm>
        <a:prstGeom xmlns:a="http://schemas.openxmlformats.org/drawingml/2006/main" prst="rect">
          <a:avLst/>
        </a:prstGeom>
        <a:solidFill xmlns:a="http://schemas.openxmlformats.org/drawingml/2006/main">
          <a:srgbClr val="FFFFFF"/>
        </a:solidFill>
        <a:ln xmlns:a="http://schemas.openxmlformats.org/drawingml/2006/main">
          <a:noFill/>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0.09324</cdr:x>
      <cdr:y>0.84677</cdr:y>
    </cdr:from>
    <cdr:to>
      <cdr:x>0.09579</cdr:x>
      <cdr:y>0.87602</cdr:y>
    </cdr:to>
    <cdr:sp macro="" textlink="">
      <cdr:nvSpPr>
        <cdr:cNvPr id="26626" name="Text Box 2"/>
        <cdr:cNvSpPr txBox="1">
          <a:spLocks xmlns:a="http://schemas.openxmlformats.org/drawingml/2006/main" noChangeArrowheads="1"/>
        </cdr:cNvSpPr>
      </cdr:nvSpPr>
      <cdr:spPr bwMode="auto">
        <a:xfrm xmlns:a="http://schemas.openxmlformats.org/drawingml/2006/main">
          <a:off x="676520" y="4531749"/>
          <a:ext cx="18530" cy="15651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ffectLst xmlns:a="http://schemas.openxmlformats.org/drawingml/2006/main"/>
      </cdr:spPr>
      <cdr:txBody>
        <a:bodyPr xmlns:a="http://schemas.openxmlformats.org/drawingml/2006/main" wrap="none" lIns="18288" tIns="0" rIns="0" bIns="0" anchor="ctr" upright="1">
          <a:spAutoFit/>
        </a:bodyPr>
        <a:lstStyle xmlns:a="http://schemas.openxmlformats.org/drawingml/2006/main"/>
        <a:p xmlns:a="http://schemas.openxmlformats.org/drawingml/2006/main">
          <a:pPr algn="ctr" rtl="0">
            <a:defRPr sz="1000"/>
          </a:pPr>
          <a:endParaRPr lang="en-US"/>
        </a:p>
      </cdr:txBody>
    </cdr:sp>
  </cdr:relSizeAnchor>
  <cdr:relSizeAnchor xmlns:cdr="http://schemas.openxmlformats.org/drawingml/2006/chartDrawing">
    <cdr:from>
      <cdr:x>0.09324</cdr:x>
      <cdr:y>0.84677</cdr:y>
    </cdr:from>
    <cdr:to>
      <cdr:x>0.09579</cdr:x>
      <cdr:y>0.87602</cdr:y>
    </cdr:to>
    <cdr:sp macro="" textlink="">
      <cdr:nvSpPr>
        <cdr:cNvPr id="26627" name="Text Box 3"/>
        <cdr:cNvSpPr txBox="1">
          <a:spLocks xmlns:a="http://schemas.openxmlformats.org/drawingml/2006/main" noChangeArrowheads="1"/>
        </cdr:cNvSpPr>
      </cdr:nvSpPr>
      <cdr:spPr bwMode="auto">
        <a:xfrm xmlns:a="http://schemas.openxmlformats.org/drawingml/2006/main">
          <a:off x="676520" y="4531749"/>
          <a:ext cx="18530" cy="15651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ffectLst xmlns:a="http://schemas.openxmlformats.org/drawingml/2006/main"/>
      </cdr:spPr>
      <cdr:txBody>
        <a:bodyPr xmlns:a="http://schemas.openxmlformats.org/drawingml/2006/main" wrap="none" lIns="18288" tIns="0" rIns="0" bIns="0" anchor="ctr" upright="1">
          <a:spAutoFit/>
        </a:bodyPr>
        <a:lstStyle xmlns:a="http://schemas.openxmlformats.org/drawingml/2006/main"/>
        <a:p xmlns:a="http://schemas.openxmlformats.org/drawingml/2006/main">
          <a:pPr algn="ctr" rtl="0">
            <a:defRPr sz="1000"/>
          </a:pPr>
          <a:endParaRPr lang="en-US"/>
        </a:p>
      </cdr:txBody>
    </cdr:sp>
  </cdr:relSizeAnchor>
</c:userShapes>
</file>

<file path=xl/drawings/drawing21.xml><?xml version="1.0" encoding="utf-8"?>
<xdr:wsDr xmlns:xdr="http://schemas.openxmlformats.org/drawingml/2006/spreadsheetDrawing" xmlns:a="http://schemas.openxmlformats.org/drawingml/2006/main">
  <xdr:twoCellAnchor editAs="absolute">
    <xdr:from>
      <xdr:col>0</xdr:col>
      <xdr:colOff>342900</xdr:colOff>
      <xdr:row>0</xdr:row>
      <xdr:rowOff>158640</xdr:rowOff>
    </xdr:from>
    <xdr:to>
      <xdr:col>9</xdr:col>
      <xdr:colOff>619125</xdr:colOff>
      <xdr:row>32</xdr:row>
      <xdr:rowOff>90324</xdr:rowOff>
    </xdr:to>
    <xdr:graphicFrame macro="">
      <xdr:nvGraphicFramePr>
        <xdr:cNvPr id="28692" name="Chart 1">
          <a:extLst>
            <a:ext uri="{FF2B5EF4-FFF2-40B4-BE49-F238E27FC236}">
              <a16:creationId xmlns:a16="http://schemas.microsoft.com/office/drawing/2014/main" id="{68272565-FD3D-C12E-8EE5-7905443A21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142875</xdr:colOff>
      <xdr:row>0</xdr:row>
      <xdr:rowOff>133351</xdr:rowOff>
    </xdr:from>
    <xdr:to>
      <xdr:col>9</xdr:col>
      <xdr:colOff>133350</xdr:colOff>
      <xdr:row>28</xdr:row>
      <xdr:rowOff>16423</xdr:rowOff>
    </xdr:to>
    <xdr:graphicFrame macro="">
      <xdr:nvGraphicFramePr>
        <xdr:cNvPr id="30740" name="Chart 1">
          <a:extLst>
            <a:ext uri="{FF2B5EF4-FFF2-40B4-BE49-F238E27FC236}">
              <a16:creationId xmlns:a16="http://schemas.microsoft.com/office/drawing/2014/main" id="{52D8ADD3-6C57-49F2-D705-C2DF59C71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85725</xdr:colOff>
      <xdr:row>0</xdr:row>
      <xdr:rowOff>28575</xdr:rowOff>
    </xdr:from>
    <xdr:to>
      <xdr:col>9</xdr:col>
      <xdr:colOff>28575</xdr:colOff>
      <xdr:row>28</xdr:row>
      <xdr:rowOff>0</xdr:rowOff>
    </xdr:to>
    <xdr:graphicFrame macro="">
      <xdr:nvGraphicFramePr>
        <xdr:cNvPr id="31764" name="Chart 1">
          <a:extLst>
            <a:ext uri="{FF2B5EF4-FFF2-40B4-BE49-F238E27FC236}">
              <a16:creationId xmlns:a16="http://schemas.microsoft.com/office/drawing/2014/main" id="{D687E76C-18C2-50DE-33E9-C8E77A472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absoluteAnchor>
    <xdr:pos x="0" y="0"/>
    <xdr:ext cx="8660086" cy="6306207"/>
    <xdr:graphicFrame macro="">
      <xdr:nvGraphicFramePr>
        <xdr:cNvPr id="2" name="Chart 1">
          <a:extLst>
            <a:ext uri="{FF2B5EF4-FFF2-40B4-BE49-F238E27FC236}">
              <a16:creationId xmlns:a16="http://schemas.microsoft.com/office/drawing/2014/main" id="{E35088D9-010E-B7A4-CF20-116F55BD722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07"/>
  <sheetViews>
    <sheetView workbookViewId="0"/>
  </sheetViews>
  <sheetFormatPr defaultRowHeight="12.75" x14ac:dyDescent="0.2"/>
  <sheetData>
    <row r="1" spans="1:2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t="s">
        <v>21</v>
      </c>
      <c r="B2" t="s">
        <v>22</v>
      </c>
      <c r="C2">
        <v>86.760594778750701</v>
      </c>
      <c r="D2">
        <v>1</v>
      </c>
      <c r="E2">
        <v>99.575000000000003</v>
      </c>
      <c r="F2">
        <v>60.886749999999999</v>
      </c>
      <c r="G2">
        <v>95.3863846153846</v>
      </c>
      <c r="H2">
        <v>97.169333333333299</v>
      </c>
      <c r="I2">
        <v>92.111249999999998</v>
      </c>
      <c r="J2">
        <v>94.327600000000004</v>
      </c>
      <c r="K2">
        <v>93.013499999999993</v>
      </c>
      <c r="L2">
        <v>86.789000000000001</v>
      </c>
      <c r="M2">
        <v>95.9957142857143</v>
      </c>
      <c r="N2">
        <v>98.468500000000006</v>
      </c>
      <c r="O2">
        <v>91.233750000000001</v>
      </c>
      <c r="P2">
        <v>60.059571428571402</v>
      </c>
      <c r="Q2">
        <v>68.793666666666695</v>
      </c>
      <c r="R2">
        <v>87.927999999999997</v>
      </c>
      <c r="S2">
        <v>85.07</v>
      </c>
      <c r="T2">
        <v>92.521090909090901</v>
      </c>
      <c r="U2">
        <v>75.600999999999999</v>
      </c>
    </row>
    <row r="3" spans="1:21" x14ac:dyDescent="0.2">
      <c r="A3" t="s">
        <v>23</v>
      </c>
      <c r="B3" t="s">
        <v>24</v>
      </c>
      <c r="C3">
        <v>85.981396976063195</v>
      </c>
      <c r="D3">
        <v>2</v>
      </c>
      <c r="E3">
        <v>98.888499999999993</v>
      </c>
      <c r="F3">
        <v>63.074125000000002</v>
      </c>
      <c r="G3">
        <v>96.903999999999996</v>
      </c>
      <c r="H3">
        <v>99.761666666666699</v>
      </c>
      <c r="I3">
        <v>91.440250000000006</v>
      </c>
      <c r="J3">
        <v>95.057599999999994</v>
      </c>
      <c r="K3">
        <v>97.973500000000001</v>
      </c>
      <c r="L3">
        <v>84.966428571428594</v>
      </c>
      <c r="M3">
        <v>97.586285714285694</v>
      </c>
      <c r="N3">
        <v>94.965000000000003</v>
      </c>
      <c r="O3">
        <v>90.389250000000004</v>
      </c>
      <c r="P3">
        <v>56.830571428571403</v>
      </c>
      <c r="Q3">
        <v>70.031000000000006</v>
      </c>
      <c r="R3">
        <v>69.348666666666702</v>
      </c>
      <c r="S3">
        <v>80.188199999999995</v>
      </c>
      <c r="T3">
        <v>88.508454545454498</v>
      </c>
      <c r="U3">
        <v>85.770250000000004</v>
      </c>
    </row>
    <row r="4" spans="1:21" x14ac:dyDescent="0.2">
      <c r="A4" t="s">
        <v>25</v>
      </c>
      <c r="B4" t="s">
        <v>26</v>
      </c>
      <c r="C4">
        <v>85.683636809269203</v>
      </c>
      <c r="D4">
        <v>3</v>
      </c>
      <c r="E4">
        <v>99.215500000000006</v>
      </c>
      <c r="F4">
        <v>71.02525</v>
      </c>
      <c r="G4">
        <v>95.398499999999999</v>
      </c>
      <c r="H4">
        <v>99.339666666666702</v>
      </c>
      <c r="I4">
        <v>86.998000000000005</v>
      </c>
      <c r="J4">
        <v>90.7316</v>
      </c>
      <c r="K4">
        <v>87.730500000000006</v>
      </c>
      <c r="L4">
        <v>87.562428571428597</v>
      </c>
      <c r="M4">
        <v>96.984857142857095</v>
      </c>
      <c r="N4">
        <v>98.156000000000006</v>
      </c>
      <c r="O4">
        <v>93.038499999999999</v>
      </c>
      <c r="P4">
        <v>44.5717142857143</v>
      </c>
      <c r="Q4">
        <v>60.780666666666697</v>
      </c>
      <c r="R4">
        <v>76.303333333333299</v>
      </c>
      <c r="S4">
        <v>92.792400000000001</v>
      </c>
      <c r="T4">
        <v>93.844909090909098</v>
      </c>
      <c r="U4">
        <v>82.147999999999996</v>
      </c>
    </row>
    <row r="5" spans="1:21" x14ac:dyDescent="0.2">
      <c r="A5" t="s">
        <v>27</v>
      </c>
      <c r="B5" t="s">
        <v>28</v>
      </c>
      <c r="C5">
        <v>83.358446511331806</v>
      </c>
      <c r="D5">
        <v>4</v>
      </c>
      <c r="E5">
        <v>99.510499999999993</v>
      </c>
      <c r="F5">
        <v>72.366</v>
      </c>
      <c r="G5">
        <v>93.039357142857099</v>
      </c>
      <c r="H5">
        <v>97.162666666666695</v>
      </c>
      <c r="I5">
        <v>81.920249999999996</v>
      </c>
      <c r="J5">
        <v>88.443399999999997</v>
      </c>
      <c r="K5">
        <v>77.161749999999998</v>
      </c>
      <c r="L5">
        <v>86.967285714285694</v>
      </c>
      <c r="M5">
        <v>95.788428571428597</v>
      </c>
      <c r="N5">
        <v>88.147000000000006</v>
      </c>
      <c r="O5">
        <v>90.096500000000006</v>
      </c>
      <c r="P5">
        <v>55.412857142857099</v>
      </c>
      <c r="Q5">
        <v>64.001999999999995</v>
      </c>
      <c r="R5">
        <v>73.995999999999995</v>
      </c>
      <c r="S5">
        <v>79.231800000000007</v>
      </c>
      <c r="T5">
        <v>89.457545454545397</v>
      </c>
      <c r="U5">
        <v>84.390249999999995</v>
      </c>
    </row>
    <row r="6" spans="1:21" x14ac:dyDescent="0.2">
      <c r="A6" t="s">
        <v>29</v>
      </c>
      <c r="B6" t="s">
        <v>30</v>
      </c>
      <c r="C6">
        <v>82.280189334256406</v>
      </c>
      <c r="D6">
        <v>5</v>
      </c>
      <c r="E6">
        <v>99.450999999999993</v>
      </c>
      <c r="F6">
        <v>73.067499999999995</v>
      </c>
      <c r="G6">
        <v>92.468000000000004</v>
      </c>
      <c r="H6">
        <v>97.914333333333303</v>
      </c>
      <c r="I6">
        <v>84.579250000000002</v>
      </c>
      <c r="J6">
        <v>92.163600000000002</v>
      </c>
      <c r="K6">
        <v>86.036500000000004</v>
      </c>
      <c r="L6">
        <v>83.274142857142905</v>
      </c>
      <c r="M6">
        <v>96.982142857142904</v>
      </c>
      <c r="N6">
        <v>94.634500000000003</v>
      </c>
      <c r="O6">
        <v>92.473666666666702</v>
      </c>
      <c r="P6">
        <v>49.6232857142857</v>
      </c>
      <c r="Q6">
        <v>57.332000000000001</v>
      </c>
      <c r="S6">
        <v>73.583600000000004</v>
      </c>
      <c r="T6">
        <v>87.911454545454504</v>
      </c>
      <c r="U6">
        <v>71.130250000000004</v>
      </c>
    </row>
    <row r="7" spans="1:21" x14ac:dyDescent="0.2">
      <c r="A7" t="s">
        <v>31</v>
      </c>
      <c r="B7" t="s">
        <v>32</v>
      </c>
      <c r="C7">
        <v>82.048342710720604</v>
      </c>
      <c r="D7">
        <v>6</v>
      </c>
      <c r="E7">
        <v>99.728499999999997</v>
      </c>
      <c r="F7">
        <v>72.390124999999998</v>
      </c>
      <c r="G7">
        <v>93.224571428571394</v>
      </c>
      <c r="H7">
        <v>99.63</v>
      </c>
      <c r="I7">
        <v>87.823250000000002</v>
      </c>
      <c r="J7">
        <v>89.269599999999997</v>
      </c>
      <c r="K7">
        <v>78.615499999999997</v>
      </c>
      <c r="L7">
        <v>85.305999999999997</v>
      </c>
      <c r="M7">
        <v>92.775857142857106</v>
      </c>
      <c r="N7">
        <v>87.473500000000001</v>
      </c>
      <c r="O7">
        <v>90.529499999999999</v>
      </c>
      <c r="P7">
        <v>60.5154285714286</v>
      </c>
      <c r="Q7">
        <v>73.834666666666706</v>
      </c>
      <c r="R7">
        <v>65.677499999999995</v>
      </c>
      <c r="S7">
        <v>68.824600000000004</v>
      </c>
      <c r="T7">
        <v>76.091727272727297</v>
      </c>
      <c r="U7">
        <v>73.111500000000007</v>
      </c>
    </row>
    <row r="8" spans="1:21" x14ac:dyDescent="0.2">
      <c r="A8" t="s">
        <v>33</v>
      </c>
      <c r="B8" t="s">
        <v>34</v>
      </c>
      <c r="C8">
        <v>82.004489145658297</v>
      </c>
      <c r="D8">
        <v>7</v>
      </c>
      <c r="E8">
        <v>99.222499999999997</v>
      </c>
      <c r="F8">
        <v>60.794874999999998</v>
      </c>
      <c r="G8">
        <v>97.1151428571428</v>
      </c>
      <c r="H8">
        <v>97.987333333333297</v>
      </c>
      <c r="I8">
        <v>92.879249999999999</v>
      </c>
      <c r="J8">
        <v>83.661799999999999</v>
      </c>
      <c r="K8">
        <v>98.538250000000005</v>
      </c>
      <c r="L8">
        <v>85.932428571428602</v>
      </c>
      <c r="M8">
        <v>92.442999999999998</v>
      </c>
      <c r="N8">
        <v>99.406000000000006</v>
      </c>
      <c r="O8">
        <v>91.164749999999998</v>
      </c>
      <c r="P8">
        <v>39.775285714285701</v>
      </c>
      <c r="Q8">
        <v>20.684999999999999</v>
      </c>
      <c r="R8">
        <v>74.578999999999994</v>
      </c>
      <c r="S8">
        <v>74.123199999999997</v>
      </c>
      <c r="T8">
        <v>91.742000000000004</v>
      </c>
      <c r="U8">
        <v>94.026499999999999</v>
      </c>
    </row>
    <row r="9" spans="1:21" x14ac:dyDescent="0.2">
      <c r="A9" t="s">
        <v>35</v>
      </c>
      <c r="B9" t="s">
        <v>36</v>
      </c>
      <c r="C9">
        <v>81.874552233122301</v>
      </c>
      <c r="D9">
        <v>8</v>
      </c>
      <c r="E9">
        <v>99.897499999999994</v>
      </c>
      <c r="F9">
        <v>62.0535</v>
      </c>
      <c r="G9">
        <v>90.150615384615406</v>
      </c>
      <c r="H9">
        <v>93.870333333333306</v>
      </c>
      <c r="I9">
        <v>74.321749999999994</v>
      </c>
      <c r="J9">
        <v>82.875799999999998</v>
      </c>
      <c r="K9">
        <v>75.962999999999994</v>
      </c>
      <c r="L9">
        <v>88.041285714285706</v>
      </c>
      <c r="M9">
        <v>83.795000000000002</v>
      </c>
      <c r="N9">
        <v>100</v>
      </c>
      <c r="O9">
        <v>94.517250000000004</v>
      </c>
      <c r="P9">
        <v>62.779571428571401</v>
      </c>
      <c r="Q9">
        <v>72.235666666666702</v>
      </c>
      <c r="S9">
        <v>92.465599999999995</v>
      </c>
      <c r="T9">
        <v>84.204272727272695</v>
      </c>
      <c r="U9">
        <v>68.558250000000001</v>
      </c>
    </row>
    <row r="10" spans="1:21" x14ac:dyDescent="0.2">
      <c r="A10" t="s">
        <v>37</v>
      </c>
      <c r="B10" t="s">
        <v>38</v>
      </c>
      <c r="C10">
        <v>81.800175557775603</v>
      </c>
      <c r="D10">
        <v>9</v>
      </c>
      <c r="E10">
        <v>99.040499999999994</v>
      </c>
      <c r="F10">
        <v>67.493499999999997</v>
      </c>
      <c r="G10">
        <v>85.169461538461505</v>
      </c>
      <c r="H10">
        <v>97.450500000000005</v>
      </c>
      <c r="I10">
        <v>73.145750000000007</v>
      </c>
      <c r="J10">
        <v>84.381600000000006</v>
      </c>
      <c r="K10">
        <v>71.185749999999999</v>
      </c>
      <c r="L10">
        <v>86.8642857142857</v>
      </c>
      <c r="M10">
        <v>80.272000000000006</v>
      </c>
      <c r="N10">
        <v>93.384500000000003</v>
      </c>
      <c r="O10">
        <v>87.799750000000003</v>
      </c>
      <c r="P10">
        <v>74.133285714285705</v>
      </c>
      <c r="Q10">
        <v>75.280333333333303</v>
      </c>
      <c r="R10">
        <v>72.136499999999998</v>
      </c>
      <c r="S10">
        <v>92.868200000000002</v>
      </c>
      <c r="T10">
        <v>77.372818181818204</v>
      </c>
      <c r="U10">
        <v>72.624250000000004</v>
      </c>
    </row>
    <row r="11" spans="1:21" x14ac:dyDescent="0.2">
      <c r="A11" t="s">
        <v>39</v>
      </c>
      <c r="B11" t="s">
        <v>40</v>
      </c>
      <c r="C11">
        <v>81.683346473134705</v>
      </c>
      <c r="D11">
        <v>10</v>
      </c>
      <c r="E11">
        <v>99.983500000000006</v>
      </c>
      <c r="F11">
        <v>63.176000000000002</v>
      </c>
      <c r="G11">
        <v>89.497</v>
      </c>
      <c r="H11">
        <v>96.052000000000007</v>
      </c>
      <c r="I11">
        <v>76.777749999999997</v>
      </c>
      <c r="J11">
        <v>84.073999999999998</v>
      </c>
      <c r="K11">
        <v>77.991249999999994</v>
      </c>
      <c r="L11">
        <v>82.155428571428601</v>
      </c>
      <c r="M11">
        <v>83.315142857142902</v>
      </c>
      <c r="N11">
        <v>89.102000000000004</v>
      </c>
      <c r="O11">
        <v>90.482249999999993</v>
      </c>
      <c r="P11">
        <v>52.608142857142902</v>
      </c>
      <c r="Q11">
        <v>61.460333333333303</v>
      </c>
      <c r="R11">
        <v>87.504833333333295</v>
      </c>
      <c r="S11">
        <v>96.145600000000002</v>
      </c>
      <c r="T11">
        <v>91.0239090909091</v>
      </c>
      <c r="U11">
        <v>67.267750000000007</v>
      </c>
    </row>
    <row r="12" spans="1:21" x14ac:dyDescent="0.2">
      <c r="A12" t="s">
        <v>41</v>
      </c>
      <c r="B12" t="s">
        <v>42</v>
      </c>
      <c r="C12">
        <v>81.653142717086794</v>
      </c>
      <c r="D12">
        <v>11</v>
      </c>
      <c r="E12">
        <v>98.956500000000005</v>
      </c>
      <c r="F12">
        <v>68.389499999999998</v>
      </c>
      <c r="G12">
        <v>93.076333333333295</v>
      </c>
      <c r="H12">
        <v>98.192999999999998</v>
      </c>
      <c r="I12">
        <v>84.104749999999996</v>
      </c>
      <c r="J12">
        <v>94.3934</v>
      </c>
      <c r="K12">
        <v>74.774749999999997</v>
      </c>
      <c r="L12">
        <v>83.990285714285704</v>
      </c>
      <c r="M12">
        <v>91.823857142857193</v>
      </c>
      <c r="N12">
        <v>71.483500000000006</v>
      </c>
      <c r="O12">
        <v>91.313500000000005</v>
      </c>
      <c r="P12">
        <v>63.475000000000001</v>
      </c>
      <c r="Q12">
        <v>70.944000000000003</v>
      </c>
      <c r="R12">
        <v>76.064999999999998</v>
      </c>
      <c r="S12">
        <v>86.174199999999999</v>
      </c>
      <c r="T12">
        <v>81.0501</v>
      </c>
      <c r="U12">
        <v>59.89575</v>
      </c>
    </row>
    <row r="13" spans="1:21" x14ac:dyDescent="0.2">
      <c r="A13" t="s">
        <v>43</v>
      </c>
      <c r="B13" t="s">
        <v>44</v>
      </c>
      <c r="C13">
        <v>81.495508823529406</v>
      </c>
      <c r="D13">
        <v>12</v>
      </c>
      <c r="E13">
        <v>99.990499999999997</v>
      </c>
      <c r="F13">
        <v>74.260000000000005</v>
      </c>
      <c r="G13">
        <v>86.3578571428571</v>
      </c>
      <c r="H13">
        <v>95.655000000000001</v>
      </c>
      <c r="I13">
        <v>71.105000000000004</v>
      </c>
      <c r="J13">
        <v>86.356999999999999</v>
      </c>
      <c r="K13">
        <v>83.199250000000006</v>
      </c>
      <c r="L13">
        <v>82.7444285714286</v>
      </c>
      <c r="M13">
        <v>74.679285714285697</v>
      </c>
      <c r="N13">
        <v>94.183999999999997</v>
      </c>
      <c r="O13">
        <v>80.735500000000002</v>
      </c>
      <c r="P13">
        <v>68.325428571428603</v>
      </c>
      <c r="Q13">
        <v>83.505666666666698</v>
      </c>
      <c r="R13">
        <v>84.611333333333306</v>
      </c>
      <c r="S13">
        <v>88.169799999999995</v>
      </c>
      <c r="T13">
        <v>72.106099999999998</v>
      </c>
      <c r="U13">
        <v>59.4375</v>
      </c>
    </row>
    <row r="14" spans="1:21" x14ac:dyDescent="0.2">
      <c r="A14" t="s">
        <v>45</v>
      </c>
      <c r="B14" t="s">
        <v>46</v>
      </c>
      <c r="C14">
        <v>81.006653660555102</v>
      </c>
      <c r="D14">
        <v>13</v>
      </c>
      <c r="E14">
        <v>99.400999999999996</v>
      </c>
      <c r="F14">
        <v>66.608874999999998</v>
      </c>
      <c r="G14">
        <v>92.355285714285699</v>
      </c>
      <c r="H14">
        <v>95.611249999999998</v>
      </c>
      <c r="I14">
        <v>77.041250000000005</v>
      </c>
      <c r="J14">
        <v>87.813800000000001</v>
      </c>
      <c r="K14">
        <v>80.156499999999994</v>
      </c>
      <c r="L14">
        <v>84.899142857142905</v>
      </c>
      <c r="M14">
        <v>80.810857142857202</v>
      </c>
      <c r="N14">
        <v>100</v>
      </c>
      <c r="O14">
        <v>85.646666666666704</v>
      </c>
      <c r="P14">
        <v>54.058999999999997</v>
      </c>
      <c r="Q14">
        <v>69.117666666666693</v>
      </c>
      <c r="R14">
        <v>71.294799999999995</v>
      </c>
      <c r="S14">
        <v>83.572199999999995</v>
      </c>
      <c r="T14">
        <v>80.513818181818195</v>
      </c>
      <c r="U14">
        <v>68.210999999999999</v>
      </c>
    </row>
    <row r="15" spans="1:21" x14ac:dyDescent="0.2">
      <c r="A15" t="s">
        <v>47</v>
      </c>
      <c r="B15" t="s">
        <v>48</v>
      </c>
      <c r="C15">
        <v>80.681642876241398</v>
      </c>
      <c r="D15">
        <v>14</v>
      </c>
      <c r="E15">
        <v>99.983500000000006</v>
      </c>
      <c r="F15">
        <v>64.230125000000001</v>
      </c>
      <c r="G15">
        <v>84.304642857142895</v>
      </c>
      <c r="H15">
        <v>97.832750000000004</v>
      </c>
      <c r="I15">
        <v>77.472250000000003</v>
      </c>
      <c r="J15">
        <v>89.184200000000004</v>
      </c>
      <c r="K15">
        <v>88.85275</v>
      </c>
      <c r="L15">
        <v>84.469857142857094</v>
      </c>
      <c r="M15">
        <v>77.0038571428571</v>
      </c>
      <c r="N15">
        <v>72.641000000000005</v>
      </c>
      <c r="O15">
        <v>86.691249999999997</v>
      </c>
      <c r="P15">
        <v>58.840428571428603</v>
      </c>
      <c r="Q15">
        <v>71.675333333333299</v>
      </c>
      <c r="R15">
        <v>84.026166666666697</v>
      </c>
      <c r="S15">
        <v>97.849000000000004</v>
      </c>
      <c r="T15">
        <v>82.1398181818182</v>
      </c>
      <c r="U15">
        <v>54.390999999999998</v>
      </c>
    </row>
    <row r="16" spans="1:21" x14ac:dyDescent="0.2">
      <c r="A16" t="s">
        <v>49</v>
      </c>
      <c r="B16" t="s">
        <v>50</v>
      </c>
      <c r="C16">
        <v>80.537389066876699</v>
      </c>
      <c r="D16">
        <v>15</v>
      </c>
      <c r="E16">
        <v>99.462999999999994</v>
      </c>
      <c r="F16">
        <v>67.914124999999999</v>
      </c>
      <c r="G16">
        <v>96.028642857142898</v>
      </c>
      <c r="H16">
        <v>98.525000000000006</v>
      </c>
      <c r="I16">
        <v>85.917000000000002</v>
      </c>
      <c r="J16">
        <v>90.523200000000003</v>
      </c>
      <c r="K16">
        <v>83.417249999999996</v>
      </c>
      <c r="L16">
        <v>81.591999999999999</v>
      </c>
      <c r="M16">
        <v>97.217714285714294</v>
      </c>
      <c r="N16">
        <v>82.424999999999997</v>
      </c>
      <c r="O16">
        <v>99.058250000000001</v>
      </c>
      <c r="P16">
        <v>58.241714285714302</v>
      </c>
      <c r="Q16">
        <v>60.973999999999997</v>
      </c>
      <c r="S16">
        <v>66.325599999999994</v>
      </c>
      <c r="T16">
        <v>81.003874999999994</v>
      </c>
      <c r="U16">
        <v>54.371250000000003</v>
      </c>
    </row>
    <row r="17" spans="1:21" x14ac:dyDescent="0.2">
      <c r="A17" t="s">
        <v>51</v>
      </c>
      <c r="B17" t="s">
        <v>52</v>
      </c>
      <c r="C17">
        <v>80.425091488413599</v>
      </c>
      <c r="D17">
        <v>16</v>
      </c>
      <c r="E17">
        <v>98.739000000000004</v>
      </c>
      <c r="F17">
        <v>65.396625</v>
      </c>
      <c r="G17">
        <v>94.237857142857195</v>
      </c>
      <c r="H17">
        <v>97.423500000000004</v>
      </c>
      <c r="I17">
        <v>86.866500000000002</v>
      </c>
      <c r="J17">
        <v>87.351399999999998</v>
      </c>
      <c r="K17">
        <v>78.074250000000006</v>
      </c>
      <c r="L17">
        <v>79.3655714285714</v>
      </c>
      <c r="M17">
        <v>90.246857142857095</v>
      </c>
      <c r="N17">
        <v>81.36</v>
      </c>
      <c r="O17">
        <v>91.884749999999997</v>
      </c>
      <c r="P17">
        <v>67.941714285714298</v>
      </c>
      <c r="Q17">
        <v>80.198666666666696</v>
      </c>
      <c r="R17">
        <v>59.524999999999999</v>
      </c>
      <c r="S17">
        <v>66.423000000000002</v>
      </c>
      <c r="T17">
        <v>79.239363636363606</v>
      </c>
      <c r="U17">
        <v>62.952500000000001</v>
      </c>
    </row>
    <row r="18" spans="1:21" x14ac:dyDescent="0.2">
      <c r="A18" t="s">
        <v>53</v>
      </c>
      <c r="B18" t="s">
        <v>54</v>
      </c>
      <c r="C18">
        <v>80.147938349885393</v>
      </c>
      <c r="D18">
        <v>17</v>
      </c>
      <c r="E18">
        <v>99.947000000000003</v>
      </c>
      <c r="F18">
        <v>67.661749999999998</v>
      </c>
      <c r="G18">
        <v>94.441000000000003</v>
      </c>
      <c r="H18">
        <v>98.984999999999999</v>
      </c>
      <c r="I18">
        <v>77.6815</v>
      </c>
      <c r="J18">
        <v>82.905199999999994</v>
      </c>
      <c r="K18">
        <v>74.776250000000005</v>
      </c>
      <c r="L18">
        <v>87.042428571428601</v>
      </c>
      <c r="M18">
        <v>86.473285714285694</v>
      </c>
      <c r="N18">
        <v>90.3215</v>
      </c>
      <c r="O18">
        <v>90.783749999999998</v>
      </c>
      <c r="P18">
        <v>45.858428571428597</v>
      </c>
      <c r="Q18">
        <v>54.052666666666703</v>
      </c>
      <c r="R18">
        <v>72.609333333333296</v>
      </c>
      <c r="S18">
        <v>88.649199999999993</v>
      </c>
      <c r="T18">
        <v>89.119909090909104</v>
      </c>
      <c r="U18">
        <v>61.20675</v>
      </c>
    </row>
    <row r="19" spans="1:21" x14ac:dyDescent="0.2">
      <c r="A19" t="s">
        <v>55</v>
      </c>
      <c r="B19" t="s">
        <v>56</v>
      </c>
      <c r="C19">
        <v>80.017487178507807</v>
      </c>
      <c r="D19">
        <v>18</v>
      </c>
      <c r="E19">
        <v>99.9375</v>
      </c>
      <c r="F19">
        <v>64.283000000000001</v>
      </c>
      <c r="G19">
        <v>92.073357142857105</v>
      </c>
      <c r="H19">
        <v>98.592250000000007</v>
      </c>
      <c r="I19">
        <v>84.220749999999995</v>
      </c>
      <c r="J19">
        <v>80.270200000000003</v>
      </c>
      <c r="K19">
        <v>83.458749999999995</v>
      </c>
      <c r="L19">
        <v>81.205571428571403</v>
      </c>
      <c r="M19">
        <v>82.216857142857194</v>
      </c>
      <c r="N19">
        <v>84.41</v>
      </c>
      <c r="O19">
        <v>88.016000000000005</v>
      </c>
      <c r="P19">
        <v>67.418285714285702</v>
      </c>
      <c r="Q19">
        <v>84.107666666666702</v>
      </c>
      <c r="R19">
        <v>49.389166666666704</v>
      </c>
      <c r="S19">
        <v>73.916200000000003</v>
      </c>
      <c r="T19">
        <v>80.882727272727294</v>
      </c>
      <c r="U19">
        <v>65.899000000000001</v>
      </c>
    </row>
    <row r="20" spans="1:21" x14ac:dyDescent="0.2">
      <c r="A20" t="s">
        <v>57</v>
      </c>
      <c r="B20" t="s">
        <v>58</v>
      </c>
      <c r="C20">
        <v>79.455058441558407</v>
      </c>
      <c r="D20">
        <v>19</v>
      </c>
      <c r="E20">
        <v>99.453000000000003</v>
      </c>
      <c r="F20">
        <v>71.220249999999993</v>
      </c>
      <c r="G20">
        <v>93.391833333333295</v>
      </c>
      <c r="H20">
        <v>95.316666666666706</v>
      </c>
      <c r="I20">
        <v>87.835750000000004</v>
      </c>
      <c r="J20">
        <v>70.596199999999996</v>
      </c>
      <c r="K20">
        <v>73.97</v>
      </c>
      <c r="L20">
        <v>84.280714285714296</v>
      </c>
      <c r="M20">
        <v>97.101285714285694</v>
      </c>
      <c r="N20">
        <v>100</v>
      </c>
      <c r="O20">
        <v>88.145750000000007</v>
      </c>
      <c r="P20">
        <v>44.938857142857202</v>
      </c>
      <c r="Q20">
        <v>52.887999999999998</v>
      </c>
      <c r="R20">
        <v>56.673999999999999</v>
      </c>
      <c r="S20">
        <v>81.7988</v>
      </c>
      <c r="T20">
        <v>85.762636363636403</v>
      </c>
      <c r="U20">
        <v>67.362250000000003</v>
      </c>
    </row>
    <row r="21" spans="1:21" x14ac:dyDescent="0.2">
      <c r="A21" t="s">
        <v>59</v>
      </c>
      <c r="B21" t="s">
        <v>60</v>
      </c>
      <c r="C21">
        <v>79.421189152024496</v>
      </c>
      <c r="D21">
        <v>20</v>
      </c>
      <c r="E21">
        <v>99.265000000000001</v>
      </c>
      <c r="F21">
        <v>67.652249999999995</v>
      </c>
      <c r="G21">
        <v>95.670857142857102</v>
      </c>
      <c r="H21">
        <v>99.293000000000006</v>
      </c>
      <c r="I21">
        <v>85.1</v>
      </c>
      <c r="J21">
        <v>87.189599999999999</v>
      </c>
      <c r="K21">
        <v>72.017250000000004</v>
      </c>
      <c r="L21">
        <v>86.262571428571405</v>
      </c>
      <c r="M21">
        <v>93.410571428571401</v>
      </c>
      <c r="N21">
        <v>89.793000000000006</v>
      </c>
      <c r="O21">
        <v>92.89725</v>
      </c>
      <c r="P21">
        <v>47.652142857142898</v>
      </c>
      <c r="Q21">
        <v>43.279000000000003</v>
      </c>
      <c r="R21">
        <v>55.329000000000001</v>
      </c>
      <c r="S21">
        <v>77.863200000000006</v>
      </c>
      <c r="T21">
        <v>86.666272727272698</v>
      </c>
      <c r="U21">
        <v>70.819249999999997</v>
      </c>
    </row>
    <row r="22" spans="1:21" x14ac:dyDescent="0.2">
      <c r="A22" t="s">
        <v>61</v>
      </c>
      <c r="B22" t="s">
        <v>62</v>
      </c>
      <c r="C22">
        <v>79.414127742355703</v>
      </c>
      <c r="D22">
        <v>21</v>
      </c>
      <c r="E22">
        <v>99.295500000000004</v>
      </c>
      <c r="F22">
        <v>75.177625000000006</v>
      </c>
      <c r="G22">
        <v>94.574076923076902</v>
      </c>
      <c r="H22">
        <v>93.934333333333299</v>
      </c>
      <c r="I22">
        <v>61.6995</v>
      </c>
      <c r="J22">
        <v>84.9298</v>
      </c>
      <c r="K22">
        <v>72.632499999999993</v>
      </c>
      <c r="L22">
        <v>88.196142857142902</v>
      </c>
      <c r="M22">
        <v>94.400285714285701</v>
      </c>
      <c r="N22">
        <v>80.519499999999994</v>
      </c>
      <c r="O22">
        <v>84.209666666666706</v>
      </c>
      <c r="P22">
        <v>66.059571428571402</v>
      </c>
      <c r="Q22">
        <v>73.465000000000003</v>
      </c>
      <c r="R22">
        <v>55.8378333333333</v>
      </c>
      <c r="S22">
        <v>63.1462</v>
      </c>
      <c r="T22">
        <v>86.321636363636401</v>
      </c>
      <c r="U22">
        <v>75.641000000000005</v>
      </c>
    </row>
    <row r="23" spans="1:21" x14ac:dyDescent="0.2">
      <c r="A23" t="s">
        <v>63</v>
      </c>
      <c r="B23" t="s">
        <v>64</v>
      </c>
      <c r="C23">
        <v>79.3934453385463</v>
      </c>
      <c r="D23">
        <v>22</v>
      </c>
      <c r="E23">
        <v>98.929000000000002</v>
      </c>
      <c r="F23">
        <v>70.321624999999997</v>
      </c>
      <c r="G23">
        <v>83.639615384615396</v>
      </c>
      <c r="H23">
        <v>92.756500000000003</v>
      </c>
      <c r="I23">
        <v>66.798749999999998</v>
      </c>
      <c r="J23">
        <v>86.5822</v>
      </c>
      <c r="K23">
        <v>73.935249999999996</v>
      </c>
      <c r="L23">
        <v>84.649571428571406</v>
      </c>
      <c r="M23">
        <v>80.279142857142901</v>
      </c>
      <c r="N23">
        <v>92.728999999999999</v>
      </c>
      <c r="O23">
        <v>89.306749999999994</v>
      </c>
      <c r="P23">
        <v>76.066714285714298</v>
      </c>
      <c r="Q23">
        <v>77.906999999999996</v>
      </c>
      <c r="S23">
        <v>86.480800000000002</v>
      </c>
      <c r="T23">
        <v>69.108909090909094</v>
      </c>
      <c r="U23">
        <v>54.059750000000001</v>
      </c>
    </row>
    <row r="24" spans="1:21" x14ac:dyDescent="0.2">
      <c r="A24" t="s">
        <v>65</v>
      </c>
      <c r="B24" t="s">
        <v>66</v>
      </c>
      <c r="C24">
        <v>79.120326118060902</v>
      </c>
      <c r="D24">
        <v>23</v>
      </c>
      <c r="E24">
        <v>99.153000000000006</v>
      </c>
      <c r="F24">
        <v>72.338250000000002</v>
      </c>
      <c r="G24">
        <v>87.782714285714306</v>
      </c>
      <c r="H24">
        <v>81.983666666666693</v>
      </c>
      <c r="I24">
        <v>73.665000000000006</v>
      </c>
      <c r="J24">
        <v>81.768799999999999</v>
      </c>
      <c r="K24">
        <v>77.239500000000007</v>
      </c>
      <c r="L24">
        <v>81.491285714285695</v>
      </c>
      <c r="M24">
        <v>73.572857142857103</v>
      </c>
      <c r="N24">
        <v>100</v>
      </c>
      <c r="O24">
        <v>83.957499999999996</v>
      </c>
      <c r="P24">
        <v>69.393571428571406</v>
      </c>
      <c r="Q24">
        <v>70.565333333333299</v>
      </c>
      <c r="S24">
        <v>89.204800000000006</v>
      </c>
      <c r="T24">
        <v>77.822272727272704</v>
      </c>
      <c r="U24">
        <v>58.969000000000001</v>
      </c>
    </row>
    <row r="25" spans="1:21" x14ac:dyDescent="0.2">
      <c r="A25" t="s">
        <v>67</v>
      </c>
      <c r="B25" t="s">
        <v>68</v>
      </c>
      <c r="C25">
        <v>78.786836070791907</v>
      </c>
      <c r="D25">
        <v>24</v>
      </c>
      <c r="E25">
        <v>97.503500000000003</v>
      </c>
      <c r="F25">
        <v>69.827250000000006</v>
      </c>
      <c r="G25">
        <v>93.863428571428599</v>
      </c>
      <c r="H25">
        <v>94.19</v>
      </c>
      <c r="I25">
        <v>74.34975</v>
      </c>
      <c r="J25">
        <v>80.812799999999996</v>
      </c>
      <c r="K25">
        <v>76.862250000000003</v>
      </c>
      <c r="L25">
        <v>79.862857142857095</v>
      </c>
      <c r="M25">
        <v>87.504999999999995</v>
      </c>
      <c r="N25">
        <v>77.905000000000001</v>
      </c>
      <c r="O25">
        <v>74.64</v>
      </c>
      <c r="P25">
        <v>71.550571428571402</v>
      </c>
      <c r="Q25">
        <v>79.868333333333297</v>
      </c>
      <c r="R25">
        <v>62.645000000000003</v>
      </c>
      <c r="S25">
        <v>79.910200000000003</v>
      </c>
      <c r="T25">
        <v>72.921272727272694</v>
      </c>
      <c r="U25">
        <v>65.159000000000006</v>
      </c>
    </row>
    <row r="26" spans="1:21" x14ac:dyDescent="0.2">
      <c r="A26" t="s">
        <v>69</v>
      </c>
      <c r="B26" t="s">
        <v>70</v>
      </c>
      <c r="C26">
        <v>78.634375617519694</v>
      </c>
      <c r="D26">
        <v>25</v>
      </c>
      <c r="E26">
        <v>98.668499999999995</v>
      </c>
      <c r="F26">
        <v>63.039499999999997</v>
      </c>
      <c r="G26">
        <v>76.634</v>
      </c>
      <c r="H26">
        <v>99.626750000000001</v>
      </c>
      <c r="I26">
        <v>76.760000000000005</v>
      </c>
      <c r="J26">
        <v>70.392399999999995</v>
      </c>
      <c r="K26">
        <v>78.999499999999998</v>
      </c>
      <c r="L26">
        <v>75.864000000000004</v>
      </c>
      <c r="M26">
        <v>40.208142857142903</v>
      </c>
      <c r="N26">
        <v>99.593999999999994</v>
      </c>
      <c r="O26">
        <v>87.470749999999995</v>
      </c>
      <c r="P26">
        <v>79.090571428571394</v>
      </c>
      <c r="Q26">
        <v>90.578000000000003</v>
      </c>
      <c r="S26">
        <v>89.298199999999994</v>
      </c>
      <c r="T26">
        <v>68.079800000000006</v>
      </c>
      <c r="U26">
        <v>77.166250000000005</v>
      </c>
    </row>
    <row r="27" spans="1:21" x14ac:dyDescent="0.2">
      <c r="A27" t="s">
        <v>71</v>
      </c>
      <c r="B27" t="s">
        <v>72</v>
      </c>
      <c r="C27">
        <v>78.496779682082604</v>
      </c>
      <c r="D27">
        <v>26</v>
      </c>
      <c r="E27">
        <v>99.600499999999997</v>
      </c>
      <c r="F27">
        <v>63.534999999999997</v>
      </c>
      <c r="G27">
        <v>93.873846153846202</v>
      </c>
      <c r="H27">
        <v>99.399666666666704</v>
      </c>
      <c r="I27">
        <v>83.909000000000006</v>
      </c>
      <c r="J27">
        <v>86.118600000000001</v>
      </c>
      <c r="K27">
        <v>80.280249999999995</v>
      </c>
      <c r="L27">
        <v>84.588999999999999</v>
      </c>
      <c r="M27">
        <v>87.275142857142896</v>
      </c>
      <c r="N27">
        <v>89.331000000000003</v>
      </c>
      <c r="O27">
        <v>90.629750000000001</v>
      </c>
      <c r="P27">
        <v>51.692142857142898</v>
      </c>
      <c r="Q27">
        <v>39.618333333333297</v>
      </c>
      <c r="R27">
        <v>62.104500000000002</v>
      </c>
      <c r="S27">
        <v>60.78</v>
      </c>
      <c r="T27">
        <v>81.784272727272693</v>
      </c>
      <c r="U27">
        <v>79.924250000000001</v>
      </c>
    </row>
    <row r="28" spans="1:21" x14ac:dyDescent="0.2">
      <c r="A28" t="s">
        <v>73</v>
      </c>
      <c r="B28" t="s">
        <v>74</v>
      </c>
      <c r="C28">
        <v>78.433330654718901</v>
      </c>
      <c r="D28">
        <v>27</v>
      </c>
      <c r="F28">
        <v>59.524999999999999</v>
      </c>
      <c r="G28">
        <v>92.482500000000002</v>
      </c>
      <c r="H28">
        <v>94.140333333333302</v>
      </c>
      <c r="I28">
        <v>91.374250000000004</v>
      </c>
      <c r="J28">
        <v>89.616600000000005</v>
      </c>
      <c r="K28">
        <v>84.318250000000006</v>
      </c>
      <c r="L28">
        <v>87.750142857142905</v>
      </c>
      <c r="M28">
        <v>89.893000000000001</v>
      </c>
      <c r="N28">
        <v>81.25</v>
      </c>
      <c r="O28">
        <v>87.581249999999997</v>
      </c>
      <c r="P28">
        <v>49.025857142857198</v>
      </c>
      <c r="Q28">
        <v>66.055333333333294</v>
      </c>
      <c r="R28">
        <v>53.181333333333299</v>
      </c>
      <c r="S28">
        <v>48.964799999999997</v>
      </c>
      <c r="T28">
        <v>87.410545454545499</v>
      </c>
      <c r="U28">
        <v>72.642250000000004</v>
      </c>
    </row>
    <row r="29" spans="1:21" x14ac:dyDescent="0.2">
      <c r="A29" t="s">
        <v>75</v>
      </c>
      <c r="B29" t="s">
        <v>76</v>
      </c>
      <c r="C29">
        <v>78.368834460147696</v>
      </c>
      <c r="D29">
        <v>28</v>
      </c>
      <c r="E29">
        <v>99.231499999999997</v>
      </c>
      <c r="F29">
        <v>66.624875000000003</v>
      </c>
      <c r="G29">
        <v>90.324857142857098</v>
      </c>
      <c r="H29">
        <v>97.135750000000002</v>
      </c>
      <c r="I29">
        <v>65.436499999999995</v>
      </c>
      <c r="J29">
        <v>87.650999999999996</v>
      </c>
      <c r="K29">
        <v>76.401250000000005</v>
      </c>
      <c r="L29">
        <v>73.793142857142897</v>
      </c>
      <c r="M29">
        <v>81.570999999999998</v>
      </c>
      <c r="N29">
        <v>84.612499999999997</v>
      </c>
      <c r="O29">
        <v>85.577749999999995</v>
      </c>
      <c r="P29">
        <v>64.809571428571402</v>
      </c>
      <c r="Q29">
        <v>80.218000000000004</v>
      </c>
      <c r="R29">
        <v>65.819166666666703</v>
      </c>
      <c r="S29">
        <v>81.172799999999995</v>
      </c>
      <c r="T29">
        <v>71.081272727272705</v>
      </c>
      <c r="U29">
        <v>60.809249999999999</v>
      </c>
    </row>
    <row r="30" spans="1:21" x14ac:dyDescent="0.2">
      <c r="A30" t="s">
        <v>77</v>
      </c>
      <c r="B30" t="s">
        <v>78</v>
      </c>
      <c r="C30">
        <v>78.266441806722696</v>
      </c>
      <c r="D30">
        <v>29</v>
      </c>
      <c r="E30">
        <v>99.864500000000007</v>
      </c>
      <c r="F30">
        <v>53.484285714285697</v>
      </c>
      <c r="G30">
        <v>96.408071428571404</v>
      </c>
      <c r="H30">
        <v>98.093333333333305</v>
      </c>
      <c r="I30">
        <v>94.021666666666704</v>
      </c>
      <c r="J30">
        <v>59.7898</v>
      </c>
      <c r="K30">
        <v>99.550749999999994</v>
      </c>
      <c r="L30">
        <v>77.667666666666705</v>
      </c>
      <c r="M30">
        <v>87.427000000000007</v>
      </c>
      <c r="N30">
        <v>100</v>
      </c>
      <c r="O30">
        <v>86.769499999999994</v>
      </c>
      <c r="P30">
        <v>37.729428571428599</v>
      </c>
      <c r="Q30">
        <v>51.423333333333296</v>
      </c>
      <c r="R30">
        <v>62.777799999999999</v>
      </c>
      <c r="S30">
        <v>54.363500000000002</v>
      </c>
      <c r="T30">
        <v>93.836624999999998</v>
      </c>
      <c r="U30">
        <v>77.322249999999997</v>
      </c>
    </row>
    <row r="31" spans="1:21" x14ac:dyDescent="0.2">
      <c r="A31" t="s">
        <v>79</v>
      </c>
      <c r="B31" t="s">
        <v>80</v>
      </c>
      <c r="C31">
        <v>78.2237712184874</v>
      </c>
      <c r="D31">
        <v>30</v>
      </c>
      <c r="E31">
        <v>96.352000000000004</v>
      </c>
      <c r="F31">
        <v>71.542874999999995</v>
      </c>
      <c r="G31">
        <v>88.395142857142901</v>
      </c>
      <c r="H31">
        <v>97.766249999999999</v>
      </c>
      <c r="I31">
        <v>77.73075</v>
      </c>
      <c r="J31">
        <v>89.379800000000003</v>
      </c>
      <c r="K31">
        <v>81.280500000000004</v>
      </c>
      <c r="L31">
        <v>84.069142857142893</v>
      </c>
      <c r="M31">
        <v>75.331999999999994</v>
      </c>
      <c r="N31">
        <v>25.492999999999999</v>
      </c>
      <c r="O31">
        <v>85.524249999999995</v>
      </c>
      <c r="P31">
        <v>77.751000000000005</v>
      </c>
      <c r="Q31">
        <v>82.278999999999996</v>
      </c>
      <c r="R31">
        <v>80.182599999999994</v>
      </c>
      <c r="S31">
        <v>61.147799999999997</v>
      </c>
      <c r="T31">
        <v>69.784999999999997</v>
      </c>
      <c r="U31">
        <v>85.793000000000006</v>
      </c>
    </row>
    <row r="32" spans="1:21" x14ac:dyDescent="0.2">
      <c r="A32" t="s">
        <v>81</v>
      </c>
      <c r="B32" t="s">
        <v>82</v>
      </c>
      <c r="C32">
        <v>78.061950274725305</v>
      </c>
      <c r="D32">
        <v>31</v>
      </c>
      <c r="E32">
        <v>99.478499999999997</v>
      </c>
      <c r="F32">
        <v>82.902124999999998</v>
      </c>
      <c r="G32">
        <v>92.783615384615402</v>
      </c>
      <c r="H32">
        <v>92.331249999999997</v>
      </c>
      <c r="I32">
        <v>66.303250000000006</v>
      </c>
      <c r="J32">
        <v>74.022800000000004</v>
      </c>
      <c r="K32">
        <v>70.573499999999996</v>
      </c>
      <c r="L32">
        <v>85.521142857142905</v>
      </c>
      <c r="M32">
        <v>99.1288571428571</v>
      </c>
      <c r="N32">
        <v>82.632000000000005</v>
      </c>
      <c r="O32">
        <v>87.032333333333298</v>
      </c>
      <c r="P32">
        <v>73.103714285714304</v>
      </c>
      <c r="Q32">
        <v>69.745000000000005</v>
      </c>
      <c r="R32">
        <v>55.428166666666698</v>
      </c>
      <c r="S32">
        <v>54.129800000000003</v>
      </c>
      <c r="T32">
        <v>77.875600000000006</v>
      </c>
      <c r="U32">
        <v>64.061499999999995</v>
      </c>
    </row>
    <row r="33" spans="1:21" x14ac:dyDescent="0.2">
      <c r="A33" t="s">
        <v>83</v>
      </c>
      <c r="B33" t="s">
        <v>84</v>
      </c>
      <c r="C33">
        <v>77.738373605806004</v>
      </c>
      <c r="D33">
        <v>32</v>
      </c>
      <c r="E33">
        <v>98.462500000000006</v>
      </c>
      <c r="F33">
        <v>67.562250000000006</v>
      </c>
      <c r="G33">
        <v>84.733928571428606</v>
      </c>
      <c r="H33">
        <v>90.707750000000004</v>
      </c>
      <c r="I33">
        <v>76.375500000000002</v>
      </c>
      <c r="J33">
        <v>75.793000000000006</v>
      </c>
      <c r="K33">
        <v>97.52225</v>
      </c>
      <c r="L33">
        <v>84.241714285714295</v>
      </c>
      <c r="M33">
        <v>59.871714285714297</v>
      </c>
      <c r="N33">
        <v>51.831499999999998</v>
      </c>
      <c r="O33">
        <v>92.534999999999997</v>
      </c>
      <c r="P33">
        <v>70.791571428571402</v>
      </c>
      <c r="Q33">
        <v>92.452666666666701</v>
      </c>
      <c r="R33">
        <v>60.000666666666703</v>
      </c>
      <c r="S33">
        <v>59.050400000000003</v>
      </c>
      <c r="T33">
        <v>78.127272727272697</v>
      </c>
      <c r="U33">
        <v>81.492666666666693</v>
      </c>
    </row>
    <row r="34" spans="1:21" x14ac:dyDescent="0.2">
      <c r="A34" t="s">
        <v>85</v>
      </c>
      <c r="B34" t="s">
        <v>86</v>
      </c>
      <c r="C34">
        <v>77.645349551979905</v>
      </c>
      <c r="D34">
        <v>33</v>
      </c>
      <c r="E34">
        <v>99.973500000000001</v>
      </c>
      <c r="F34">
        <v>58.858874999999998</v>
      </c>
      <c r="G34">
        <v>96.474428571428604</v>
      </c>
      <c r="H34">
        <v>98.281999999999996</v>
      </c>
      <c r="I34">
        <v>85.255666666666698</v>
      </c>
      <c r="J34">
        <v>81.592399999999998</v>
      </c>
      <c r="K34">
        <v>56.490499999999997</v>
      </c>
      <c r="L34">
        <v>85.683285714285702</v>
      </c>
      <c r="M34">
        <v>88.551714285714297</v>
      </c>
      <c r="N34">
        <v>84.001000000000005</v>
      </c>
      <c r="O34">
        <v>99.014250000000004</v>
      </c>
      <c r="P34">
        <v>39.521714285714303</v>
      </c>
      <c r="Q34">
        <v>49.365333333333297</v>
      </c>
      <c r="S34">
        <v>67.693600000000004</v>
      </c>
      <c r="T34">
        <v>89.694181818181804</v>
      </c>
      <c r="U34">
        <v>73.380499999999998</v>
      </c>
    </row>
    <row r="35" spans="1:21" x14ac:dyDescent="0.2">
      <c r="A35" t="s">
        <v>87</v>
      </c>
      <c r="B35" t="s">
        <v>88</v>
      </c>
      <c r="C35">
        <v>77.495291399286998</v>
      </c>
      <c r="D35">
        <v>34</v>
      </c>
      <c r="E35">
        <v>99.081000000000003</v>
      </c>
      <c r="F35">
        <v>63.578625000000002</v>
      </c>
      <c r="G35">
        <v>83.562714285714307</v>
      </c>
      <c r="H35">
        <v>94.941999999999993</v>
      </c>
      <c r="I35">
        <v>78.960499999999996</v>
      </c>
      <c r="J35">
        <v>83.313000000000002</v>
      </c>
      <c r="K35">
        <v>70.290499999999994</v>
      </c>
      <c r="L35">
        <v>66.609142857142899</v>
      </c>
      <c r="M35">
        <v>55.486428571428597</v>
      </c>
      <c r="N35">
        <v>100</v>
      </c>
      <c r="O35">
        <v>84.996250000000003</v>
      </c>
      <c r="P35">
        <v>71.070714285714303</v>
      </c>
      <c r="Q35">
        <v>68.595666666666702</v>
      </c>
      <c r="S35">
        <v>94.338800000000006</v>
      </c>
      <c r="T35">
        <v>61.233090909090897</v>
      </c>
      <c r="U35">
        <v>76.047499999999999</v>
      </c>
    </row>
    <row r="36" spans="1:21" x14ac:dyDescent="0.2">
      <c r="A36" t="s">
        <v>89</v>
      </c>
      <c r="B36" t="s">
        <v>90</v>
      </c>
      <c r="C36">
        <v>77.460526330532204</v>
      </c>
      <c r="D36">
        <v>35</v>
      </c>
      <c r="E36">
        <v>98.581000000000003</v>
      </c>
      <c r="F36">
        <v>72.9345</v>
      </c>
      <c r="G36">
        <v>80.580428571428598</v>
      </c>
      <c r="H36">
        <v>84.569500000000005</v>
      </c>
      <c r="I36">
        <v>55.134999999999998</v>
      </c>
      <c r="J36">
        <v>76.258200000000002</v>
      </c>
      <c r="K36">
        <v>76.433999999999997</v>
      </c>
      <c r="L36">
        <v>83.168571428571397</v>
      </c>
      <c r="M36">
        <v>69.406714285714301</v>
      </c>
      <c r="N36">
        <v>77.218500000000006</v>
      </c>
      <c r="O36">
        <v>85.270250000000004</v>
      </c>
      <c r="P36">
        <v>79.174000000000007</v>
      </c>
      <c r="Q36">
        <v>87.217333333333301</v>
      </c>
      <c r="R36">
        <v>86.662400000000005</v>
      </c>
      <c r="S36">
        <v>79.509600000000006</v>
      </c>
      <c r="T36">
        <v>73.445700000000002</v>
      </c>
      <c r="U36">
        <v>51.263249999999999</v>
      </c>
    </row>
    <row r="37" spans="1:21" x14ac:dyDescent="0.2">
      <c r="A37" t="s">
        <v>91</v>
      </c>
      <c r="B37" t="s">
        <v>92</v>
      </c>
      <c r="C37">
        <v>77.336971746880593</v>
      </c>
      <c r="D37">
        <v>36</v>
      </c>
      <c r="E37">
        <v>99.983500000000006</v>
      </c>
      <c r="F37">
        <v>75.804749999999999</v>
      </c>
      <c r="G37">
        <v>82.455285714285694</v>
      </c>
      <c r="H37">
        <v>93.613749999999996</v>
      </c>
      <c r="I37">
        <v>64.917500000000004</v>
      </c>
      <c r="J37">
        <v>75.0428</v>
      </c>
      <c r="K37">
        <v>71.410749999999993</v>
      </c>
      <c r="L37">
        <v>81.746428571428595</v>
      </c>
      <c r="M37">
        <v>71.889571428571401</v>
      </c>
      <c r="N37">
        <v>75.266000000000005</v>
      </c>
      <c r="O37">
        <v>73.221333333333405</v>
      </c>
      <c r="P37">
        <v>85.386714285714305</v>
      </c>
      <c r="Q37">
        <v>88.529333333333298</v>
      </c>
      <c r="S37">
        <v>60.751600000000003</v>
      </c>
      <c r="T37">
        <v>65.923181818181803</v>
      </c>
      <c r="U37">
        <v>83.471999999999994</v>
      </c>
    </row>
    <row r="38" spans="1:21" x14ac:dyDescent="0.2">
      <c r="A38" t="s">
        <v>93</v>
      </c>
      <c r="B38" t="s">
        <v>94</v>
      </c>
      <c r="C38">
        <v>76.805112032085603</v>
      </c>
      <c r="D38">
        <v>37</v>
      </c>
      <c r="E38">
        <v>99.983500000000006</v>
      </c>
      <c r="F38">
        <v>59.637999999999998</v>
      </c>
      <c r="G38">
        <v>86.083642857142905</v>
      </c>
      <c r="H38">
        <v>98.138499999999993</v>
      </c>
      <c r="I38">
        <v>75.914000000000001</v>
      </c>
      <c r="J38">
        <v>78.831400000000002</v>
      </c>
      <c r="K38">
        <v>69.943250000000006</v>
      </c>
      <c r="L38">
        <v>81.098571428571404</v>
      </c>
      <c r="M38">
        <v>75.529285714285706</v>
      </c>
      <c r="N38">
        <v>70.888999999999996</v>
      </c>
      <c r="O38">
        <v>82.819749999999999</v>
      </c>
      <c r="P38">
        <v>46.878999999999998</v>
      </c>
      <c r="Q38">
        <v>58.387999999999998</v>
      </c>
      <c r="R38">
        <v>81.986199999999997</v>
      </c>
      <c r="S38">
        <v>95.283600000000007</v>
      </c>
      <c r="T38">
        <v>84.764454545454598</v>
      </c>
      <c r="U38">
        <v>59.516750000000002</v>
      </c>
    </row>
    <row r="39" spans="1:21" x14ac:dyDescent="0.2">
      <c r="A39" t="s">
        <v>95</v>
      </c>
      <c r="B39" t="s">
        <v>96</v>
      </c>
      <c r="C39">
        <v>76.517697905525907</v>
      </c>
      <c r="D39">
        <v>38</v>
      </c>
      <c r="F39">
        <v>67.898124999999993</v>
      </c>
      <c r="G39">
        <v>75.404642857142903</v>
      </c>
      <c r="H39">
        <v>91.875333333333302</v>
      </c>
      <c r="I39">
        <v>67.697249999999997</v>
      </c>
      <c r="J39">
        <v>76.055999999999997</v>
      </c>
      <c r="K39">
        <v>70.716999999999999</v>
      </c>
      <c r="L39">
        <v>78.369142857142904</v>
      </c>
      <c r="M39">
        <v>49.939833333333297</v>
      </c>
      <c r="N39">
        <v>100</v>
      </c>
      <c r="O39">
        <v>80.185749999999999</v>
      </c>
      <c r="P39">
        <v>84.511714285714305</v>
      </c>
      <c r="Q39">
        <v>85.793499999999995</v>
      </c>
      <c r="R39">
        <v>61.366</v>
      </c>
      <c r="S39">
        <v>79.627799999999993</v>
      </c>
      <c r="T39">
        <v>62.795999999999999</v>
      </c>
      <c r="U39">
        <v>76.773750000000007</v>
      </c>
    </row>
    <row r="40" spans="1:21" x14ac:dyDescent="0.2">
      <c r="A40" t="s">
        <v>97</v>
      </c>
      <c r="B40" t="s">
        <v>98</v>
      </c>
      <c r="C40">
        <v>75.914397052457403</v>
      </c>
      <c r="D40">
        <v>39</v>
      </c>
      <c r="E40">
        <v>98.863500000000002</v>
      </c>
      <c r="F40">
        <v>68.605374999999995</v>
      </c>
      <c r="G40">
        <v>88.6767857142857</v>
      </c>
      <c r="H40">
        <v>93.912333333333294</v>
      </c>
      <c r="I40">
        <v>76.790999999999997</v>
      </c>
      <c r="J40">
        <v>83.626199999999997</v>
      </c>
      <c r="K40">
        <v>73.511250000000004</v>
      </c>
      <c r="L40">
        <v>81.903999999999996</v>
      </c>
      <c r="M40">
        <v>97.83</v>
      </c>
      <c r="N40">
        <v>57.469000000000001</v>
      </c>
      <c r="O40">
        <v>89.346249999999998</v>
      </c>
      <c r="P40">
        <v>59.907428571428603</v>
      </c>
      <c r="Q40">
        <v>52.518333333333302</v>
      </c>
      <c r="R40">
        <v>65.659166666666707</v>
      </c>
      <c r="S40">
        <v>60.409399999999998</v>
      </c>
      <c r="T40">
        <v>68.584727272727307</v>
      </c>
      <c r="U40">
        <v>72.930000000000007</v>
      </c>
    </row>
    <row r="41" spans="1:21" x14ac:dyDescent="0.2">
      <c r="A41" t="s">
        <v>99</v>
      </c>
      <c r="B41" t="s">
        <v>100</v>
      </c>
      <c r="C41">
        <v>75.904118512859696</v>
      </c>
      <c r="D41">
        <v>40</v>
      </c>
      <c r="E41">
        <v>99.348500000000001</v>
      </c>
      <c r="F41">
        <v>58.370249999999999</v>
      </c>
      <c r="G41">
        <v>95.216285714285704</v>
      </c>
      <c r="H41">
        <v>89.5683333333333</v>
      </c>
      <c r="I41">
        <v>82.010499999999993</v>
      </c>
      <c r="J41">
        <v>93.898399999999995</v>
      </c>
      <c r="K41">
        <v>72.201750000000004</v>
      </c>
      <c r="L41">
        <v>86.671571428571397</v>
      </c>
      <c r="M41">
        <v>92.226714285714294</v>
      </c>
      <c r="N41">
        <v>79.172499999999999</v>
      </c>
      <c r="O41">
        <v>88.231999999999999</v>
      </c>
      <c r="P41">
        <v>52.336285714285701</v>
      </c>
      <c r="Q41">
        <v>16.858333333333299</v>
      </c>
      <c r="R41">
        <v>65.944000000000003</v>
      </c>
      <c r="S41">
        <v>62.621000000000002</v>
      </c>
      <c r="T41">
        <v>83.128090909090901</v>
      </c>
      <c r="U41">
        <v>72.5655</v>
      </c>
    </row>
    <row r="42" spans="1:21" x14ac:dyDescent="0.2">
      <c r="A42" t="s">
        <v>101</v>
      </c>
      <c r="B42" t="s">
        <v>102</v>
      </c>
      <c r="C42">
        <v>75.529445792932606</v>
      </c>
      <c r="D42">
        <v>41</v>
      </c>
      <c r="E42">
        <v>99.762</v>
      </c>
      <c r="F42">
        <v>66.262375000000006</v>
      </c>
      <c r="G42">
        <v>91.153615384615406</v>
      </c>
      <c r="H42">
        <v>99.111750000000001</v>
      </c>
      <c r="I42">
        <v>64.724249999999998</v>
      </c>
      <c r="J42">
        <v>48.706600000000002</v>
      </c>
      <c r="K42">
        <v>72.072999999999993</v>
      </c>
      <c r="L42">
        <v>87.280166666666702</v>
      </c>
      <c r="M42">
        <v>71.7397142857143</v>
      </c>
      <c r="N42">
        <v>86.632999999999996</v>
      </c>
      <c r="O42">
        <v>88.250749999999996</v>
      </c>
      <c r="P42">
        <v>58.104857142857199</v>
      </c>
      <c r="Q42">
        <v>79.181333333333299</v>
      </c>
      <c r="R42">
        <v>69.424999999999997</v>
      </c>
      <c r="S42">
        <v>82.684666666666701</v>
      </c>
      <c r="T42">
        <v>64.851500000000001</v>
      </c>
      <c r="U42">
        <v>54.055999999999997</v>
      </c>
    </row>
    <row r="43" spans="1:21" x14ac:dyDescent="0.2">
      <c r="A43" t="s">
        <v>103</v>
      </c>
      <c r="B43" t="s">
        <v>104</v>
      </c>
      <c r="C43">
        <v>75.017137891520207</v>
      </c>
      <c r="D43">
        <v>42</v>
      </c>
      <c r="E43">
        <v>88.063500000000005</v>
      </c>
      <c r="F43">
        <v>55.537857142857099</v>
      </c>
      <c r="G43">
        <v>75.136214285714303</v>
      </c>
      <c r="H43">
        <v>96.887</v>
      </c>
      <c r="I43">
        <v>61.829250000000002</v>
      </c>
      <c r="J43">
        <v>80.308999999999997</v>
      </c>
      <c r="K43">
        <v>79.795000000000002</v>
      </c>
      <c r="L43">
        <v>74.198571428571398</v>
      </c>
      <c r="M43">
        <v>53.1095714285714</v>
      </c>
      <c r="N43">
        <v>75.172499999999999</v>
      </c>
      <c r="O43">
        <v>83.944749999999999</v>
      </c>
      <c r="P43">
        <v>85.6288571428571</v>
      </c>
      <c r="Q43">
        <v>90.978999999999999</v>
      </c>
      <c r="R43">
        <v>61.103200000000001</v>
      </c>
      <c r="S43">
        <v>69.345799999999997</v>
      </c>
      <c r="T43">
        <v>74.304272727272703</v>
      </c>
      <c r="U43">
        <v>69.947000000000003</v>
      </c>
    </row>
    <row r="44" spans="1:21" x14ac:dyDescent="0.2">
      <c r="A44" t="s">
        <v>105</v>
      </c>
      <c r="B44" t="s">
        <v>106</v>
      </c>
      <c r="C44">
        <v>74.738629131652701</v>
      </c>
      <c r="D44">
        <v>43</v>
      </c>
      <c r="E44">
        <v>98.602000000000004</v>
      </c>
      <c r="F44">
        <v>58.642000000000003</v>
      </c>
      <c r="G44">
        <v>79.684642857142904</v>
      </c>
      <c r="H44">
        <v>97.978250000000003</v>
      </c>
      <c r="I44">
        <v>70.688000000000002</v>
      </c>
      <c r="J44">
        <v>76.008799999999994</v>
      </c>
      <c r="K44">
        <v>72.742999999999995</v>
      </c>
      <c r="L44">
        <v>77.198999999999998</v>
      </c>
      <c r="M44">
        <v>67.409428571428606</v>
      </c>
      <c r="N44">
        <v>73.155500000000004</v>
      </c>
      <c r="O44">
        <v>86.568749999999994</v>
      </c>
      <c r="P44">
        <v>80.630857142857195</v>
      </c>
      <c r="Q44">
        <v>81.625500000000002</v>
      </c>
      <c r="R44">
        <v>64.217666666666702</v>
      </c>
      <c r="S44">
        <v>60.218800000000002</v>
      </c>
      <c r="T44">
        <v>62.844999999999999</v>
      </c>
      <c r="U44">
        <v>62.339500000000001</v>
      </c>
    </row>
    <row r="45" spans="1:21" x14ac:dyDescent="0.2">
      <c r="A45" t="s">
        <v>107</v>
      </c>
      <c r="B45" t="s">
        <v>108</v>
      </c>
      <c r="C45">
        <v>74.620047549019603</v>
      </c>
      <c r="D45">
        <v>44</v>
      </c>
      <c r="E45">
        <v>99.983500000000006</v>
      </c>
      <c r="F45">
        <v>68.189625000000007</v>
      </c>
      <c r="G45">
        <v>79.283000000000001</v>
      </c>
      <c r="H45">
        <v>79.548000000000002</v>
      </c>
      <c r="I45">
        <v>71.632499999999993</v>
      </c>
      <c r="J45">
        <v>66.293000000000006</v>
      </c>
      <c r="K45">
        <v>71.287666666666695</v>
      </c>
      <c r="L45">
        <v>82.2637142857143</v>
      </c>
      <c r="M45">
        <v>66.188571428571393</v>
      </c>
      <c r="N45">
        <v>51.034500000000001</v>
      </c>
      <c r="O45">
        <v>73.373000000000005</v>
      </c>
      <c r="P45">
        <v>75.083714285714294</v>
      </c>
      <c r="Q45">
        <v>84.1726666666667</v>
      </c>
      <c r="R45">
        <v>65.668400000000005</v>
      </c>
      <c r="S45">
        <v>94.142600000000002</v>
      </c>
      <c r="T45">
        <v>68.504599999999996</v>
      </c>
      <c r="U45">
        <v>71.891750000000002</v>
      </c>
    </row>
    <row r="46" spans="1:21" x14ac:dyDescent="0.2">
      <c r="A46" t="s">
        <v>109</v>
      </c>
      <c r="B46" t="s">
        <v>110</v>
      </c>
      <c r="C46">
        <v>74.405434300993093</v>
      </c>
      <c r="D46">
        <v>45</v>
      </c>
      <c r="E46">
        <v>92.081000000000003</v>
      </c>
      <c r="F46">
        <v>60.3831428571429</v>
      </c>
      <c r="G46">
        <v>74.912928571428594</v>
      </c>
      <c r="H46">
        <v>92.578249999999997</v>
      </c>
      <c r="I46">
        <v>61.652250000000002</v>
      </c>
      <c r="J46">
        <v>66.422799999999995</v>
      </c>
      <c r="K46">
        <v>78.085499999999996</v>
      </c>
      <c r="L46">
        <v>69.6202857142857</v>
      </c>
      <c r="M46">
        <v>37.527000000000001</v>
      </c>
      <c r="N46">
        <v>92.668999999999997</v>
      </c>
      <c r="O46">
        <v>89.225999999999999</v>
      </c>
      <c r="P46">
        <v>91.934571428571402</v>
      </c>
      <c r="Q46">
        <v>94.814333333333295</v>
      </c>
      <c r="S46">
        <v>70.873000000000005</v>
      </c>
      <c r="T46">
        <v>55.205300000000001</v>
      </c>
      <c r="U46">
        <v>71.593000000000004</v>
      </c>
    </row>
    <row r="47" spans="1:21" x14ac:dyDescent="0.2">
      <c r="A47" t="s">
        <v>111</v>
      </c>
      <c r="B47" t="s">
        <v>112</v>
      </c>
      <c r="C47">
        <v>74.135616262162799</v>
      </c>
      <c r="D47">
        <v>46</v>
      </c>
      <c r="F47">
        <v>60.8578571428571</v>
      </c>
      <c r="G47">
        <v>84.555857142857107</v>
      </c>
      <c r="H47">
        <v>92.384249999999994</v>
      </c>
      <c r="I47">
        <v>83.437250000000006</v>
      </c>
      <c r="J47">
        <v>73.164199999999994</v>
      </c>
      <c r="K47">
        <v>76.556749999999994</v>
      </c>
      <c r="L47">
        <v>93.382750000000001</v>
      </c>
      <c r="M47">
        <v>40.384999999999998</v>
      </c>
      <c r="O47">
        <v>64.673249999999996</v>
      </c>
      <c r="P47">
        <v>88.390199999999993</v>
      </c>
      <c r="Q47">
        <v>91.595500000000001</v>
      </c>
      <c r="R47">
        <v>75.219666666666697</v>
      </c>
      <c r="S47">
        <v>71.664400000000001</v>
      </c>
      <c r="T47">
        <v>60.4598333333333</v>
      </c>
      <c r="U47">
        <v>87.9</v>
      </c>
    </row>
    <row r="48" spans="1:21" x14ac:dyDescent="0.2">
      <c r="A48" t="s">
        <v>113</v>
      </c>
      <c r="B48" t="s">
        <v>114</v>
      </c>
      <c r="C48">
        <v>74.019860956690394</v>
      </c>
      <c r="D48">
        <v>47</v>
      </c>
      <c r="E48">
        <v>99.863</v>
      </c>
      <c r="F48">
        <v>63.803142857142902</v>
      </c>
      <c r="G48">
        <v>76.8783076923077</v>
      </c>
      <c r="H48">
        <v>64.143333333333302</v>
      </c>
      <c r="I48">
        <v>47.127000000000002</v>
      </c>
      <c r="J48">
        <v>73.244</v>
      </c>
      <c r="K48">
        <v>71.337000000000003</v>
      </c>
      <c r="L48">
        <v>76.867999999999995</v>
      </c>
      <c r="M48">
        <v>47.321857142857098</v>
      </c>
      <c r="N48">
        <v>80.753500000000003</v>
      </c>
      <c r="O48">
        <v>74.637</v>
      </c>
      <c r="P48">
        <v>78.261428571428596</v>
      </c>
      <c r="Q48">
        <v>88.206666666666706</v>
      </c>
      <c r="R48">
        <v>83.721999999999994</v>
      </c>
      <c r="S48">
        <v>81.323599999999999</v>
      </c>
      <c r="T48">
        <v>66.1678</v>
      </c>
      <c r="U48">
        <v>84.68</v>
      </c>
    </row>
    <row r="49" spans="1:21" x14ac:dyDescent="0.2">
      <c r="A49" t="s">
        <v>115</v>
      </c>
      <c r="B49" t="s">
        <v>116</v>
      </c>
      <c r="C49">
        <v>73.970339075630307</v>
      </c>
      <c r="D49">
        <v>48</v>
      </c>
      <c r="E49">
        <v>98.626000000000005</v>
      </c>
      <c r="F49">
        <v>55.391714285714301</v>
      </c>
      <c r="G49">
        <v>96.335166666666694</v>
      </c>
      <c r="H49">
        <v>99.584333333333305</v>
      </c>
      <c r="I49">
        <v>76.097999999999999</v>
      </c>
      <c r="J49">
        <v>68.208200000000005</v>
      </c>
      <c r="K49">
        <v>71.721249999999998</v>
      </c>
      <c r="L49">
        <v>84.289333333333403</v>
      </c>
      <c r="M49">
        <v>94.729571428571404</v>
      </c>
      <c r="N49">
        <v>71.5535</v>
      </c>
      <c r="O49">
        <v>84.626000000000005</v>
      </c>
      <c r="P49">
        <v>66.557428571428602</v>
      </c>
      <c r="Q49">
        <v>67.152666666666704</v>
      </c>
      <c r="R49">
        <v>37.539200000000001</v>
      </c>
      <c r="S49">
        <v>49.356400000000001</v>
      </c>
      <c r="T49">
        <v>69.597250000000003</v>
      </c>
      <c r="U49">
        <v>66.129750000000001</v>
      </c>
    </row>
    <row r="50" spans="1:21" x14ac:dyDescent="0.2">
      <c r="A50" t="s">
        <v>117</v>
      </c>
      <c r="B50" t="s">
        <v>118</v>
      </c>
      <c r="C50">
        <v>73.786280015082994</v>
      </c>
      <c r="D50">
        <v>49</v>
      </c>
      <c r="E50">
        <v>98.843000000000004</v>
      </c>
      <c r="F50">
        <v>59.072571428571401</v>
      </c>
      <c r="G50">
        <v>80.256076923076904</v>
      </c>
      <c r="H50">
        <v>97.117000000000004</v>
      </c>
      <c r="I50">
        <v>67.294749999999993</v>
      </c>
      <c r="J50">
        <v>75.115399999999994</v>
      </c>
      <c r="K50">
        <v>64.423249999999996</v>
      </c>
      <c r="L50">
        <v>81.612857142857095</v>
      </c>
      <c r="M50">
        <v>75.945714285714303</v>
      </c>
      <c r="N50">
        <v>78.965500000000006</v>
      </c>
      <c r="O50">
        <v>83.355666666666707</v>
      </c>
      <c r="P50">
        <v>80.560857142857103</v>
      </c>
      <c r="Q50">
        <v>69.881</v>
      </c>
      <c r="R50">
        <v>53.436166666666701</v>
      </c>
      <c r="S50">
        <v>66.098200000000006</v>
      </c>
      <c r="T50">
        <v>47.7605</v>
      </c>
      <c r="U50">
        <v>74.628249999999994</v>
      </c>
    </row>
    <row r="51" spans="1:21" x14ac:dyDescent="0.2">
      <c r="A51" t="s">
        <v>119</v>
      </c>
      <c r="B51" t="s">
        <v>120</v>
      </c>
      <c r="C51">
        <v>73.689393035395995</v>
      </c>
      <c r="D51">
        <v>50</v>
      </c>
      <c r="E51">
        <v>93.3005</v>
      </c>
      <c r="F51">
        <v>68.717500000000001</v>
      </c>
      <c r="G51">
        <v>77.652142857142906</v>
      </c>
      <c r="H51">
        <v>85.932500000000005</v>
      </c>
      <c r="I51">
        <v>70.367999999999995</v>
      </c>
      <c r="J51">
        <v>86.071200000000005</v>
      </c>
      <c r="K51">
        <v>90.611750000000001</v>
      </c>
      <c r="L51">
        <v>76.011571428571401</v>
      </c>
      <c r="M51">
        <v>68.968999999999994</v>
      </c>
      <c r="N51">
        <v>19.859000000000002</v>
      </c>
      <c r="O51">
        <v>80.866500000000002</v>
      </c>
      <c r="P51">
        <v>83.522714285714301</v>
      </c>
      <c r="Q51">
        <v>93.861333333333306</v>
      </c>
      <c r="R51">
        <v>63.779833333333301</v>
      </c>
      <c r="S51">
        <v>61.652999999999999</v>
      </c>
      <c r="T51">
        <v>56.906636363636402</v>
      </c>
      <c r="U51">
        <v>74.636499999999998</v>
      </c>
    </row>
    <row r="52" spans="1:21" x14ac:dyDescent="0.2">
      <c r="A52" t="s">
        <v>121</v>
      </c>
      <c r="B52" t="s">
        <v>122</v>
      </c>
      <c r="C52">
        <v>73.685218767506996</v>
      </c>
      <c r="D52">
        <v>51</v>
      </c>
      <c r="E52">
        <v>96.825999999999993</v>
      </c>
      <c r="F52">
        <v>68.669250000000005</v>
      </c>
      <c r="G52">
        <v>81.010928571428593</v>
      </c>
      <c r="H52">
        <v>97.85</v>
      </c>
      <c r="I52">
        <v>82.611249999999998</v>
      </c>
      <c r="J52">
        <v>77.941199999999995</v>
      </c>
      <c r="K52">
        <v>73.034750000000003</v>
      </c>
      <c r="L52">
        <v>79.164285714285697</v>
      </c>
      <c r="M52">
        <v>54.577285714285701</v>
      </c>
      <c r="N52">
        <v>41.061</v>
      </c>
      <c r="O52">
        <v>83.35</v>
      </c>
      <c r="P52">
        <v>78.1352857142857</v>
      </c>
      <c r="Q52">
        <v>88.774666666666704</v>
      </c>
      <c r="R52">
        <v>61.724166666666697</v>
      </c>
      <c r="S52">
        <v>60.020400000000002</v>
      </c>
      <c r="T52">
        <v>61.673999999999999</v>
      </c>
      <c r="U52">
        <v>66.224249999999998</v>
      </c>
    </row>
    <row r="53" spans="1:21" x14ac:dyDescent="0.2">
      <c r="A53" t="s">
        <v>123</v>
      </c>
      <c r="B53" t="s">
        <v>124</v>
      </c>
      <c r="C53">
        <v>73.556893258212398</v>
      </c>
      <c r="D53">
        <v>52</v>
      </c>
      <c r="E53">
        <v>93.772999999999996</v>
      </c>
      <c r="F53">
        <v>53.907375000000002</v>
      </c>
      <c r="G53">
        <v>88.287714285714301</v>
      </c>
      <c r="H53">
        <v>99.168499999999995</v>
      </c>
      <c r="I53">
        <v>82.036749999999998</v>
      </c>
      <c r="J53">
        <v>74.546599999999998</v>
      </c>
      <c r="K53">
        <v>85.460250000000002</v>
      </c>
      <c r="L53">
        <v>74.445714285714303</v>
      </c>
      <c r="M53">
        <v>59.6198571428571</v>
      </c>
      <c r="N53">
        <v>19.295999999999999</v>
      </c>
      <c r="O53">
        <v>90.876750000000001</v>
      </c>
      <c r="P53">
        <v>77.041142857142901</v>
      </c>
      <c r="Q53">
        <v>89.790999999999997</v>
      </c>
      <c r="R53">
        <v>56.319000000000003</v>
      </c>
      <c r="S53">
        <v>65.113600000000005</v>
      </c>
      <c r="T53">
        <v>73.806181818181798</v>
      </c>
      <c r="U53">
        <v>66.97775</v>
      </c>
    </row>
    <row r="54" spans="1:21" x14ac:dyDescent="0.2">
      <c r="A54" t="s">
        <v>125</v>
      </c>
      <c r="B54" t="s">
        <v>126</v>
      </c>
      <c r="C54">
        <v>73.527472816399296</v>
      </c>
      <c r="D54">
        <v>53</v>
      </c>
      <c r="E54">
        <v>100</v>
      </c>
      <c r="F54">
        <v>62.729571428571397</v>
      </c>
      <c r="G54">
        <v>72.943357142857096</v>
      </c>
      <c r="H54">
        <v>87.666749999999993</v>
      </c>
      <c r="I54">
        <v>54.683</v>
      </c>
      <c r="J54">
        <v>66.269199999999998</v>
      </c>
      <c r="K54">
        <v>67.844750000000005</v>
      </c>
      <c r="L54">
        <v>73.756500000000003</v>
      </c>
      <c r="M54">
        <v>41.183</v>
      </c>
      <c r="N54">
        <v>97.5</v>
      </c>
      <c r="O54">
        <v>82.194000000000003</v>
      </c>
      <c r="P54">
        <v>86.302428571428607</v>
      </c>
      <c r="Q54">
        <v>82.679666666666705</v>
      </c>
      <c r="S54">
        <v>65.722399999999993</v>
      </c>
      <c r="T54">
        <v>67.145142857142901</v>
      </c>
      <c r="U54">
        <v>76.033249999999995</v>
      </c>
    </row>
    <row r="55" spans="1:21" x14ac:dyDescent="0.2">
      <c r="A55" t="s">
        <v>127</v>
      </c>
      <c r="B55" t="s">
        <v>128</v>
      </c>
      <c r="C55">
        <v>73.506097364400304</v>
      </c>
      <c r="D55">
        <v>54</v>
      </c>
      <c r="E55">
        <v>98.628500000000003</v>
      </c>
      <c r="F55">
        <v>59.251857142857197</v>
      </c>
      <c r="G55">
        <v>81.918642857142899</v>
      </c>
      <c r="H55">
        <v>86.8065</v>
      </c>
      <c r="I55">
        <v>60.848500000000001</v>
      </c>
      <c r="J55">
        <v>73.745800000000003</v>
      </c>
      <c r="K55">
        <v>84.338499999999996</v>
      </c>
      <c r="L55">
        <v>66.187428571428597</v>
      </c>
      <c r="M55">
        <v>43.613</v>
      </c>
      <c r="N55">
        <v>88.070999999999998</v>
      </c>
      <c r="O55">
        <v>77.366</v>
      </c>
      <c r="P55">
        <v>81.697285714285698</v>
      </c>
      <c r="Q55">
        <v>90.575999999999993</v>
      </c>
      <c r="R55">
        <v>50.171999999999997</v>
      </c>
      <c r="S55">
        <v>79.600800000000007</v>
      </c>
      <c r="T55">
        <v>60.698090909090901</v>
      </c>
      <c r="U55">
        <v>66.083749999999995</v>
      </c>
    </row>
    <row r="56" spans="1:21" x14ac:dyDescent="0.2">
      <c r="A56" t="s">
        <v>129</v>
      </c>
      <c r="B56" t="s">
        <v>130</v>
      </c>
      <c r="C56">
        <v>73.322322650878604</v>
      </c>
      <c r="D56">
        <v>55</v>
      </c>
      <c r="E56">
        <v>97.007499999999993</v>
      </c>
      <c r="F56">
        <v>73.629750000000001</v>
      </c>
      <c r="G56">
        <v>69.863357142857097</v>
      </c>
      <c r="H56">
        <v>97.380499999999998</v>
      </c>
      <c r="I56">
        <v>74.382499999999993</v>
      </c>
      <c r="J56">
        <v>74.255799999999994</v>
      </c>
      <c r="K56">
        <v>69.012</v>
      </c>
      <c r="L56">
        <v>76.199142857142903</v>
      </c>
      <c r="M56">
        <v>58.105285714285699</v>
      </c>
      <c r="N56">
        <v>70.388000000000005</v>
      </c>
      <c r="O56">
        <v>87.811999999999998</v>
      </c>
      <c r="P56">
        <v>90.188285714285698</v>
      </c>
      <c r="Q56">
        <v>92.233000000000004</v>
      </c>
      <c r="R56">
        <v>47.661000000000001</v>
      </c>
      <c r="S56">
        <v>44.573999999999998</v>
      </c>
      <c r="T56">
        <v>64.377363636363597</v>
      </c>
      <c r="U56">
        <v>59.41</v>
      </c>
    </row>
    <row r="57" spans="1:21" x14ac:dyDescent="0.2">
      <c r="A57" t="s">
        <v>131</v>
      </c>
      <c r="B57" t="s">
        <v>132</v>
      </c>
      <c r="C57">
        <v>73.258052222777195</v>
      </c>
      <c r="D57">
        <v>56</v>
      </c>
      <c r="E57">
        <v>96.298500000000004</v>
      </c>
      <c r="F57">
        <v>53.636285714285698</v>
      </c>
      <c r="G57">
        <v>76.966615384615395</v>
      </c>
      <c r="H57">
        <v>66.664500000000004</v>
      </c>
      <c r="I57">
        <v>68.443749999999994</v>
      </c>
      <c r="J57">
        <v>65.622399999999999</v>
      </c>
      <c r="K57">
        <v>74.427250000000001</v>
      </c>
      <c r="L57">
        <v>73.389499999999998</v>
      </c>
      <c r="M57">
        <v>46.703857142857103</v>
      </c>
      <c r="N57">
        <v>100</v>
      </c>
      <c r="O57">
        <v>75.577250000000006</v>
      </c>
      <c r="P57">
        <v>88.38</v>
      </c>
      <c r="Q57">
        <v>91.865333333333297</v>
      </c>
      <c r="S57">
        <v>61.942</v>
      </c>
      <c r="T57">
        <v>75.554374999999993</v>
      </c>
      <c r="U57">
        <v>64.601249999999993</v>
      </c>
    </row>
    <row r="58" spans="1:21" x14ac:dyDescent="0.2">
      <c r="A58" t="s">
        <v>133</v>
      </c>
      <c r="B58" t="s">
        <v>134</v>
      </c>
      <c r="C58">
        <v>72.877044155354398</v>
      </c>
      <c r="D58">
        <v>57</v>
      </c>
      <c r="E58">
        <v>89.651499999999999</v>
      </c>
      <c r="F58">
        <v>61.233375000000002</v>
      </c>
      <c r="G58">
        <v>71.167692307692306</v>
      </c>
      <c r="H58">
        <v>93.642333333333397</v>
      </c>
      <c r="I58">
        <v>59.031500000000001</v>
      </c>
      <c r="J58">
        <v>72.393249999999995</v>
      </c>
      <c r="K58">
        <v>63.353000000000002</v>
      </c>
      <c r="L58">
        <v>53.262500000000003</v>
      </c>
      <c r="M58">
        <v>60.350833333333298</v>
      </c>
      <c r="N58">
        <v>88.117999999999995</v>
      </c>
      <c r="O58">
        <v>93.975666666666697</v>
      </c>
      <c r="P58">
        <v>84.620333333333306</v>
      </c>
      <c r="Q58">
        <v>96.017499999999998</v>
      </c>
      <c r="R58">
        <v>73.079666666666697</v>
      </c>
      <c r="S58">
        <v>45.782600000000002</v>
      </c>
      <c r="T58">
        <v>71.831000000000003</v>
      </c>
      <c r="U58">
        <v>61.399000000000001</v>
      </c>
    </row>
    <row r="59" spans="1:21" x14ac:dyDescent="0.2">
      <c r="A59" t="s">
        <v>135</v>
      </c>
      <c r="B59" t="s">
        <v>136</v>
      </c>
      <c r="C59">
        <v>72.503497453526904</v>
      </c>
      <c r="D59">
        <v>58</v>
      </c>
      <c r="E59">
        <v>97.912499999999994</v>
      </c>
      <c r="F59">
        <v>61.53875</v>
      </c>
      <c r="G59">
        <v>78.918714285714302</v>
      </c>
      <c r="H59">
        <v>93.118666666666698</v>
      </c>
      <c r="I59">
        <v>50.97175</v>
      </c>
      <c r="J59">
        <v>63.937600000000003</v>
      </c>
      <c r="K59">
        <v>70.203249999999997</v>
      </c>
      <c r="L59">
        <v>62.535571428571401</v>
      </c>
      <c r="M59">
        <v>55.9394285714286</v>
      </c>
      <c r="N59">
        <v>80.847499999999997</v>
      </c>
      <c r="O59">
        <v>65.401250000000005</v>
      </c>
      <c r="P59">
        <v>86.688999999999993</v>
      </c>
      <c r="Q59">
        <v>93.075999999999993</v>
      </c>
      <c r="R59">
        <v>63.312166666666698</v>
      </c>
      <c r="S59">
        <v>70.9024</v>
      </c>
      <c r="T59">
        <v>60.5759090909091</v>
      </c>
      <c r="U59">
        <v>76.679000000000002</v>
      </c>
    </row>
    <row r="60" spans="1:21" x14ac:dyDescent="0.2">
      <c r="A60" t="s">
        <v>137</v>
      </c>
      <c r="B60" t="s">
        <v>138</v>
      </c>
      <c r="C60">
        <v>72.491663585434196</v>
      </c>
      <c r="D60">
        <v>59</v>
      </c>
      <c r="E60">
        <v>99.914000000000001</v>
      </c>
      <c r="F60">
        <v>53.661142857142899</v>
      </c>
      <c r="G60">
        <v>91.081500000000005</v>
      </c>
      <c r="H60">
        <v>93.936750000000004</v>
      </c>
      <c r="I60">
        <v>68.083666666666701</v>
      </c>
      <c r="J60">
        <v>67.876599999999996</v>
      </c>
      <c r="K60">
        <v>74.06</v>
      </c>
      <c r="L60">
        <v>74.777285714285696</v>
      </c>
      <c r="M60">
        <v>75.838428571428594</v>
      </c>
      <c r="N60">
        <v>85.507499999999993</v>
      </c>
      <c r="O60">
        <v>77.825500000000005</v>
      </c>
      <c r="P60">
        <v>50.849857142857097</v>
      </c>
      <c r="Q60">
        <v>68.113666666666703</v>
      </c>
      <c r="R60">
        <v>50.190333333333299</v>
      </c>
      <c r="S60">
        <v>79.011200000000002</v>
      </c>
      <c r="T60">
        <v>74.712599999999995</v>
      </c>
      <c r="U60">
        <v>46.91825</v>
      </c>
    </row>
    <row r="61" spans="1:21" x14ac:dyDescent="0.2">
      <c r="A61" t="s">
        <v>139</v>
      </c>
      <c r="B61" t="s">
        <v>140</v>
      </c>
      <c r="C61">
        <v>72.469017270964301</v>
      </c>
      <c r="D61">
        <v>60</v>
      </c>
      <c r="E61">
        <v>96.165000000000006</v>
      </c>
      <c r="F61">
        <v>62.590428571428603</v>
      </c>
      <c r="G61">
        <v>76.885692307692295</v>
      </c>
      <c r="H61">
        <v>66.581500000000005</v>
      </c>
      <c r="I61">
        <v>59.038249999999998</v>
      </c>
      <c r="J61">
        <v>71.831199999999995</v>
      </c>
      <c r="K61">
        <v>69.900750000000002</v>
      </c>
      <c r="L61">
        <v>69.974999999999994</v>
      </c>
      <c r="M61">
        <v>46.706571428571401</v>
      </c>
      <c r="N61">
        <v>81.534499999999994</v>
      </c>
      <c r="O61">
        <v>65.585333333333296</v>
      </c>
      <c r="P61">
        <v>81.205428571428598</v>
      </c>
      <c r="Q61">
        <v>90.826999999999998</v>
      </c>
      <c r="S61">
        <v>81.238799999999998</v>
      </c>
      <c r="T61">
        <v>73.925818181818201</v>
      </c>
      <c r="U61">
        <v>72.668000000000006</v>
      </c>
    </row>
    <row r="62" spans="1:21" x14ac:dyDescent="0.2">
      <c r="A62" t="s">
        <v>141</v>
      </c>
      <c r="B62" t="s">
        <v>142</v>
      </c>
      <c r="C62">
        <v>72.339075779645199</v>
      </c>
      <c r="D62">
        <v>61</v>
      </c>
      <c r="E62">
        <v>94.762500000000003</v>
      </c>
      <c r="F62">
        <v>57.945599999999999</v>
      </c>
      <c r="G62">
        <v>73.537642857142899</v>
      </c>
      <c r="H62">
        <v>87.157499999999999</v>
      </c>
      <c r="I62">
        <v>61.640999999999998</v>
      </c>
      <c r="J62">
        <v>69.579800000000006</v>
      </c>
      <c r="K62">
        <v>73.883250000000004</v>
      </c>
      <c r="L62">
        <v>72.103800000000007</v>
      </c>
      <c r="M62">
        <v>42.479666666666702</v>
      </c>
      <c r="N62">
        <v>64.369</v>
      </c>
      <c r="O62">
        <v>84.553333333333299</v>
      </c>
      <c r="P62">
        <v>88.101714285714294</v>
      </c>
      <c r="Q62">
        <v>89.945499999999996</v>
      </c>
      <c r="S62">
        <v>65.721000000000004</v>
      </c>
      <c r="T62">
        <v>80.022499999999994</v>
      </c>
      <c r="U62">
        <v>63.193249999999999</v>
      </c>
    </row>
    <row r="63" spans="1:21" x14ac:dyDescent="0.2">
      <c r="A63" t="s">
        <v>143</v>
      </c>
      <c r="B63" t="s">
        <v>144</v>
      </c>
      <c r="C63">
        <v>72.135193143621095</v>
      </c>
      <c r="D63">
        <v>62</v>
      </c>
      <c r="E63">
        <v>95.927000000000007</v>
      </c>
      <c r="F63">
        <v>75.679374999999993</v>
      </c>
      <c r="G63">
        <v>66.621285714285705</v>
      </c>
      <c r="H63">
        <v>74.229500000000002</v>
      </c>
      <c r="I63">
        <v>71.833500000000001</v>
      </c>
      <c r="J63">
        <v>67.639399999999995</v>
      </c>
      <c r="K63">
        <v>69.137249999999995</v>
      </c>
      <c r="L63">
        <v>74.393000000000001</v>
      </c>
      <c r="M63">
        <v>46.752833333333299</v>
      </c>
      <c r="N63">
        <v>54.676499999999997</v>
      </c>
      <c r="O63">
        <v>84.3185</v>
      </c>
      <c r="P63">
        <v>83.128</v>
      </c>
      <c r="Q63">
        <v>91.826999999999998</v>
      </c>
      <c r="R63">
        <v>83.899166666666702</v>
      </c>
      <c r="S63">
        <v>75.144199999999998</v>
      </c>
      <c r="T63">
        <v>53.302272727272701</v>
      </c>
      <c r="U63">
        <v>57.789499999999997</v>
      </c>
    </row>
    <row r="64" spans="1:21" x14ac:dyDescent="0.2">
      <c r="A64" t="s">
        <v>145</v>
      </c>
      <c r="B64" t="s">
        <v>146</v>
      </c>
      <c r="C64">
        <v>72.008167485455701</v>
      </c>
      <c r="D64">
        <v>63</v>
      </c>
      <c r="E64">
        <v>98.052000000000007</v>
      </c>
      <c r="F64">
        <v>83.401124999999993</v>
      </c>
      <c r="G64">
        <v>83.398461538461603</v>
      </c>
      <c r="H64">
        <v>99.531000000000006</v>
      </c>
      <c r="I64">
        <v>78.185500000000005</v>
      </c>
      <c r="J64">
        <v>68.998599999999996</v>
      </c>
      <c r="K64">
        <v>67.716499999999996</v>
      </c>
      <c r="L64">
        <v>78.897285714285701</v>
      </c>
      <c r="M64">
        <v>80.273714285714306</v>
      </c>
      <c r="N64">
        <v>34.929499999999997</v>
      </c>
      <c r="O64">
        <v>79.459000000000003</v>
      </c>
      <c r="P64">
        <v>86.999285714285705</v>
      </c>
      <c r="Q64">
        <v>77.640500000000003</v>
      </c>
      <c r="R64">
        <v>55.734499999999997</v>
      </c>
      <c r="S64">
        <v>48.935000000000002</v>
      </c>
      <c r="T64">
        <v>60.582124999999998</v>
      </c>
      <c r="U64">
        <v>41.40475</v>
      </c>
    </row>
    <row r="65" spans="1:21" x14ac:dyDescent="0.2">
      <c r="A65" t="s">
        <v>147</v>
      </c>
      <c r="B65" t="s">
        <v>148</v>
      </c>
      <c r="C65">
        <v>71.777033823529393</v>
      </c>
      <c r="D65">
        <v>64</v>
      </c>
      <c r="F65">
        <v>76.170666666666705</v>
      </c>
      <c r="G65">
        <v>94.410857142857196</v>
      </c>
      <c r="H65">
        <v>98.616</v>
      </c>
      <c r="I65">
        <v>75.117500000000007</v>
      </c>
      <c r="J65">
        <v>74.1524</v>
      </c>
      <c r="K65">
        <v>71.961749999999995</v>
      </c>
      <c r="L65">
        <v>74.816571428571393</v>
      </c>
      <c r="M65">
        <v>91.355857142857104</v>
      </c>
      <c r="O65">
        <v>96.052750000000003</v>
      </c>
      <c r="P65">
        <v>51.642714285714298</v>
      </c>
      <c r="Q65">
        <v>57.524999999999999</v>
      </c>
      <c r="R65">
        <v>47.202399999999997</v>
      </c>
      <c r="S65">
        <v>26.477499999999999</v>
      </c>
      <c r="T65">
        <v>83.183400000000006</v>
      </c>
      <c r="U65">
        <v>48.972333333333303</v>
      </c>
    </row>
    <row r="66" spans="1:21" x14ac:dyDescent="0.2">
      <c r="A66" t="s">
        <v>149</v>
      </c>
      <c r="B66" t="s">
        <v>150</v>
      </c>
      <c r="C66">
        <v>71.659076432391103</v>
      </c>
      <c r="D66">
        <v>65</v>
      </c>
      <c r="E66">
        <v>86.018000000000001</v>
      </c>
      <c r="F66">
        <v>71.423749999999998</v>
      </c>
      <c r="G66">
        <v>80.8245</v>
      </c>
      <c r="H66">
        <v>98.786500000000004</v>
      </c>
      <c r="I66">
        <v>74.927000000000007</v>
      </c>
      <c r="J66">
        <v>77.980400000000003</v>
      </c>
      <c r="K66">
        <v>74.351249999999993</v>
      </c>
      <c r="L66">
        <v>74.638857142857105</v>
      </c>
      <c r="M66">
        <v>44.751142857142902</v>
      </c>
      <c r="N66">
        <v>33.761000000000003</v>
      </c>
      <c r="O66">
        <v>70.452749999999995</v>
      </c>
      <c r="P66">
        <v>87.839285714285694</v>
      </c>
      <c r="Q66">
        <v>93.512333333333402</v>
      </c>
      <c r="R66">
        <v>78.6756666666667</v>
      </c>
      <c r="S66">
        <v>55.277999999999999</v>
      </c>
      <c r="T66">
        <v>54.2663636363636</v>
      </c>
      <c r="U66">
        <v>60.717500000000001</v>
      </c>
    </row>
    <row r="67" spans="1:21" x14ac:dyDescent="0.2">
      <c r="A67" t="s">
        <v>151</v>
      </c>
      <c r="B67" t="s">
        <v>152</v>
      </c>
      <c r="C67">
        <v>71.648263152533701</v>
      </c>
      <c r="D67">
        <v>66</v>
      </c>
      <c r="E67">
        <v>98.655000000000001</v>
      </c>
      <c r="F67">
        <v>53.442</v>
      </c>
      <c r="G67">
        <v>79.997571428571405</v>
      </c>
      <c r="H67">
        <v>86.191249999999997</v>
      </c>
      <c r="I67">
        <v>75.896500000000003</v>
      </c>
      <c r="J67">
        <v>72.363399999999999</v>
      </c>
      <c r="K67">
        <v>61.764749999999999</v>
      </c>
      <c r="L67">
        <v>76.787428571428606</v>
      </c>
      <c r="M67">
        <v>48.536428571428601</v>
      </c>
      <c r="N67">
        <v>96.327500000000001</v>
      </c>
      <c r="O67">
        <v>85.942499999999995</v>
      </c>
      <c r="P67">
        <v>78.468857142857104</v>
      </c>
      <c r="Q67">
        <v>57.061666666666703</v>
      </c>
      <c r="S67">
        <v>62.503399999999999</v>
      </c>
      <c r="T67">
        <v>62.549700000000001</v>
      </c>
      <c r="U67">
        <v>56.218499999999999</v>
      </c>
    </row>
    <row r="68" spans="1:21" x14ac:dyDescent="0.2">
      <c r="A68" t="s">
        <v>153</v>
      </c>
      <c r="B68" t="s">
        <v>154</v>
      </c>
      <c r="C68">
        <v>71.4043838235294</v>
      </c>
      <c r="D68">
        <v>67</v>
      </c>
      <c r="E68">
        <v>98.944999999999993</v>
      </c>
      <c r="F68">
        <v>51.7611428571429</v>
      </c>
      <c r="G68">
        <v>75.668499999999995</v>
      </c>
      <c r="H68">
        <v>88.159000000000006</v>
      </c>
      <c r="I68">
        <v>56.856999999999999</v>
      </c>
      <c r="J68">
        <v>65.209333333333305</v>
      </c>
      <c r="K68">
        <v>79.084500000000006</v>
      </c>
      <c r="L68">
        <v>61.567</v>
      </c>
      <c r="M68">
        <v>61.596857142857097</v>
      </c>
      <c r="N68">
        <v>66.651499999999999</v>
      </c>
      <c r="O68">
        <v>74.71575</v>
      </c>
      <c r="P68">
        <v>70.367333333333306</v>
      </c>
      <c r="Q68">
        <v>92.787499999999994</v>
      </c>
      <c r="R68">
        <v>52.0974</v>
      </c>
      <c r="S68">
        <v>54.258000000000003</v>
      </c>
      <c r="T68">
        <v>78.451374999999999</v>
      </c>
      <c r="U68">
        <v>85.697333333333304</v>
      </c>
    </row>
    <row r="69" spans="1:21" x14ac:dyDescent="0.2">
      <c r="A69" t="s">
        <v>155</v>
      </c>
      <c r="B69" t="s">
        <v>156</v>
      </c>
      <c r="C69">
        <v>71.2719973604827</v>
      </c>
      <c r="D69">
        <v>68</v>
      </c>
      <c r="E69">
        <v>100</v>
      </c>
      <c r="F69">
        <v>44.6</v>
      </c>
      <c r="G69">
        <v>86.889538461538507</v>
      </c>
      <c r="H69">
        <v>96.573750000000004</v>
      </c>
      <c r="I69">
        <v>38.504750000000001</v>
      </c>
      <c r="J69">
        <v>73.671250000000001</v>
      </c>
      <c r="K69">
        <v>64.168999999999997</v>
      </c>
      <c r="L69">
        <v>72.386333333333297</v>
      </c>
      <c r="M69">
        <v>47.801166666666703</v>
      </c>
      <c r="N69">
        <v>92.652500000000003</v>
      </c>
      <c r="O69">
        <v>80.322249999999997</v>
      </c>
      <c r="P69">
        <v>74.769333333333293</v>
      </c>
      <c r="Q69">
        <v>89.777500000000003</v>
      </c>
      <c r="R69">
        <v>63.1606666666667</v>
      </c>
      <c r="S69">
        <v>51.45</v>
      </c>
      <c r="T69">
        <v>66.446666666666701</v>
      </c>
      <c r="U69">
        <v>68.449250000000006</v>
      </c>
    </row>
    <row r="70" spans="1:21" x14ac:dyDescent="0.2">
      <c r="A70" t="s">
        <v>157</v>
      </c>
      <c r="B70" t="s">
        <v>158</v>
      </c>
      <c r="C70">
        <v>71.148246625923093</v>
      </c>
      <c r="D70">
        <v>69</v>
      </c>
      <c r="E70">
        <v>61.558500000000002</v>
      </c>
      <c r="F70">
        <v>67.459571428571394</v>
      </c>
      <c r="G70">
        <v>77.214285714285694</v>
      </c>
      <c r="H70">
        <v>85.146000000000001</v>
      </c>
      <c r="I70">
        <v>85.079250000000002</v>
      </c>
      <c r="J70">
        <v>58.805199999999999</v>
      </c>
      <c r="K70">
        <v>63.3</v>
      </c>
      <c r="L70">
        <v>72.464285714285694</v>
      </c>
      <c r="M70">
        <v>40.8264285714286</v>
      </c>
      <c r="N70">
        <v>71.545000000000002</v>
      </c>
      <c r="O70">
        <v>87.258666666666699</v>
      </c>
      <c r="P70">
        <v>93.0118333333333</v>
      </c>
      <c r="Q70">
        <v>92.82</v>
      </c>
      <c r="S70">
        <v>64.736400000000003</v>
      </c>
      <c r="T70">
        <v>59.820999999999998</v>
      </c>
      <c r="U70">
        <v>63.159750000000003</v>
      </c>
    </row>
    <row r="71" spans="1:21" x14ac:dyDescent="0.2">
      <c r="A71" t="s">
        <v>159</v>
      </c>
      <c r="B71" t="s">
        <v>160</v>
      </c>
      <c r="C71">
        <v>70.869455672268899</v>
      </c>
      <c r="D71">
        <v>70</v>
      </c>
      <c r="E71">
        <v>90.378500000000003</v>
      </c>
      <c r="F71">
        <v>64.697374999999994</v>
      </c>
      <c r="G71">
        <v>73.085857142857193</v>
      </c>
      <c r="H71">
        <v>78.568749999999994</v>
      </c>
      <c r="I71">
        <v>43.771500000000003</v>
      </c>
      <c r="J71">
        <v>63.467399999999998</v>
      </c>
      <c r="K71">
        <v>69.95</v>
      </c>
      <c r="L71">
        <v>69.123571428571395</v>
      </c>
      <c r="M71">
        <v>55.077142857142903</v>
      </c>
      <c r="N71">
        <v>53.942500000000003</v>
      </c>
      <c r="O71">
        <v>76.22475</v>
      </c>
      <c r="P71">
        <v>91.307000000000002</v>
      </c>
      <c r="Q71">
        <v>94.226333333333301</v>
      </c>
      <c r="R71">
        <v>71.872666666666703</v>
      </c>
      <c r="S71">
        <v>76.658799999999999</v>
      </c>
      <c r="T71">
        <v>62.263599999999997</v>
      </c>
      <c r="U71">
        <v>70.165000000000006</v>
      </c>
    </row>
    <row r="72" spans="1:21" x14ac:dyDescent="0.2">
      <c r="A72" t="s">
        <v>161</v>
      </c>
      <c r="B72" t="s">
        <v>162</v>
      </c>
      <c r="C72">
        <v>70.833615915457102</v>
      </c>
      <c r="D72">
        <v>71</v>
      </c>
      <c r="E72">
        <v>97.673000000000002</v>
      </c>
      <c r="F72">
        <v>57.561142857142897</v>
      </c>
      <c r="G72">
        <v>77.346928571428606</v>
      </c>
      <c r="H72">
        <v>70.054249999999996</v>
      </c>
      <c r="I72">
        <v>41.043500000000002</v>
      </c>
      <c r="J72">
        <v>58.012599999999999</v>
      </c>
      <c r="K72">
        <v>65.530500000000004</v>
      </c>
      <c r="L72">
        <v>67.458142857142903</v>
      </c>
      <c r="M72">
        <v>53.870142857142902</v>
      </c>
      <c r="N72">
        <v>97.015000000000001</v>
      </c>
      <c r="O72">
        <v>62.64725</v>
      </c>
      <c r="P72">
        <v>89.184428571428597</v>
      </c>
      <c r="Q72">
        <v>88.626666666666694</v>
      </c>
      <c r="R72">
        <v>64.767499999999998</v>
      </c>
      <c r="S72">
        <v>67.063599999999994</v>
      </c>
      <c r="T72">
        <v>65.259818181818204</v>
      </c>
      <c r="U72">
        <v>81.057000000000002</v>
      </c>
    </row>
    <row r="73" spans="1:21" x14ac:dyDescent="0.2">
      <c r="A73" t="s">
        <v>163</v>
      </c>
      <c r="B73" t="s">
        <v>164</v>
      </c>
      <c r="C73">
        <v>70.778611363146695</v>
      </c>
      <c r="D73">
        <v>72</v>
      </c>
      <c r="E73">
        <v>98.126999999999995</v>
      </c>
      <c r="F73">
        <v>65.156000000000006</v>
      </c>
      <c r="G73">
        <v>84.558692307692297</v>
      </c>
      <c r="H73">
        <v>89.420749999999998</v>
      </c>
      <c r="I73">
        <v>47.6235</v>
      </c>
      <c r="J73">
        <v>73.293000000000006</v>
      </c>
      <c r="K73">
        <v>72.149333333333303</v>
      </c>
      <c r="L73">
        <v>69.977999999999994</v>
      </c>
      <c r="M73">
        <v>71.889714285714305</v>
      </c>
      <c r="N73">
        <v>45.030999999999999</v>
      </c>
      <c r="O73">
        <v>71.545000000000002</v>
      </c>
      <c r="P73">
        <v>82.206571428571394</v>
      </c>
      <c r="Q73">
        <v>86.683000000000007</v>
      </c>
      <c r="R73">
        <v>58.6265</v>
      </c>
      <c r="S73">
        <v>53.865400000000001</v>
      </c>
      <c r="T73">
        <v>58.533181818181802</v>
      </c>
      <c r="U73">
        <v>74.549750000000003</v>
      </c>
    </row>
    <row r="74" spans="1:21" x14ac:dyDescent="0.2">
      <c r="A74" t="s">
        <v>165</v>
      </c>
      <c r="B74" t="s">
        <v>166</v>
      </c>
      <c r="C74">
        <v>70.658965508021396</v>
      </c>
      <c r="D74">
        <v>73</v>
      </c>
      <c r="E74">
        <v>93.987499999999997</v>
      </c>
      <c r="F74">
        <v>56.222749999999998</v>
      </c>
      <c r="G74">
        <v>80.278928571428594</v>
      </c>
      <c r="H74">
        <v>81.586500000000001</v>
      </c>
      <c r="I74">
        <v>65.167249999999996</v>
      </c>
      <c r="J74">
        <v>72.592600000000004</v>
      </c>
      <c r="K74">
        <v>72.659750000000003</v>
      </c>
      <c r="L74">
        <v>71.729714285714294</v>
      </c>
      <c r="M74">
        <v>37.590714285714299</v>
      </c>
      <c r="N74">
        <v>57.740499999999997</v>
      </c>
      <c r="O74">
        <v>86.291499999999999</v>
      </c>
      <c r="P74">
        <v>87.028142857142896</v>
      </c>
      <c r="Q74">
        <v>94.843000000000004</v>
      </c>
      <c r="R74">
        <v>43.606499999999997</v>
      </c>
      <c r="S74">
        <v>70.089200000000005</v>
      </c>
      <c r="T74">
        <v>60.447363636363598</v>
      </c>
      <c r="U74">
        <v>69.340500000000006</v>
      </c>
    </row>
    <row r="75" spans="1:21" x14ac:dyDescent="0.2">
      <c r="A75" t="s">
        <v>167</v>
      </c>
      <c r="B75" t="s">
        <v>168</v>
      </c>
      <c r="C75">
        <v>70.434238375350105</v>
      </c>
      <c r="D75">
        <v>74</v>
      </c>
      <c r="E75">
        <v>83.945499999999996</v>
      </c>
      <c r="F75">
        <v>57.801499999999997</v>
      </c>
      <c r="G75">
        <v>78.374499999999998</v>
      </c>
      <c r="H75">
        <v>90.546750000000003</v>
      </c>
      <c r="I75">
        <v>79.506</v>
      </c>
      <c r="J75">
        <v>75.292400000000001</v>
      </c>
      <c r="K75">
        <v>74.368250000000003</v>
      </c>
      <c r="L75">
        <v>75.862285714285704</v>
      </c>
      <c r="M75">
        <v>48.930285714285702</v>
      </c>
      <c r="N75">
        <v>22.112500000000001</v>
      </c>
      <c r="O75">
        <v>76.141499999999994</v>
      </c>
      <c r="P75">
        <v>86.279714285714306</v>
      </c>
      <c r="Q75">
        <v>92.677999999999997</v>
      </c>
      <c r="R75">
        <v>80.251166666666705</v>
      </c>
      <c r="S75">
        <v>57.946800000000003</v>
      </c>
      <c r="T75">
        <v>51.882399999999997</v>
      </c>
      <c r="U75">
        <v>65.462500000000006</v>
      </c>
    </row>
    <row r="76" spans="1:21" x14ac:dyDescent="0.2">
      <c r="A76" t="s">
        <v>169</v>
      </c>
      <c r="B76" t="s">
        <v>170</v>
      </c>
      <c r="C76">
        <v>70.162897338935593</v>
      </c>
      <c r="D76">
        <v>75</v>
      </c>
      <c r="E76">
        <v>86.055499999999995</v>
      </c>
      <c r="F76">
        <v>66.613249999999994</v>
      </c>
      <c r="G76">
        <v>64.840428571428603</v>
      </c>
      <c r="H76">
        <v>92.184250000000006</v>
      </c>
      <c r="I76">
        <v>63.767499999999998</v>
      </c>
      <c r="J76">
        <v>70.081999999999994</v>
      </c>
      <c r="K76">
        <v>64.458250000000007</v>
      </c>
      <c r="L76">
        <v>77.362857142857095</v>
      </c>
      <c r="M76">
        <v>50.664000000000001</v>
      </c>
      <c r="N76">
        <v>60.914499999999997</v>
      </c>
      <c r="O76">
        <v>75.339250000000007</v>
      </c>
      <c r="P76">
        <v>89.698285714285703</v>
      </c>
      <c r="Q76">
        <v>92.497666666666703</v>
      </c>
      <c r="R76">
        <v>69.756666666666703</v>
      </c>
      <c r="S76">
        <v>51.434199999999997</v>
      </c>
      <c r="T76">
        <v>64.713899999999995</v>
      </c>
      <c r="U76">
        <v>52.386749999999999</v>
      </c>
    </row>
    <row r="77" spans="1:21" x14ac:dyDescent="0.2">
      <c r="A77" t="s">
        <v>171</v>
      </c>
      <c r="B77" t="s">
        <v>172</v>
      </c>
      <c r="C77">
        <v>70.050090864527604</v>
      </c>
      <c r="D77">
        <v>76</v>
      </c>
      <c r="E77">
        <v>77.713999999999999</v>
      </c>
      <c r="F77">
        <v>65.248125000000002</v>
      </c>
      <c r="G77">
        <v>82.662214285714299</v>
      </c>
      <c r="H77">
        <v>92.327500000000001</v>
      </c>
      <c r="I77">
        <v>69.400499999999994</v>
      </c>
      <c r="J77">
        <v>79.384</v>
      </c>
      <c r="K77">
        <v>77.572749999999999</v>
      </c>
      <c r="L77">
        <v>71.184142857142902</v>
      </c>
      <c r="M77">
        <v>49.034285714285701</v>
      </c>
      <c r="N77">
        <v>12.394500000000001</v>
      </c>
      <c r="O77">
        <v>83.3005</v>
      </c>
      <c r="P77">
        <v>87.692857142857207</v>
      </c>
      <c r="Q77">
        <v>90.087000000000003</v>
      </c>
      <c r="R77">
        <v>57.345333333333301</v>
      </c>
      <c r="S77">
        <v>65.023200000000003</v>
      </c>
      <c r="T77">
        <v>54.342636363636402</v>
      </c>
      <c r="U77">
        <v>76.138000000000005</v>
      </c>
    </row>
    <row r="78" spans="1:21" x14ac:dyDescent="0.2">
      <c r="A78" t="s">
        <v>173</v>
      </c>
      <c r="B78" t="s">
        <v>174</v>
      </c>
      <c r="C78">
        <v>69.874785792638704</v>
      </c>
      <c r="D78">
        <v>77</v>
      </c>
      <c r="E78">
        <v>98.661500000000004</v>
      </c>
      <c r="F78">
        <v>56.885249999999999</v>
      </c>
      <c r="G78">
        <v>74.365230769230806</v>
      </c>
      <c r="H78">
        <v>59.110750000000003</v>
      </c>
      <c r="I78">
        <v>39.805999999999997</v>
      </c>
      <c r="J78">
        <v>55.218000000000004</v>
      </c>
      <c r="K78">
        <v>72.866</v>
      </c>
      <c r="L78">
        <v>64.643571428571406</v>
      </c>
      <c r="M78">
        <v>61.040999999999997</v>
      </c>
      <c r="N78">
        <v>77.049000000000007</v>
      </c>
      <c r="O78">
        <v>74.282749999999993</v>
      </c>
      <c r="P78">
        <v>89.132571428571396</v>
      </c>
      <c r="Q78">
        <v>91.365666666666698</v>
      </c>
      <c r="R78">
        <v>90.394750000000002</v>
      </c>
      <c r="S78">
        <v>55.138500000000001</v>
      </c>
      <c r="T78">
        <v>65.415818181818196</v>
      </c>
      <c r="U78">
        <v>62.494999999999997</v>
      </c>
    </row>
    <row r="79" spans="1:21" x14ac:dyDescent="0.2">
      <c r="A79" t="s">
        <v>175</v>
      </c>
      <c r="B79" t="s">
        <v>176</v>
      </c>
      <c r="C79">
        <v>69.849745704948702</v>
      </c>
      <c r="D79">
        <v>78</v>
      </c>
      <c r="E79">
        <v>98.879000000000005</v>
      </c>
      <c r="F79">
        <v>49.418999999999997</v>
      </c>
      <c r="G79">
        <v>80.095214285714306</v>
      </c>
      <c r="H79">
        <v>88.012249999999995</v>
      </c>
      <c r="I79">
        <v>58.296750000000003</v>
      </c>
      <c r="J79">
        <v>76.261200000000002</v>
      </c>
      <c r="K79">
        <v>68.285250000000005</v>
      </c>
      <c r="L79">
        <v>77.986142857142895</v>
      </c>
      <c r="M79">
        <v>81.045714285714297</v>
      </c>
      <c r="N79">
        <v>47.438499999999998</v>
      </c>
      <c r="O79">
        <v>81.754000000000005</v>
      </c>
      <c r="P79">
        <v>78.241</v>
      </c>
      <c r="Q79">
        <v>77.881</v>
      </c>
      <c r="R79">
        <v>68.210499999999996</v>
      </c>
      <c r="S79">
        <v>38.435600000000001</v>
      </c>
      <c r="T79">
        <v>59.941555555555603</v>
      </c>
      <c r="U79">
        <v>57.262999999999998</v>
      </c>
    </row>
    <row r="80" spans="1:21" x14ac:dyDescent="0.2">
      <c r="A80" t="s">
        <v>177</v>
      </c>
      <c r="B80" t="s">
        <v>178</v>
      </c>
      <c r="C80">
        <v>69.714765729368693</v>
      </c>
      <c r="D80">
        <v>79</v>
      </c>
      <c r="E80">
        <v>99.670500000000004</v>
      </c>
      <c r="F80">
        <v>64.795500000000004</v>
      </c>
      <c r="G80">
        <v>86.214076923076902</v>
      </c>
      <c r="H80">
        <v>98.168000000000006</v>
      </c>
      <c r="I80">
        <v>74.326499999999996</v>
      </c>
      <c r="J80">
        <v>57.963000000000001</v>
      </c>
      <c r="K80">
        <v>69.245750000000001</v>
      </c>
      <c r="L80">
        <v>63.709666666666699</v>
      </c>
      <c r="M80">
        <v>88.268571428571406</v>
      </c>
      <c r="N80">
        <v>100</v>
      </c>
      <c r="O80">
        <v>85.390666666666704</v>
      </c>
      <c r="P80">
        <v>51.908285714285697</v>
      </c>
      <c r="Q80">
        <v>9.83266666666667</v>
      </c>
      <c r="R80">
        <v>72.721666666666707</v>
      </c>
      <c r="S80">
        <v>55.516666666666701</v>
      </c>
      <c r="T80">
        <v>70.354500000000002</v>
      </c>
      <c r="U80">
        <v>37.064999999999998</v>
      </c>
    </row>
    <row r="81" spans="1:21" x14ac:dyDescent="0.2">
      <c r="A81" t="s">
        <v>179</v>
      </c>
      <c r="B81" t="s">
        <v>180</v>
      </c>
      <c r="C81">
        <v>69.705477680163</v>
      </c>
      <c r="D81">
        <v>80</v>
      </c>
      <c r="E81">
        <v>86.266000000000005</v>
      </c>
      <c r="F81">
        <v>61.129750000000001</v>
      </c>
      <c r="G81">
        <v>79.701142857142898</v>
      </c>
      <c r="H81">
        <v>95.990499999999997</v>
      </c>
      <c r="I81">
        <v>80.59675</v>
      </c>
      <c r="J81">
        <v>70.960999999999999</v>
      </c>
      <c r="K81">
        <v>68.577250000000006</v>
      </c>
      <c r="L81">
        <v>68.439714285714302</v>
      </c>
      <c r="M81">
        <v>57.855142857142901</v>
      </c>
      <c r="N81">
        <v>38.225999999999999</v>
      </c>
      <c r="O81">
        <v>83.364500000000007</v>
      </c>
      <c r="P81">
        <v>81.697285714285698</v>
      </c>
      <c r="Q81">
        <v>86.825000000000003</v>
      </c>
      <c r="R81">
        <v>62.633666666666699</v>
      </c>
      <c r="S81">
        <v>55.442599999999999</v>
      </c>
      <c r="T81">
        <v>46.702818181818202</v>
      </c>
      <c r="U81">
        <v>60.584000000000003</v>
      </c>
    </row>
    <row r="82" spans="1:21" x14ac:dyDescent="0.2">
      <c r="A82" t="s">
        <v>181</v>
      </c>
      <c r="B82" t="s">
        <v>182</v>
      </c>
      <c r="C82">
        <v>69.618489032046398</v>
      </c>
      <c r="D82">
        <v>81</v>
      </c>
      <c r="E82">
        <v>88.024500000000003</v>
      </c>
      <c r="F82">
        <v>65.252875000000003</v>
      </c>
      <c r="G82">
        <v>69.385615384615406</v>
      </c>
      <c r="H82">
        <v>67.863749999999996</v>
      </c>
      <c r="I82">
        <v>57.725999999999999</v>
      </c>
      <c r="J82">
        <v>65.069400000000002</v>
      </c>
      <c r="K82">
        <v>69.85575</v>
      </c>
      <c r="L82">
        <v>64.920571428571407</v>
      </c>
      <c r="M82">
        <v>57.924142857142897</v>
      </c>
      <c r="N82">
        <v>83.9285</v>
      </c>
      <c r="O82">
        <v>68.511750000000006</v>
      </c>
      <c r="P82">
        <v>91.189428571428607</v>
      </c>
      <c r="Q82">
        <v>95.095333333333301</v>
      </c>
      <c r="R82">
        <v>51.470833333333303</v>
      </c>
      <c r="S82">
        <v>68.346000000000004</v>
      </c>
      <c r="T82">
        <v>60.142363636363598</v>
      </c>
      <c r="U82">
        <v>58.807499999999997</v>
      </c>
    </row>
    <row r="83" spans="1:21" x14ac:dyDescent="0.2">
      <c r="A83" t="s">
        <v>183</v>
      </c>
      <c r="B83" t="s">
        <v>184</v>
      </c>
      <c r="C83">
        <v>69.590874108734397</v>
      </c>
      <c r="D83">
        <v>82</v>
      </c>
      <c r="E83">
        <v>90.004499999999993</v>
      </c>
      <c r="F83">
        <v>59.067374999999998</v>
      </c>
      <c r="G83">
        <v>78.182571428571407</v>
      </c>
      <c r="H83">
        <v>81.782666666666699</v>
      </c>
      <c r="I83">
        <v>78.337999999999994</v>
      </c>
      <c r="J83">
        <v>70.088200000000001</v>
      </c>
      <c r="K83">
        <v>64.1845</v>
      </c>
      <c r="L83">
        <v>76.8647142857143</v>
      </c>
      <c r="M83">
        <v>52.731714285714297</v>
      </c>
      <c r="N83">
        <v>25.617000000000001</v>
      </c>
      <c r="O83">
        <v>83.603333333333296</v>
      </c>
      <c r="P83">
        <v>81.281999999999996</v>
      </c>
      <c r="Q83">
        <v>91.005666666666698</v>
      </c>
      <c r="R83">
        <v>62.236400000000003</v>
      </c>
      <c r="S83">
        <v>56.2224</v>
      </c>
      <c r="T83">
        <v>61.030818181818198</v>
      </c>
      <c r="U83">
        <v>70.802999999999997</v>
      </c>
    </row>
    <row r="84" spans="1:21" x14ac:dyDescent="0.2">
      <c r="A84" t="s">
        <v>185</v>
      </c>
      <c r="B84" t="s">
        <v>186</v>
      </c>
      <c r="C84">
        <v>69.401498987776904</v>
      </c>
      <c r="D84">
        <v>83</v>
      </c>
      <c r="E84">
        <v>86.239000000000004</v>
      </c>
      <c r="F84">
        <v>68.964624999999998</v>
      </c>
      <c r="G84">
        <v>78.496499999999997</v>
      </c>
      <c r="H84">
        <v>98.916333333333398</v>
      </c>
      <c r="I84">
        <v>52.414499999999997</v>
      </c>
      <c r="J84">
        <v>50.195</v>
      </c>
      <c r="K84">
        <v>61.787750000000003</v>
      </c>
      <c r="L84">
        <v>79.712857142857203</v>
      </c>
      <c r="M84">
        <v>53.862000000000002</v>
      </c>
      <c r="N84">
        <v>54.599499999999999</v>
      </c>
      <c r="O84">
        <v>76.164666666666704</v>
      </c>
      <c r="P84">
        <v>90.060714285714297</v>
      </c>
      <c r="Q84">
        <v>95.850999999999999</v>
      </c>
      <c r="R84">
        <v>72.730500000000006</v>
      </c>
      <c r="S84">
        <v>56.8934</v>
      </c>
      <c r="T84">
        <v>53.603636363636397</v>
      </c>
      <c r="U84">
        <v>49.333500000000001</v>
      </c>
    </row>
    <row r="85" spans="1:21" x14ac:dyDescent="0.2">
      <c r="A85" t="s">
        <v>187</v>
      </c>
      <c r="B85" t="s">
        <v>188</v>
      </c>
      <c r="C85">
        <v>69.351557226753698</v>
      </c>
      <c r="D85">
        <v>84</v>
      </c>
      <c r="F85">
        <v>56.716250000000002</v>
      </c>
      <c r="G85">
        <v>82.508538461538507</v>
      </c>
      <c r="H85">
        <v>92.139499999999998</v>
      </c>
      <c r="I85">
        <v>72.463750000000005</v>
      </c>
      <c r="J85">
        <v>52.423999999999999</v>
      </c>
      <c r="K85">
        <v>70.695750000000004</v>
      </c>
      <c r="L85">
        <v>69.439499999999995</v>
      </c>
      <c r="M85">
        <v>59.994</v>
      </c>
      <c r="O85">
        <v>90.497500000000002</v>
      </c>
      <c r="P85">
        <v>55.845999999999997</v>
      </c>
      <c r="Q85">
        <v>89.633499999999998</v>
      </c>
      <c r="R85">
        <v>63.901166666666697</v>
      </c>
      <c r="S85">
        <v>63.046750000000003</v>
      </c>
      <c r="T85">
        <v>70.370222222222196</v>
      </c>
      <c r="U85">
        <v>73.621333333333297</v>
      </c>
    </row>
    <row r="86" spans="1:21" x14ac:dyDescent="0.2">
      <c r="A86" t="s">
        <v>189</v>
      </c>
      <c r="B86" t="s">
        <v>190</v>
      </c>
      <c r="C86">
        <v>69.185140743570201</v>
      </c>
      <c r="D86">
        <v>85</v>
      </c>
      <c r="E86">
        <v>82.960999999999999</v>
      </c>
      <c r="F86">
        <v>65.328333333333305</v>
      </c>
      <c r="G86">
        <v>67.246285714285705</v>
      </c>
      <c r="H86">
        <v>73.494500000000002</v>
      </c>
      <c r="I86">
        <v>56.501249999999999</v>
      </c>
      <c r="J86">
        <v>59.509799999999998</v>
      </c>
      <c r="K86">
        <v>86.641249999999999</v>
      </c>
      <c r="L86">
        <v>76.052833333333297</v>
      </c>
      <c r="M86">
        <v>16.256285714285699</v>
      </c>
      <c r="N86">
        <v>76.438500000000005</v>
      </c>
      <c r="O86">
        <v>79.673500000000004</v>
      </c>
      <c r="P86">
        <v>93.69</v>
      </c>
      <c r="Q86">
        <v>97.217666666666702</v>
      </c>
      <c r="S86">
        <v>60.991</v>
      </c>
      <c r="T86">
        <v>68.034666666666695</v>
      </c>
      <c r="U86">
        <v>50.796500000000002</v>
      </c>
    </row>
    <row r="87" spans="1:21" x14ac:dyDescent="0.2">
      <c r="A87" t="s">
        <v>191</v>
      </c>
      <c r="B87" t="s">
        <v>192</v>
      </c>
      <c r="C87">
        <v>69.091831162464999</v>
      </c>
      <c r="D87">
        <v>86</v>
      </c>
      <c r="E87">
        <v>93.958500000000001</v>
      </c>
      <c r="F87">
        <v>64.090874999999997</v>
      </c>
      <c r="G87">
        <v>80.567357142857105</v>
      </c>
      <c r="H87">
        <v>83.015500000000003</v>
      </c>
      <c r="I87">
        <v>42.949249999999999</v>
      </c>
      <c r="J87">
        <v>60.245399999999997</v>
      </c>
      <c r="K87">
        <v>64.331249999999997</v>
      </c>
      <c r="L87">
        <v>62.453285714285698</v>
      </c>
      <c r="M87">
        <v>67.230428571428604</v>
      </c>
      <c r="N87">
        <v>48.470500000000001</v>
      </c>
      <c r="O87">
        <v>73.994333333333302</v>
      </c>
      <c r="P87">
        <v>85.78</v>
      </c>
      <c r="Q87">
        <v>80.382000000000005</v>
      </c>
      <c r="R87">
        <v>79.409000000000006</v>
      </c>
      <c r="S87">
        <v>67.422600000000003</v>
      </c>
      <c r="T87">
        <v>60.421100000000003</v>
      </c>
      <c r="U87">
        <v>59.839750000000002</v>
      </c>
    </row>
    <row r="88" spans="1:21" x14ac:dyDescent="0.2">
      <c r="A88" t="s">
        <v>193</v>
      </c>
      <c r="B88" t="s">
        <v>194</v>
      </c>
      <c r="C88">
        <v>68.850654570919303</v>
      </c>
      <c r="D88">
        <v>87</v>
      </c>
      <c r="E88">
        <v>91.734999999999999</v>
      </c>
      <c r="F88">
        <v>64.873500000000007</v>
      </c>
      <c r="G88">
        <v>66.800571428571402</v>
      </c>
      <c r="H88">
        <v>90.641000000000005</v>
      </c>
      <c r="I88">
        <v>69.546000000000006</v>
      </c>
      <c r="J88">
        <v>69.073800000000006</v>
      </c>
      <c r="K88">
        <v>64.601749999999996</v>
      </c>
      <c r="L88">
        <v>75.384285714285696</v>
      </c>
      <c r="M88">
        <v>33.717428571428599</v>
      </c>
      <c r="N88">
        <v>35.198999999999998</v>
      </c>
      <c r="O88">
        <v>71.8065</v>
      </c>
      <c r="P88">
        <v>91.859428571428595</v>
      </c>
      <c r="Q88">
        <v>93.201333333333295</v>
      </c>
      <c r="S88">
        <v>61.645200000000003</v>
      </c>
      <c r="T88">
        <v>48.896818181818198</v>
      </c>
      <c r="U88">
        <v>76.452749999999995</v>
      </c>
    </row>
    <row r="89" spans="1:21" x14ac:dyDescent="0.2">
      <c r="A89" t="s">
        <v>195</v>
      </c>
      <c r="B89" t="s">
        <v>196</v>
      </c>
      <c r="C89">
        <v>68.840613343519195</v>
      </c>
      <c r="D89">
        <v>88</v>
      </c>
      <c r="E89">
        <v>95.072500000000005</v>
      </c>
      <c r="F89">
        <v>73.782499999999999</v>
      </c>
      <c r="G89">
        <v>71.991214285714307</v>
      </c>
      <c r="H89">
        <v>75.295749999999998</v>
      </c>
      <c r="I89">
        <v>67.167249999999996</v>
      </c>
      <c r="J89">
        <v>76.517200000000003</v>
      </c>
      <c r="K89">
        <v>84.983999999999995</v>
      </c>
      <c r="L89">
        <v>72.990857142857195</v>
      </c>
      <c r="M89">
        <v>40.164571428571399</v>
      </c>
      <c r="N89">
        <v>35.746499999999997</v>
      </c>
      <c r="O89">
        <v>80.005499999999998</v>
      </c>
      <c r="P89">
        <v>80.232285714285695</v>
      </c>
      <c r="Q89">
        <v>91.971500000000006</v>
      </c>
      <c r="S89">
        <v>51.941400000000002</v>
      </c>
      <c r="T89">
        <v>47.472636363636397</v>
      </c>
      <c r="U89">
        <v>59.927999999999997</v>
      </c>
    </row>
    <row r="90" spans="1:21" x14ac:dyDescent="0.2">
      <c r="A90" t="s">
        <v>197</v>
      </c>
      <c r="B90" t="s">
        <v>198</v>
      </c>
      <c r="C90">
        <v>68.835710708899001</v>
      </c>
      <c r="D90">
        <v>89</v>
      </c>
      <c r="E90">
        <v>84.864999999999995</v>
      </c>
      <c r="F90">
        <v>44.975666666666697</v>
      </c>
      <c r="G90">
        <v>75.4706153846154</v>
      </c>
      <c r="H90">
        <v>79.23</v>
      </c>
      <c r="I90">
        <v>76.150000000000006</v>
      </c>
      <c r="J90">
        <v>67.391999999999996</v>
      </c>
      <c r="K90">
        <v>61.916499999999999</v>
      </c>
      <c r="L90">
        <v>58.662666666666702</v>
      </c>
      <c r="M90">
        <v>41.019500000000001</v>
      </c>
      <c r="N90">
        <v>41.607999999999997</v>
      </c>
      <c r="O90">
        <v>79.523499999999999</v>
      </c>
      <c r="P90">
        <v>81.265500000000003</v>
      </c>
      <c r="Q90">
        <v>97.147499999999994</v>
      </c>
      <c r="R90">
        <v>57.0488</v>
      </c>
      <c r="S90">
        <v>71.640249999999995</v>
      </c>
      <c r="T90">
        <v>79.257333333333307</v>
      </c>
      <c r="U90">
        <v>73.03425</v>
      </c>
    </row>
    <row r="91" spans="1:21" x14ac:dyDescent="0.2">
      <c r="A91" t="s">
        <v>199</v>
      </c>
      <c r="B91" t="s">
        <v>200</v>
      </c>
      <c r="C91">
        <v>68.588350738477203</v>
      </c>
      <c r="D91">
        <v>90</v>
      </c>
      <c r="F91">
        <v>57.936</v>
      </c>
      <c r="G91">
        <v>83.546928571428595</v>
      </c>
      <c r="H91">
        <v>84.976249999999993</v>
      </c>
      <c r="I91">
        <v>37.191000000000003</v>
      </c>
      <c r="J91">
        <v>50.468400000000003</v>
      </c>
      <c r="K91">
        <v>66.970249999999993</v>
      </c>
      <c r="L91">
        <v>80.906800000000004</v>
      </c>
      <c r="M91">
        <v>67.184714285714307</v>
      </c>
      <c r="O91">
        <v>83.346500000000006</v>
      </c>
      <c r="P91">
        <v>74.165999999999997</v>
      </c>
      <c r="Q91">
        <v>33.655999999999999</v>
      </c>
      <c r="R91">
        <v>77.932000000000002</v>
      </c>
      <c r="S91">
        <v>62.198999999999998</v>
      </c>
      <c r="T91">
        <v>67.2834</v>
      </c>
      <c r="U91">
        <v>74.331333333333404</v>
      </c>
    </row>
    <row r="92" spans="1:21" x14ac:dyDescent="0.2">
      <c r="A92" t="s">
        <v>201</v>
      </c>
      <c r="B92" t="s">
        <v>202</v>
      </c>
      <c r="C92">
        <v>68.467221243462404</v>
      </c>
      <c r="D92">
        <v>91</v>
      </c>
      <c r="E92">
        <v>98.921999999999997</v>
      </c>
      <c r="F92">
        <v>58.577428571428598</v>
      </c>
      <c r="G92">
        <v>69.449692307692303</v>
      </c>
      <c r="H92">
        <v>99.635000000000005</v>
      </c>
      <c r="I92">
        <v>78.434250000000006</v>
      </c>
      <c r="J92">
        <v>57.276600000000002</v>
      </c>
      <c r="K92">
        <v>57.851500000000001</v>
      </c>
      <c r="L92">
        <v>70.055999999999997</v>
      </c>
      <c r="M92">
        <v>16.0811666666667</v>
      </c>
      <c r="O92">
        <v>82.701499999999996</v>
      </c>
      <c r="P92">
        <v>81.701333333333295</v>
      </c>
      <c r="Q92">
        <v>59.320500000000003</v>
      </c>
      <c r="S92">
        <v>63.843400000000003</v>
      </c>
      <c r="T92">
        <v>74.913749999999993</v>
      </c>
      <c r="U92">
        <v>45.337666666666699</v>
      </c>
    </row>
    <row r="93" spans="1:21" x14ac:dyDescent="0.2">
      <c r="A93" t="s">
        <v>203</v>
      </c>
      <c r="B93" t="s">
        <v>204</v>
      </c>
      <c r="C93">
        <v>68.245336863130404</v>
      </c>
      <c r="D93">
        <v>92</v>
      </c>
      <c r="F93">
        <v>63.376428571428598</v>
      </c>
      <c r="G93">
        <v>70.232357142857097</v>
      </c>
      <c r="H93">
        <v>67.274000000000001</v>
      </c>
      <c r="I93">
        <v>66.901499999999999</v>
      </c>
      <c r="J93">
        <v>71.381249999999994</v>
      </c>
      <c r="K93">
        <v>70.637249999999995</v>
      </c>
      <c r="L93">
        <v>55.877499999999998</v>
      </c>
      <c r="M93">
        <v>42.119399999999999</v>
      </c>
      <c r="O93">
        <v>83.356499999999997</v>
      </c>
      <c r="P93">
        <v>80.683000000000007</v>
      </c>
      <c r="Q93">
        <v>88.557500000000005</v>
      </c>
      <c r="R93">
        <v>77.003833333333304</v>
      </c>
      <c r="S93">
        <v>78.134200000000007</v>
      </c>
      <c r="T93">
        <v>63.420545454545497</v>
      </c>
      <c r="U93">
        <v>65.536749999999998</v>
      </c>
    </row>
    <row r="94" spans="1:21" x14ac:dyDescent="0.2">
      <c r="A94" t="s">
        <v>205</v>
      </c>
      <c r="B94" t="s">
        <v>206</v>
      </c>
      <c r="C94">
        <v>67.977342203548105</v>
      </c>
      <c r="D94">
        <v>93</v>
      </c>
      <c r="E94">
        <v>98.032499999999999</v>
      </c>
      <c r="F94">
        <v>71.523333333333298</v>
      </c>
      <c r="G94">
        <v>75.229785714285697</v>
      </c>
      <c r="H94">
        <v>83.504000000000005</v>
      </c>
      <c r="I94">
        <v>52.290750000000003</v>
      </c>
      <c r="J94">
        <v>71.091499999999996</v>
      </c>
      <c r="K94">
        <v>70.311250000000001</v>
      </c>
      <c r="L94">
        <v>74.622</v>
      </c>
      <c r="M94">
        <v>51.789142857142899</v>
      </c>
      <c r="N94">
        <v>65.338999999999999</v>
      </c>
      <c r="O94">
        <v>87.730666666666707</v>
      </c>
      <c r="P94">
        <v>74.426666666666705</v>
      </c>
      <c r="Q94">
        <v>91.392499999999998</v>
      </c>
      <c r="R94">
        <v>48.974166666666697</v>
      </c>
      <c r="S94">
        <v>27.409749999999999</v>
      </c>
      <c r="T94">
        <v>60.786555555555601</v>
      </c>
      <c r="U94">
        <v>51.161250000000003</v>
      </c>
    </row>
    <row r="95" spans="1:21" x14ac:dyDescent="0.2">
      <c r="A95" t="s">
        <v>207</v>
      </c>
      <c r="B95" t="s">
        <v>208</v>
      </c>
      <c r="C95">
        <v>67.692151487238306</v>
      </c>
      <c r="D95">
        <v>94</v>
      </c>
      <c r="E95">
        <v>100</v>
      </c>
      <c r="F95">
        <v>56.854624999999999</v>
      </c>
      <c r="G95">
        <v>80.685461538461496</v>
      </c>
      <c r="H95">
        <v>78.473249999999993</v>
      </c>
      <c r="I95">
        <v>44.598500000000001</v>
      </c>
      <c r="J95">
        <v>59.085599999999999</v>
      </c>
      <c r="K95">
        <v>68.648250000000004</v>
      </c>
      <c r="L95">
        <v>77.475800000000007</v>
      </c>
      <c r="M95">
        <v>74.724285714285699</v>
      </c>
      <c r="O95">
        <v>63.636333333333297</v>
      </c>
      <c r="P95">
        <v>66.019571428571396</v>
      </c>
      <c r="Q95">
        <v>33.75</v>
      </c>
      <c r="R95">
        <v>64.754333333333307</v>
      </c>
      <c r="S95">
        <v>49.014249999999997</v>
      </c>
      <c r="T95">
        <v>75.230428571428604</v>
      </c>
      <c r="U95">
        <v>80.864750000000001</v>
      </c>
    </row>
    <row r="96" spans="1:21" x14ac:dyDescent="0.2">
      <c r="A96" t="s">
        <v>209</v>
      </c>
      <c r="B96" t="s">
        <v>210</v>
      </c>
      <c r="C96">
        <v>67.520144677871201</v>
      </c>
      <c r="D96">
        <v>95</v>
      </c>
      <c r="E96">
        <v>98.730999999999995</v>
      </c>
      <c r="F96">
        <v>56.643142857142898</v>
      </c>
      <c r="G96">
        <v>74.336928571428601</v>
      </c>
      <c r="H96">
        <v>99.617000000000004</v>
      </c>
      <c r="I96">
        <v>45.171750000000003</v>
      </c>
      <c r="J96">
        <v>66.259200000000007</v>
      </c>
      <c r="K96">
        <v>61.9493333333333</v>
      </c>
      <c r="L96">
        <v>54.147285714285701</v>
      </c>
      <c r="M96">
        <v>73.323333333333295</v>
      </c>
      <c r="N96">
        <v>84.4435</v>
      </c>
      <c r="O96">
        <v>60.914999999999999</v>
      </c>
      <c r="P96">
        <v>80.709285714285699</v>
      </c>
      <c r="Q96">
        <v>86.790999999999997</v>
      </c>
      <c r="R96">
        <v>65.790199999999999</v>
      </c>
      <c r="S96">
        <v>57.044600000000003</v>
      </c>
      <c r="T96">
        <v>51.892899999999997</v>
      </c>
      <c r="U96">
        <v>30.077000000000002</v>
      </c>
    </row>
    <row r="97" spans="1:21" x14ac:dyDescent="0.2">
      <c r="A97" t="s">
        <v>211</v>
      </c>
      <c r="B97" t="s">
        <v>212</v>
      </c>
      <c r="C97">
        <v>67.399751153870596</v>
      </c>
      <c r="D97">
        <v>96</v>
      </c>
      <c r="E97">
        <v>99.129499999999993</v>
      </c>
      <c r="F97">
        <v>66.678624999999997</v>
      </c>
      <c r="G97">
        <v>65.489785714285702</v>
      </c>
      <c r="H97">
        <v>89.765500000000003</v>
      </c>
      <c r="I97">
        <v>65.240250000000003</v>
      </c>
      <c r="J97">
        <v>69.212000000000003</v>
      </c>
      <c r="K97">
        <v>61.934249999999999</v>
      </c>
      <c r="L97">
        <v>74.266499999999994</v>
      </c>
      <c r="M97">
        <v>35.715666666666699</v>
      </c>
      <c r="O97">
        <v>84.117000000000004</v>
      </c>
      <c r="P97">
        <v>86.085666666666697</v>
      </c>
      <c r="Q97">
        <v>82.813999999999993</v>
      </c>
      <c r="R97">
        <v>36.5794</v>
      </c>
      <c r="S97">
        <v>73.086600000000004</v>
      </c>
      <c r="T97">
        <v>55.968181818181797</v>
      </c>
      <c r="U97">
        <v>66.135999999999996</v>
      </c>
    </row>
    <row r="98" spans="1:21" x14ac:dyDescent="0.2">
      <c r="A98" t="s">
        <v>213</v>
      </c>
      <c r="B98" t="s">
        <v>214</v>
      </c>
      <c r="C98">
        <v>67.324929405888199</v>
      </c>
      <c r="D98">
        <v>97</v>
      </c>
      <c r="E98">
        <v>94.6965</v>
      </c>
      <c r="F98">
        <v>50.273249999999997</v>
      </c>
      <c r="G98">
        <v>78.948307692307694</v>
      </c>
      <c r="H98">
        <v>80.699250000000006</v>
      </c>
      <c r="I98">
        <v>66.391000000000005</v>
      </c>
      <c r="J98">
        <v>71.221199999999996</v>
      </c>
      <c r="K98">
        <v>71.513000000000005</v>
      </c>
      <c r="L98">
        <v>71.177571428571397</v>
      </c>
      <c r="M98">
        <v>46.609000000000002</v>
      </c>
      <c r="N98">
        <v>18.5915</v>
      </c>
      <c r="O98">
        <v>89.992000000000004</v>
      </c>
      <c r="P98">
        <v>76.245857142857204</v>
      </c>
      <c r="Q98">
        <v>71.709999999999994</v>
      </c>
      <c r="R98">
        <v>70.3066666666667</v>
      </c>
      <c r="S98">
        <v>66.587000000000003</v>
      </c>
      <c r="T98">
        <v>62.087363636363598</v>
      </c>
      <c r="U98">
        <v>57.474333333333298</v>
      </c>
    </row>
    <row r="99" spans="1:21" x14ac:dyDescent="0.2">
      <c r="A99" t="s">
        <v>215</v>
      </c>
      <c r="B99" t="s">
        <v>216</v>
      </c>
      <c r="C99">
        <v>67.143681862745098</v>
      </c>
      <c r="D99">
        <v>98</v>
      </c>
      <c r="E99">
        <v>80.508499999999998</v>
      </c>
      <c r="F99">
        <v>68.838624999999993</v>
      </c>
      <c r="G99">
        <v>58.240714285714297</v>
      </c>
      <c r="H99">
        <v>78.494749999999996</v>
      </c>
      <c r="I99">
        <v>64.254249999999999</v>
      </c>
      <c r="J99">
        <v>70.373000000000005</v>
      </c>
      <c r="K99">
        <v>58.953749999999999</v>
      </c>
      <c r="L99">
        <v>69.185285714285698</v>
      </c>
      <c r="M99">
        <v>44.439714285714302</v>
      </c>
      <c r="N99">
        <v>42.249000000000002</v>
      </c>
      <c r="O99">
        <v>73.480249999999998</v>
      </c>
      <c r="P99">
        <v>92.2392857142857</v>
      </c>
      <c r="Q99">
        <v>95.363</v>
      </c>
      <c r="R99">
        <v>74.867166666666705</v>
      </c>
      <c r="S99">
        <v>58.632800000000003</v>
      </c>
      <c r="T99">
        <v>51.917499999999997</v>
      </c>
      <c r="U99">
        <v>59.405000000000001</v>
      </c>
    </row>
    <row r="100" spans="1:21" x14ac:dyDescent="0.2">
      <c r="A100" t="s">
        <v>217</v>
      </c>
      <c r="B100" t="s">
        <v>218</v>
      </c>
      <c r="C100">
        <v>66.469628871651196</v>
      </c>
      <c r="D100">
        <v>99</v>
      </c>
      <c r="E100">
        <v>81.398499999999999</v>
      </c>
      <c r="F100">
        <v>68.573999999999998</v>
      </c>
      <c r="G100">
        <v>59.620769230769199</v>
      </c>
      <c r="H100">
        <v>83.900750000000002</v>
      </c>
      <c r="I100">
        <v>50.686999999999998</v>
      </c>
      <c r="J100">
        <v>70.801400000000001</v>
      </c>
      <c r="K100">
        <v>48.484499999999997</v>
      </c>
      <c r="L100">
        <v>67.805000000000007</v>
      </c>
      <c r="M100">
        <v>37.926285714285697</v>
      </c>
      <c r="N100">
        <v>80.222499999999997</v>
      </c>
      <c r="O100">
        <v>46.570749999999997</v>
      </c>
      <c r="P100">
        <v>96.465571428571394</v>
      </c>
      <c r="Q100">
        <v>97.701333333333395</v>
      </c>
      <c r="S100">
        <v>68.943600000000004</v>
      </c>
      <c r="T100">
        <v>55.427</v>
      </c>
      <c r="U100">
        <v>54.6875</v>
      </c>
    </row>
    <row r="101" spans="1:21" x14ac:dyDescent="0.2">
      <c r="A101" t="s">
        <v>219</v>
      </c>
      <c r="B101" t="s">
        <v>220</v>
      </c>
      <c r="C101">
        <v>66.238541494779696</v>
      </c>
      <c r="D101">
        <v>100</v>
      </c>
      <c r="F101">
        <v>69.563000000000002</v>
      </c>
      <c r="G101">
        <v>88.670928571428604</v>
      </c>
      <c r="H101">
        <v>89.901750000000007</v>
      </c>
      <c r="I101">
        <v>55.278750000000002</v>
      </c>
      <c r="J101">
        <v>52.9116</v>
      </c>
      <c r="K101">
        <v>66.677999999999997</v>
      </c>
      <c r="L101">
        <v>69.930000000000007</v>
      </c>
      <c r="M101">
        <v>84.076857142857193</v>
      </c>
      <c r="O101">
        <v>57.143000000000001</v>
      </c>
      <c r="P101">
        <v>55.784142857142903</v>
      </c>
      <c r="Q101">
        <v>0</v>
      </c>
      <c r="R101">
        <v>79.745599999999996</v>
      </c>
      <c r="S101">
        <v>67.595666666666702</v>
      </c>
      <c r="T101">
        <v>76.703857142857103</v>
      </c>
      <c r="U101">
        <v>48.164666666666697</v>
      </c>
    </row>
    <row r="102" spans="1:21" x14ac:dyDescent="0.2">
      <c r="A102" t="s">
        <v>221</v>
      </c>
      <c r="B102" t="s">
        <v>222</v>
      </c>
      <c r="C102">
        <v>65.910951451489694</v>
      </c>
      <c r="D102">
        <v>101</v>
      </c>
      <c r="E102">
        <v>79.102500000000006</v>
      </c>
      <c r="F102">
        <v>70.8125</v>
      </c>
      <c r="G102">
        <v>60.497928571428602</v>
      </c>
      <c r="H102">
        <v>89.706000000000003</v>
      </c>
      <c r="I102">
        <v>54.491</v>
      </c>
      <c r="J102">
        <v>67.331000000000003</v>
      </c>
      <c r="K102">
        <v>49.737499999999997</v>
      </c>
      <c r="L102">
        <v>74.555142857142897</v>
      </c>
      <c r="M102">
        <v>40.993666666666698</v>
      </c>
      <c r="N102">
        <v>81.348500000000001</v>
      </c>
      <c r="O102">
        <v>49.320250000000001</v>
      </c>
      <c r="P102">
        <v>95.638571428571396</v>
      </c>
      <c r="Q102">
        <v>96.328500000000005</v>
      </c>
      <c r="R102">
        <v>65.165333333333294</v>
      </c>
      <c r="S102">
        <v>53.593600000000002</v>
      </c>
      <c r="T102">
        <v>47.634181818181801</v>
      </c>
      <c r="U102">
        <v>44.23</v>
      </c>
    </row>
    <row r="103" spans="1:21" x14ac:dyDescent="0.2">
      <c r="A103" t="s">
        <v>223</v>
      </c>
      <c r="B103" t="s">
        <v>224</v>
      </c>
      <c r="C103">
        <v>65.707818907562995</v>
      </c>
      <c r="D103">
        <v>102</v>
      </c>
      <c r="F103">
        <v>57.635874999999999</v>
      </c>
      <c r="G103">
        <v>85.642750000000007</v>
      </c>
      <c r="H103">
        <v>96.973749999999995</v>
      </c>
      <c r="I103">
        <v>62.009</v>
      </c>
      <c r="J103">
        <v>59.158000000000001</v>
      </c>
      <c r="K103">
        <v>62.936500000000002</v>
      </c>
      <c r="L103">
        <v>68.795599999999993</v>
      </c>
      <c r="M103">
        <v>76.396571428571406</v>
      </c>
      <c r="O103">
        <v>99.858000000000004</v>
      </c>
      <c r="P103">
        <v>48.548999999999999</v>
      </c>
      <c r="Q103">
        <v>1.2889999999999999</v>
      </c>
      <c r="R103">
        <v>49.65</v>
      </c>
      <c r="S103">
        <v>68.212000000000003</v>
      </c>
      <c r="T103">
        <v>61.6993333333333</v>
      </c>
      <c r="U103">
        <v>65.6756666666667</v>
      </c>
    </row>
    <row r="104" spans="1:21" x14ac:dyDescent="0.2">
      <c r="A104" t="s">
        <v>225</v>
      </c>
      <c r="B104" t="s">
        <v>226</v>
      </c>
      <c r="C104">
        <v>64.836239699516199</v>
      </c>
      <c r="D104">
        <v>103</v>
      </c>
      <c r="F104">
        <v>68.992874999999998</v>
      </c>
      <c r="G104">
        <v>62.045214285714302</v>
      </c>
      <c r="H104">
        <v>66.460250000000002</v>
      </c>
      <c r="I104">
        <v>56.334249999999997</v>
      </c>
      <c r="J104">
        <v>62.851199999999999</v>
      </c>
      <c r="K104">
        <v>57.323500000000003</v>
      </c>
      <c r="L104">
        <v>62.208571428571403</v>
      </c>
      <c r="M104">
        <v>34.830857142857099</v>
      </c>
      <c r="O104">
        <v>76.801000000000002</v>
      </c>
      <c r="P104">
        <v>93.598571428571404</v>
      </c>
      <c r="Q104">
        <v>95.122666666666703</v>
      </c>
      <c r="R104">
        <v>59.963166666666702</v>
      </c>
      <c r="S104">
        <v>48.839599999999997</v>
      </c>
      <c r="T104">
        <v>49.211727272727302</v>
      </c>
      <c r="U104">
        <v>55.080750000000002</v>
      </c>
    </row>
    <row r="105" spans="1:21" x14ac:dyDescent="0.2">
      <c r="A105" t="s">
        <v>227</v>
      </c>
      <c r="B105" t="s">
        <v>228</v>
      </c>
      <c r="C105">
        <v>64.799906582633099</v>
      </c>
      <c r="D105">
        <v>104</v>
      </c>
      <c r="E105">
        <v>71.734999999999999</v>
      </c>
      <c r="F105">
        <v>54.838749999999997</v>
      </c>
      <c r="G105">
        <v>74.829499999999996</v>
      </c>
      <c r="H105">
        <v>77.983000000000004</v>
      </c>
      <c r="I105">
        <v>83.880750000000006</v>
      </c>
      <c r="J105">
        <v>66.340599999999995</v>
      </c>
      <c r="K105">
        <v>59.741</v>
      </c>
      <c r="L105">
        <v>67.616285714285695</v>
      </c>
      <c r="M105">
        <v>30.005428571428599</v>
      </c>
      <c r="N105">
        <v>23.661999999999999</v>
      </c>
      <c r="O105">
        <v>73.157749999999993</v>
      </c>
      <c r="P105">
        <v>87.307714285714297</v>
      </c>
      <c r="Q105">
        <v>96.982333333333301</v>
      </c>
      <c r="R105">
        <v>61.938499999999998</v>
      </c>
      <c r="S105">
        <v>64.105000000000004</v>
      </c>
      <c r="T105">
        <v>49.3703</v>
      </c>
      <c r="U105">
        <v>58.104500000000002</v>
      </c>
    </row>
    <row r="106" spans="1:21" x14ac:dyDescent="0.2">
      <c r="A106" t="s">
        <v>229</v>
      </c>
      <c r="B106" t="s">
        <v>230</v>
      </c>
      <c r="C106">
        <v>64.792644731738804</v>
      </c>
      <c r="D106">
        <v>105</v>
      </c>
      <c r="F106">
        <v>53.154142857142901</v>
      </c>
      <c r="G106">
        <v>61.349846153846201</v>
      </c>
      <c r="H106">
        <v>69.873999999999995</v>
      </c>
      <c r="I106">
        <v>44.172249999999998</v>
      </c>
      <c r="J106">
        <v>62.6434</v>
      </c>
      <c r="K106">
        <v>63.863750000000003</v>
      </c>
      <c r="L106">
        <v>57.869599999999998</v>
      </c>
      <c r="M106">
        <v>34.711857142857099</v>
      </c>
      <c r="N106">
        <v>91.495500000000007</v>
      </c>
      <c r="O106">
        <v>57.975250000000003</v>
      </c>
      <c r="P106">
        <v>86.213714285714303</v>
      </c>
      <c r="Q106">
        <v>85.516499999999994</v>
      </c>
      <c r="R106">
        <v>69.517399999999995</v>
      </c>
      <c r="S106">
        <v>40.353749999999998</v>
      </c>
      <c r="T106">
        <v>64.028000000000006</v>
      </c>
      <c r="U106">
        <v>71.779750000000007</v>
      </c>
    </row>
    <row r="107" spans="1:21" x14ac:dyDescent="0.2">
      <c r="A107" t="s">
        <v>231</v>
      </c>
      <c r="B107" t="s">
        <v>232</v>
      </c>
      <c r="C107">
        <v>64.694366421356406</v>
      </c>
      <c r="D107">
        <v>106</v>
      </c>
      <c r="E107">
        <v>94.608999999999995</v>
      </c>
      <c r="F107">
        <v>48.913857142857097</v>
      </c>
      <c r="G107">
        <v>63.9903571428571</v>
      </c>
      <c r="H107">
        <v>94.586250000000007</v>
      </c>
      <c r="I107">
        <v>65.036749999999998</v>
      </c>
      <c r="J107">
        <v>64.857600000000005</v>
      </c>
      <c r="K107">
        <v>37.1815</v>
      </c>
      <c r="L107">
        <v>70.873999999999995</v>
      </c>
      <c r="M107">
        <v>39.759142857142898</v>
      </c>
      <c r="N107">
        <v>81.051000000000002</v>
      </c>
      <c r="O107">
        <v>50.372999999999998</v>
      </c>
      <c r="P107">
        <v>67.876000000000005</v>
      </c>
      <c r="Q107">
        <v>51.99</v>
      </c>
      <c r="S107">
        <v>74.938199999999995</v>
      </c>
      <c r="T107">
        <v>59.262090909090901</v>
      </c>
      <c r="U107">
        <v>73.738249999999994</v>
      </c>
    </row>
    <row r="108" spans="1:21" x14ac:dyDescent="0.2">
      <c r="A108" t="s">
        <v>233</v>
      </c>
      <c r="B108" t="s">
        <v>234</v>
      </c>
      <c r="C108">
        <v>64.599983175770305</v>
      </c>
      <c r="D108">
        <v>107</v>
      </c>
      <c r="E108">
        <v>62.125</v>
      </c>
      <c r="F108">
        <v>68.670124999999999</v>
      </c>
      <c r="G108">
        <v>74.258928571428598</v>
      </c>
      <c r="H108">
        <v>60.733499999999999</v>
      </c>
      <c r="I108">
        <v>58.206499999999998</v>
      </c>
      <c r="J108">
        <v>68.2958</v>
      </c>
      <c r="K108">
        <v>76.258499999999998</v>
      </c>
      <c r="L108">
        <v>65.981166666666695</v>
      </c>
      <c r="M108">
        <v>38.365200000000002</v>
      </c>
      <c r="O108">
        <v>76.372</v>
      </c>
      <c r="P108">
        <v>79.637</v>
      </c>
      <c r="Q108">
        <v>92.747</v>
      </c>
      <c r="R108">
        <v>70.126199999999997</v>
      </c>
      <c r="S108">
        <v>48.016199999999998</v>
      </c>
      <c r="T108">
        <v>53.416499999999999</v>
      </c>
      <c r="U108">
        <v>71.413250000000005</v>
      </c>
    </row>
    <row r="109" spans="1:21" x14ac:dyDescent="0.2">
      <c r="A109" t="s">
        <v>235</v>
      </c>
      <c r="B109" t="s">
        <v>236</v>
      </c>
      <c r="C109">
        <v>64.433992776831005</v>
      </c>
      <c r="D109">
        <v>108</v>
      </c>
      <c r="F109">
        <v>67.520499999999998</v>
      </c>
      <c r="G109">
        <v>86.920538461538499</v>
      </c>
      <c r="H109">
        <v>63.613</v>
      </c>
      <c r="I109">
        <v>51.269750000000002</v>
      </c>
      <c r="J109">
        <v>55.011200000000002</v>
      </c>
      <c r="K109">
        <v>68.809250000000006</v>
      </c>
      <c r="L109">
        <v>76.965199999999996</v>
      </c>
      <c r="M109">
        <v>64.151714285714306</v>
      </c>
      <c r="O109">
        <v>77.524000000000001</v>
      </c>
      <c r="P109">
        <v>61.962571428571401</v>
      </c>
      <c r="Q109">
        <v>32.378333333333302</v>
      </c>
      <c r="R109">
        <v>46.960799999999999</v>
      </c>
      <c r="S109">
        <v>52.0863333333333</v>
      </c>
      <c r="T109">
        <v>64.726799999999997</v>
      </c>
      <c r="U109">
        <v>61.570500000000003</v>
      </c>
    </row>
    <row r="110" spans="1:21" x14ac:dyDescent="0.2">
      <c r="A110" t="s">
        <v>237</v>
      </c>
      <c r="B110" t="s">
        <v>238</v>
      </c>
      <c r="C110">
        <v>64.281673389355802</v>
      </c>
      <c r="D110">
        <v>109</v>
      </c>
      <c r="E110">
        <v>61.097000000000001</v>
      </c>
      <c r="F110">
        <v>49.935250000000003</v>
      </c>
      <c r="G110">
        <v>49.894357142857103</v>
      </c>
      <c r="H110">
        <v>83.694999999999993</v>
      </c>
      <c r="I110">
        <v>87.634249999999994</v>
      </c>
      <c r="J110">
        <v>56.0122</v>
      </c>
      <c r="K110">
        <v>46.244</v>
      </c>
      <c r="L110">
        <v>64.038142857142901</v>
      </c>
      <c r="M110">
        <v>38.435714285714297</v>
      </c>
      <c r="N110">
        <v>5.4930000000000003</v>
      </c>
      <c r="O110">
        <v>65.167249999999996</v>
      </c>
      <c r="P110">
        <v>83.701166666666694</v>
      </c>
      <c r="Q110">
        <v>91.186999999999998</v>
      </c>
      <c r="R110">
        <v>79.362666666666698</v>
      </c>
      <c r="S110">
        <v>89.8596</v>
      </c>
      <c r="T110">
        <v>64.375600000000006</v>
      </c>
      <c r="U110">
        <v>76.65625</v>
      </c>
    </row>
    <row r="111" spans="1:21" x14ac:dyDescent="0.2">
      <c r="A111" t="s">
        <v>239</v>
      </c>
      <c r="B111" t="s">
        <v>240</v>
      </c>
      <c r="C111">
        <v>64.003197899159701</v>
      </c>
      <c r="D111">
        <v>110</v>
      </c>
      <c r="E111">
        <v>51.704000000000001</v>
      </c>
      <c r="F111">
        <v>56.784500000000001</v>
      </c>
      <c r="G111">
        <v>56.954857142857101</v>
      </c>
      <c r="H111">
        <v>76.629000000000005</v>
      </c>
      <c r="I111">
        <v>76.786500000000004</v>
      </c>
      <c r="J111">
        <v>62.438600000000001</v>
      </c>
      <c r="K111">
        <v>59.694499999999998</v>
      </c>
      <c r="L111">
        <v>69.775714285714301</v>
      </c>
      <c r="M111">
        <v>70.801714285714297</v>
      </c>
      <c r="N111">
        <v>0</v>
      </c>
      <c r="O111">
        <v>80.473249999999993</v>
      </c>
      <c r="P111">
        <v>84.352428571428604</v>
      </c>
      <c r="Q111">
        <v>82.700666666666706</v>
      </c>
      <c r="R111">
        <v>70.884833333333304</v>
      </c>
      <c r="S111">
        <v>57.758800000000001</v>
      </c>
      <c r="T111">
        <v>55.118000000000002</v>
      </c>
      <c r="U111">
        <v>75.197000000000003</v>
      </c>
    </row>
    <row r="112" spans="1:21" x14ac:dyDescent="0.2">
      <c r="A112" t="s">
        <v>241</v>
      </c>
      <c r="B112" t="s">
        <v>242</v>
      </c>
      <c r="C112">
        <v>63.741239393939402</v>
      </c>
      <c r="D112">
        <v>111</v>
      </c>
      <c r="F112">
        <v>66.445833333333297</v>
      </c>
      <c r="G112">
        <v>86.789285714285697</v>
      </c>
      <c r="H112">
        <v>85.224249999999998</v>
      </c>
      <c r="I112">
        <v>52.563000000000002</v>
      </c>
      <c r="J112">
        <v>67.879400000000004</v>
      </c>
      <c r="K112">
        <v>71.427999999999997</v>
      </c>
      <c r="L112">
        <v>81.885400000000004</v>
      </c>
      <c r="M112">
        <v>63.671285714285702</v>
      </c>
      <c r="O112">
        <v>65.7</v>
      </c>
      <c r="P112">
        <v>67.394428571428605</v>
      </c>
      <c r="Q112">
        <v>14.6335</v>
      </c>
      <c r="R112">
        <v>47.988799999999998</v>
      </c>
      <c r="S112">
        <v>45.276666666666699</v>
      </c>
      <c r="T112">
        <v>64.728833333333299</v>
      </c>
      <c r="U112">
        <v>38.085000000000001</v>
      </c>
    </row>
    <row r="113" spans="1:21" x14ac:dyDescent="0.2">
      <c r="A113" t="s">
        <v>243</v>
      </c>
      <c r="B113" t="s">
        <v>244</v>
      </c>
      <c r="C113">
        <v>63.449214005602201</v>
      </c>
      <c r="D113">
        <v>112</v>
      </c>
      <c r="E113">
        <v>86.233500000000006</v>
      </c>
      <c r="F113">
        <v>54.391750000000002</v>
      </c>
      <c r="G113">
        <v>64.791642857142904</v>
      </c>
      <c r="H113">
        <v>89.292249999999996</v>
      </c>
      <c r="I113">
        <v>46.253999999999998</v>
      </c>
      <c r="J113">
        <v>58.125399999999999</v>
      </c>
      <c r="K113">
        <v>66.208500000000001</v>
      </c>
      <c r="L113">
        <v>73.707999999999998</v>
      </c>
      <c r="M113">
        <v>50.960571428571399</v>
      </c>
      <c r="N113">
        <v>38.450499999999998</v>
      </c>
      <c r="O113">
        <v>50.046250000000001</v>
      </c>
      <c r="P113">
        <v>94.778857142857206</v>
      </c>
      <c r="Q113">
        <v>94.281000000000006</v>
      </c>
      <c r="R113">
        <v>62.343166666666697</v>
      </c>
      <c r="S113">
        <v>45.613399999999999</v>
      </c>
      <c r="T113">
        <v>48.511600000000001</v>
      </c>
      <c r="U113">
        <v>54.646250000000002</v>
      </c>
    </row>
    <row r="114" spans="1:21" x14ac:dyDescent="0.2">
      <c r="A114" t="s">
        <v>245</v>
      </c>
      <c r="B114" t="s">
        <v>246</v>
      </c>
      <c r="C114">
        <v>63.092157002801102</v>
      </c>
      <c r="D114">
        <v>113</v>
      </c>
      <c r="E114">
        <v>88.682000000000002</v>
      </c>
      <c r="F114">
        <v>51.600714285714297</v>
      </c>
      <c r="G114">
        <v>50.478285714285697</v>
      </c>
      <c r="H114">
        <v>60.817666666666703</v>
      </c>
      <c r="I114">
        <v>45.22625</v>
      </c>
      <c r="J114">
        <v>61.365000000000002</v>
      </c>
      <c r="K114">
        <v>85.065749999999994</v>
      </c>
      <c r="L114">
        <v>66.622571428571405</v>
      </c>
      <c r="M114">
        <v>36.152714285714303</v>
      </c>
      <c r="N114">
        <v>61.805500000000002</v>
      </c>
      <c r="O114">
        <v>54.670250000000003</v>
      </c>
      <c r="P114">
        <v>83.6066</v>
      </c>
      <c r="Q114">
        <v>89.915499999999994</v>
      </c>
      <c r="R114">
        <v>65.828166666666704</v>
      </c>
      <c r="S114">
        <v>83.192999999999998</v>
      </c>
      <c r="T114">
        <v>40.285699999999999</v>
      </c>
      <c r="U114">
        <v>47.250999999999998</v>
      </c>
    </row>
    <row r="115" spans="1:21" x14ac:dyDescent="0.2">
      <c r="A115" t="s">
        <v>247</v>
      </c>
      <c r="B115" t="s">
        <v>248</v>
      </c>
      <c r="C115">
        <v>62.981997614272998</v>
      </c>
      <c r="D115">
        <v>114</v>
      </c>
      <c r="E115">
        <v>98.224000000000004</v>
      </c>
      <c r="F115">
        <v>54.251125000000002</v>
      </c>
      <c r="G115">
        <v>81.944000000000003</v>
      </c>
      <c r="H115">
        <v>85.460750000000004</v>
      </c>
      <c r="I115">
        <v>66.943250000000006</v>
      </c>
      <c r="J115">
        <v>70.610500000000002</v>
      </c>
      <c r="K115">
        <v>56.211750000000002</v>
      </c>
      <c r="L115">
        <v>75.365600000000001</v>
      </c>
      <c r="M115">
        <v>39.880428571428602</v>
      </c>
      <c r="O115">
        <v>78.747333333333302</v>
      </c>
      <c r="P115">
        <v>62.771333333333303</v>
      </c>
      <c r="Q115">
        <v>40.89</v>
      </c>
      <c r="R115">
        <v>51.525500000000001</v>
      </c>
      <c r="S115">
        <v>54.106000000000002</v>
      </c>
      <c r="T115">
        <v>56.689545454545502</v>
      </c>
      <c r="U115">
        <v>63.496000000000002</v>
      </c>
    </row>
    <row r="116" spans="1:21" x14ac:dyDescent="0.2">
      <c r="A116" t="s">
        <v>249</v>
      </c>
      <c r="B116" t="s">
        <v>250</v>
      </c>
      <c r="C116">
        <v>62.963795877684397</v>
      </c>
      <c r="D116">
        <v>115</v>
      </c>
      <c r="E116">
        <v>65.744</v>
      </c>
      <c r="F116">
        <v>65.751374999999996</v>
      </c>
      <c r="G116">
        <v>53.588642857142901</v>
      </c>
      <c r="H116">
        <v>70.149500000000003</v>
      </c>
      <c r="I116">
        <v>68.119</v>
      </c>
      <c r="J116">
        <v>69.163600000000002</v>
      </c>
      <c r="K116">
        <v>57.640500000000003</v>
      </c>
      <c r="L116">
        <v>72.831500000000005</v>
      </c>
      <c r="M116">
        <v>30.851714285714301</v>
      </c>
      <c r="N116">
        <v>57.427999999999997</v>
      </c>
      <c r="O116">
        <v>77.224000000000004</v>
      </c>
      <c r="P116">
        <v>92.841999999999999</v>
      </c>
      <c r="Q116">
        <v>92.4583333333333</v>
      </c>
      <c r="S116">
        <v>46.467799999999997</v>
      </c>
      <c r="T116">
        <v>45.724833333333301</v>
      </c>
      <c r="U116">
        <v>43.6325</v>
      </c>
    </row>
    <row r="117" spans="1:21" x14ac:dyDescent="0.2">
      <c r="A117" t="s">
        <v>251</v>
      </c>
      <c r="B117" t="s">
        <v>252</v>
      </c>
      <c r="C117">
        <v>62.945843971224903</v>
      </c>
      <c r="D117">
        <v>116</v>
      </c>
      <c r="E117">
        <v>70.3035</v>
      </c>
      <c r="F117">
        <v>53.925874999999998</v>
      </c>
      <c r="G117">
        <v>70.155785714285699</v>
      </c>
      <c r="H117">
        <v>61.02225</v>
      </c>
      <c r="I117">
        <v>66.744</v>
      </c>
      <c r="J117">
        <v>72.427999999999997</v>
      </c>
      <c r="K117">
        <v>60.738250000000001</v>
      </c>
      <c r="L117">
        <v>67.172142857142902</v>
      </c>
      <c r="M117">
        <v>28.430285714285699</v>
      </c>
      <c r="N117">
        <v>20.844999999999999</v>
      </c>
      <c r="O117">
        <v>76.902000000000001</v>
      </c>
      <c r="P117">
        <v>89.832714285714303</v>
      </c>
      <c r="Q117">
        <v>95.760666666666694</v>
      </c>
      <c r="R117">
        <v>62.533000000000001</v>
      </c>
      <c r="S117">
        <v>69.435400000000001</v>
      </c>
      <c r="T117">
        <v>40.597727272727298</v>
      </c>
      <c r="U117">
        <v>63.252749999999999</v>
      </c>
    </row>
    <row r="118" spans="1:21" x14ac:dyDescent="0.2">
      <c r="A118" t="s">
        <v>253</v>
      </c>
      <c r="B118" t="s">
        <v>254</v>
      </c>
      <c r="C118">
        <v>62.882696692523197</v>
      </c>
      <c r="D118">
        <v>117</v>
      </c>
      <c r="E118">
        <v>19.738499999999998</v>
      </c>
      <c r="F118">
        <v>52.421750000000003</v>
      </c>
      <c r="G118">
        <v>62.818846153846202</v>
      </c>
      <c r="H118">
        <v>81.194749999999999</v>
      </c>
      <c r="I118">
        <v>68.05</v>
      </c>
      <c r="J118">
        <v>76.289199999999994</v>
      </c>
      <c r="K118">
        <v>75.283749999999998</v>
      </c>
      <c r="L118">
        <v>76.610142857142904</v>
      </c>
      <c r="M118">
        <v>34.785571428571401</v>
      </c>
      <c r="N118">
        <v>28.5715</v>
      </c>
      <c r="O118">
        <v>71.168999999999997</v>
      </c>
      <c r="P118">
        <v>82.566000000000003</v>
      </c>
      <c r="Q118">
        <v>92.867500000000007</v>
      </c>
      <c r="R118">
        <v>81.286000000000001</v>
      </c>
      <c r="S118">
        <v>80.700999999999993</v>
      </c>
      <c r="T118">
        <v>32.488</v>
      </c>
      <c r="U118">
        <v>52.164333333333303</v>
      </c>
    </row>
    <row r="119" spans="1:21" x14ac:dyDescent="0.2">
      <c r="A119" t="s">
        <v>255</v>
      </c>
      <c r="B119" t="s">
        <v>256</v>
      </c>
      <c r="C119">
        <v>62.737625982806897</v>
      </c>
      <c r="D119">
        <v>118</v>
      </c>
      <c r="E119">
        <v>64.81</v>
      </c>
      <c r="F119">
        <v>45.078749999999999</v>
      </c>
      <c r="G119">
        <v>51.273785714285701</v>
      </c>
      <c r="H119">
        <v>65.812250000000006</v>
      </c>
      <c r="I119">
        <v>69.360500000000002</v>
      </c>
      <c r="J119">
        <v>68.144400000000005</v>
      </c>
      <c r="K119">
        <v>48.7545</v>
      </c>
      <c r="L119">
        <v>63.988</v>
      </c>
      <c r="M119">
        <v>53.456714285714298</v>
      </c>
      <c r="N119">
        <v>13.662000000000001</v>
      </c>
      <c r="O119">
        <v>76.244249999999994</v>
      </c>
      <c r="P119">
        <v>84.6361428571429</v>
      </c>
      <c r="Q119">
        <v>89.343999999999994</v>
      </c>
      <c r="S119">
        <v>74.422799999999995</v>
      </c>
      <c r="T119">
        <v>62.449199999999998</v>
      </c>
      <c r="U119">
        <v>68.767750000000007</v>
      </c>
    </row>
    <row r="120" spans="1:21" x14ac:dyDescent="0.2">
      <c r="A120" t="s">
        <v>257</v>
      </c>
      <c r="B120" t="s">
        <v>258</v>
      </c>
      <c r="C120">
        <v>62.732946670976098</v>
      </c>
      <c r="D120">
        <v>119</v>
      </c>
      <c r="E120">
        <v>48.195500000000003</v>
      </c>
      <c r="F120">
        <v>60.651285714285699</v>
      </c>
      <c r="G120">
        <v>63.556307692307698</v>
      </c>
      <c r="H120">
        <v>69.074250000000006</v>
      </c>
      <c r="I120">
        <v>51.41525</v>
      </c>
      <c r="J120">
        <v>51.426000000000002</v>
      </c>
      <c r="K120">
        <v>38.795749999999998</v>
      </c>
      <c r="L120">
        <v>48.57</v>
      </c>
      <c r="M120">
        <v>29.858166666666701</v>
      </c>
      <c r="N120">
        <v>48.345999999999997</v>
      </c>
      <c r="O120">
        <v>71.130666666666698</v>
      </c>
      <c r="P120">
        <v>95.805666666666696</v>
      </c>
      <c r="Q120">
        <v>98.507499999999993</v>
      </c>
      <c r="R120">
        <v>79.907666666666699</v>
      </c>
      <c r="S120">
        <v>81.062250000000006</v>
      </c>
      <c r="T120">
        <v>78.037333333333294</v>
      </c>
      <c r="U120">
        <v>52.1205</v>
      </c>
    </row>
    <row r="121" spans="1:21" x14ac:dyDescent="0.2">
      <c r="A121" t="s">
        <v>259</v>
      </c>
      <c r="B121" t="s">
        <v>260</v>
      </c>
      <c r="C121">
        <v>62.259287535014003</v>
      </c>
      <c r="D121">
        <v>120</v>
      </c>
      <c r="E121">
        <v>73.724000000000004</v>
      </c>
      <c r="F121">
        <v>65.358500000000006</v>
      </c>
      <c r="G121">
        <v>43.148071428571399</v>
      </c>
      <c r="H121">
        <v>53.213500000000003</v>
      </c>
      <c r="I121">
        <v>50.701250000000002</v>
      </c>
      <c r="J121">
        <v>55.248800000000003</v>
      </c>
      <c r="K121">
        <v>47.200249999999997</v>
      </c>
      <c r="L121">
        <v>76.434857142857098</v>
      </c>
      <c r="M121">
        <v>33.229571428571397</v>
      </c>
      <c r="N121">
        <v>64.119</v>
      </c>
      <c r="O121">
        <v>50.423000000000002</v>
      </c>
      <c r="P121">
        <v>95.742571428571395</v>
      </c>
      <c r="Q121">
        <v>97.795666666666705</v>
      </c>
      <c r="R121">
        <v>79.257999999999996</v>
      </c>
      <c r="S121">
        <v>72.915800000000004</v>
      </c>
      <c r="T121">
        <v>52.8063</v>
      </c>
      <c r="U121">
        <v>47.088749999999997</v>
      </c>
    </row>
    <row r="122" spans="1:21" x14ac:dyDescent="0.2">
      <c r="A122" t="s">
        <v>261</v>
      </c>
      <c r="B122" t="s">
        <v>262</v>
      </c>
      <c r="C122">
        <v>61.829402801120501</v>
      </c>
      <c r="D122">
        <v>121</v>
      </c>
      <c r="E122">
        <v>67.873000000000005</v>
      </c>
      <c r="F122">
        <v>61.802</v>
      </c>
      <c r="G122">
        <v>57.787571428571397</v>
      </c>
      <c r="H122">
        <v>31.660499999999999</v>
      </c>
      <c r="I122">
        <v>44.305500000000002</v>
      </c>
      <c r="J122">
        <v>64.811000000000007</v>
      </c>
      <c r="K122">
        <v>41.1265</v>
      </c>
      <c r="L122">
        <v>78.719142857142899</v>
      </c>
      <c r="M122">
        <v>36.9287142857143</v>
      </c>
      <c r="N122">
        <v>60.258000000000003</v>
      </c>
      <c r="O122">
        <v>63.571249999999999</v>
      </c>
      <c r="P122">
        <v>95.021285714285696</v>
      </c>
      <c r="Q122">
        <v>97.573333333333295</v>
      </c>
      <c r="R122">
        <v>68.424499999999995</v>
      </c>
      <c r="S122">
        <v>66.301199999999994</v>
      </c>
      <c r="T122">
        <v>54.028599999999997</v>
      </c>
      <c r="U122">
        <v>60.90775</v>
      </c>
    </row>
    <row r="123" spans="1:21" x14ac:dyDescent="0.2">
      <c r="A123" t="s">
        <v>263</v>
      </c>
      <c r="B123" t="s">
        <v>264</v>
      </c>
      <c r="C123">
        <v>61.7986908899924</v>
      </c>
      <c r="D123">
        <v>122</v>
      </c>
      <c r="E123">
        <v>54.357999999999997</v>
      </c>
      <c r="F123">
        <v>70.778625000000005</v>
      </c>
      <c r="G123">
        <v>52.8120714285714</v>
      </c>
      <c r="H123">
        <v>84.542000000000002</v>
      </c>
      <c r="I123">
        <v>54.939</v>
      </c>
      <c r="J123">
        <v>57.681399999999996</v>
      </c>
      <c r="K123">
        <v>50.921999999999997</v>
      </c>
      <c r="L123">
        <v>76.428857142857098</v>
      </c>
      <c r="M123">
        <v>46.7534285714286</v>
      </c>
      <c r="N123">
        <v>35.215000000000003</v>
      </c>
      <c r="O123">
        <v>48.874250000000004</v>
      </c>
      <c r="P123">
        <v>95.445285714285703</v>
      </c>
      <c r="Q123">
        <v>96.567333333333295</v>
      </c>
      <c r="R123">
        <v>44.864166666666698</v>
      </c>
      <c r="S123">
        <v>69.446600000000004</v>
      </c>
      <c r="T123">
        <v>64.963727272727297</v>
      </c>
      <c r="U123">
        <v>45.985999999999997</v>
      </c>
    </row>
    <row r="124" spans="1:21" x14ac:dyDescent="0.2">
      <c r="A124" t="s">
        <v>265</v>
      </c>
      <c r="B124" t="s">
        <v>266</v>
      </c>
      <c r="C124">
        <v>60.913036344537801</v>
      </c>
      <c r="D124">
        <v>123</v>
      </c>
      <c r="E124">
        <v>49.433999999999997</v>
      </c>
      <c r="F124">
        <v>58.452125000000002</v>
      </c>
      <c r="G124">
        <v>51.030285714285696</v>
      </c>
      <c r="H124">
        <v>71.129000000000005</v>
      </c>
      <c r="I124">
        <v>70.045500000000004</v>
      </c>
      <c r="J124">
        <v>46.664000000000001</v>
      </c>
      <c r="K124">
        <v>41.527500000000003</v>
      </c>
      <c r="L124">
        <v>75.732571428571404</v>
      </c>
      <c r="M124">
        <v>39.164999999999999</v>
      </c>
      <c r="N124">
        <v>49.548999999999999</v>
      </c>
      <c r="O124">
        <v>55.62</v>
      </c>
      <c r="P124">
        <v>94.734285714285704</v>
      </c>
      <c r="Q124">
        <v>98.406999999999996</v>
      </c>
      <c r="R124">
        <v>69.817999999999998</v>
      </c>
      <c r="S124">
        <v>58.700400000000002</v>
      </c>
      <c r="T124">
        <v>51.056699999999999</v>
      </c>
      <c r="U124">
        <v>54.456249999999997</v>
      </c>
    </row>
    <row r="125" spans="1:21" x14ac:dyDescent="0.2">
      <c r="A125" t="s">
        <v>267</v>
      </c>
      <c r="B125" t="s">
        <v>268</v>
      </c>
      <c r="C125">
        <v>60.860560401356899</v>
      </c>
      <c r="D125">
        <v>124</v>
      </c>
      <c r="F125">
        <v>63.447285714285698</v>
      </c>
      <c r="G125">
        <v>80.658538461538498</v>
      </c>
      <c r="H125">
        <v>58.045000000000002</v>
      </c>
      <c r="I125">
        <v>71.972250000000003</v>
      </c>
      <c r="J125">
        <v>48.844749999999998</v>
      </c>
      <c r="K125">
        <v>70.75</v>
      </c>
      <c r="L125">
        <v>66.409400000000005</v>
      </c>
      <c r="M125">
        <v>56.971166666666697</v>
      </c>
      <c r="O125">
        <v>93.793000000000006</v>
      </c>
      <c r="P125">
        <v>52.908142857142899</v>
      </c>
      <c r="Q125">
        <v>68.787333333333294</v>
      </c>
      <c r="R125">
        <v>60.094833333333298</v>
      </c>
      <c r="S125">
        <v>44.5184</v>
      </c>
      <c r="T125">
        <v>52.400714285714301</v>
      </c>
      <c r="U125">
        <v>29.35</v>
      </c>
    </row>
    <row r="126" spans="1:21" x14ac:dyDescent="0.2">
      <c r="A126" t="s">
        <v>269</v>
      </c>
      <c r="B126" t="s">
        <v>270</v>
      </c>
      <c r="C126">
        <v>60.443130506748197</v>
      </c>
      <c r="D126">
        <v>125</v>
      </c>
      <c r="E126">
        <v>57.98</v>
      </c>
      <c r="F126">
        <v>65.899749999999997</v>
      </c>
      <c r="G126">
        <v>49.828428571428603</v>
      </c>
      <c r="H126">
        <v>61.115499999999997</v>
      </c>
      <c r="I126">
        <v>57.457000000000001</v>
      </c>
      <c r="J126">
        <v>68.4666</v>
      </c>
      <c r="K126">
        <v>44.600749999999998</v>
      </c>
      <c r="L126">
        <v>66.420428571428602</v>
      </c>
      <c r="M126">
        <v>30.1847142857143</v>
      </c>
      <c r="N126">
        <v>87.242999999999995</v>
      </c>
      <c r="O126">
        <v>55.396250000000002</v>
      </c>
      <c r="P126">
        <v>94.438571428571393</v>
      </c>
      <c r="Q126">
        <v>97.534666666666695</v>
      </c>
      <c r="R126">
        <v>47.567399999999999</v>
      </c>
      <c r="S126">
        <v>51.633000000000003</v>
      </c>
      <c r="T126">
        <v>41.8169090909091</v>
      </c>
      <c r="U126">
        <v>49.950249999999997</v>
      </c>
    </row>
    <row r="127" spans="1:21" x14ac:dyDescent="0.2">
      <c r="A127" t="s">
        <v>271</v>
      </c>
      <c r="B127" t="s">
        <v>272</v>
      </c>
      <c r="C127">
        <v>60.1980560248237</v>
      </c>
      <c r="D127">
        <v>126</v>
      </c>
      <c r="E127">
        <v>23.4575</v>
      </c>
      <c r="F127">
        <v>62.980125000000001</v>
      </c>
      <c r="G127">
        <v>59.012142857142898</v>
      </c>
      <c r="H127">
        <v>61.28425</v>
      </c>
      <c r="I127">
        <v>77.238249999999994</v>
      </c>
      <c r="J127">
        <v>57.751600000000003</v>
      </c>
      <c r="K127">
        <v>33.670999999999999</v>
      </c>
      <c r="L127">
        <v>69.082428571428594</v>
      </c>
      <c r="M127">
        <v>30.168571428571401</v>
      </c>
      <c r="N127">
        <v>34.901499999999999</v>
      </c>
      <c r="O127">
        <v>57.292999999999999</v>
      </c>
      <c r="P127">
        <v>94.650285714285701</v>
      </c>
      <c r="Q127">
        <v>99.269000000000005</v>
      </c>
      <c r="S127">
        <v>67.333600000000004</v>
      </c>
      <c r="T127">
        <v>68.025099999999995</v>
      </c>
      <c r="U127">
        <v>60.914000000000001</v>
      </c>
    </row>
    <row r="128" spans="1:21" x14ac:dyDescent="0.2">
      <c r="A128" t="s">
        <v>273</v>
      </c>
      <c r="B128" t="s">
        <v>274</v>
      </c>
      <c r="C128">
        <v>59.383098319327701</v>
      </c>
      <c r="D128">
        <v>127</v>
      </c>
      <c r="E128">
        <v>76.548500000000004</v>
      </c>
      <c r="F128">
        <v>43.4895</v>
      </c>
      <c r="G128">
        <v>68.544285714285706</v>
      </c>
      <c r="H128">
        <v>72.350250000000003</v>
      </c>
      <c r="I128">
        <v>49.850999999999999</v>
      </c>
      <c r="J128">
        <v>69.018000000000001</v>
      </c>
      <c r="K128">
        <v>58.103499999999997</v>
      </c>
      <c r="L128">
        <v>71.021285714285696</v>
      </c>
      <c r="M128">
        <v>23.1398571428571</v>
      </c>
      <c r="N128">
        <v>20.704000000000001</v>
      </c>
      <c r="O128">
        <v>74.071749999999994</v>
      </c>
      <c r="P128">
        <v>90.3891428571429</v>
      </c>
      <c r="Q128">
        <v>95.892333333333298</v>
      </c>
      <c r="R128">
        <v>55.9166666666667</v>
      </c>
      <c r="S128">
        <v>45.963799999999999</v>
      </c>
      <c r="T128">
        <v>43.660800000000002</v>
      </c>
      <c r="U128">
        <v>50.847999999999999</v>
      </c>
    </row>
    <row r="129" spans="1:21" x14ac:dyDescent="0.2">
      <c r="A129" t="s">
        <v>275</v>
      </c>
      <c r="B129" t="s">
        <v>276</v>
      </c>
      <c r="C129">
        <v>58.967641745509397</v>
      </c>
      <c r="D129">
        <v>128</v>
      </c>
      <c r="E129">
        <v>79.143000000000001</v>
      </c>
      <c r="F129">
        <v>43.615714285714297</v>
      </c>
      <c r="G129">
        <v>45.177538461538497</v>
      </c>
      <c r="H129">
        <v>59.713666666666697</v>
      </c>
      <c r="I129">
        <v>37.244</v>
      </c>
      <c r="J129">
        <v>49.429400000000001</v>
      </c>
      <c r="K129">
        <v>50.212499999999999</v>
      </c>
      <c r="L129">
        <v>59.380666666666698</v>
      </c>
      <c r="M129">
        <v>33.4888571428571</v>
      </c>
      <c r="N129">
        <v>90.073999999999998</v>
      </c>
      <c r="O129">
        <v>43.883499999999998</v>
      </c>
      <c r="P129">
        <v>94.316428571428602</v>
      </c>
      <c r="Q129">
        <v>96.608500000000006</v>
      </c>
      <c r="R129">
        <v>63.2783333333333</v>
      </c>
      <c r="S129">
        <v>65.807599999999994</v>
      </c>
      <c r="T129">
        <v>42.238454545454601</v>
      </c>
      <c r="U129">
        <v>48.83775</v>
      </c>
    </row>
    <row r="130" spans="1:21" x14ac:dyDescent="0.2">
      <c r="A130" t="s">
        <v>277</v>
      </c>
      <c r="B130" t="s">
        <v>278</v>
      </c>
      <c r="C130">
        <v>58.301577170868399</v>
      </c>
      <c r="D130">
        <v>129</v>
      </c>
      <c r="E130">
        <v>59.359000000000002</v>
      </c>
      <c r="F130">
        <v>47.626857142857098</v>
      </c>
      <c r="G130">
        <v>48.600785714285699</v>
      </c>
      <c r="H130">
        <v>51.493000000000002</v>
      </c>
      <c r="I130">
        <v>43.124499999999998</v>
      </c>
      <c r="J130">
        <v>59.876199999999997</v>
      </c>
      <c r="K130">
        <v>30.4375</v>
      </c>
      <c r="L130">
        <v>65.740857142857095</v>
      </c>
      <c r="M130">
        <v>24.6391428571429</v>
      </c>
      <c r="N130">
        <v>69.075000000000003</v>
      </c>
      <c r="O130">
        <v>54.945749999999997</v>
      </c>
      <c r="P130">
        <v>96.168285714285702</v>
      </c>
      <c r="Q130">
        <v>99.024333333333303</v>
      </c>
      <c r="R130">
        <v>63.71725</v>
      </c>
      <c r="S130">
        <v>83.025199999999998</v>
      </c>
      <c r="T130">
        <v>47.714399999999998</v>
      </c>
      <c r="U130">
        <v>46.558750000000003</v>
      </c>
    </row>
    <row r="131" spans="1:21" x14ac:dyDescent="0.2">
      <c r="A131" t="s">
        <v>279</v>
      </c>
      <c r="B131" t="s">
        <v>280</v>
      </c>
      <c r="C131">
        <v>58.180920911441497</v>
      </c>
      <c r="D131">
        <v>130</v>
      </c>
      <c r="F131">
        <v>31.1086666666667</v>
      </c>
      <c r="G131">
        <v>61.299076923076903</v>
      </c>
      <c r="H131">
        <v>61.819000000000003</v>
      </c>
      <c r="I131">
        <v>34.097000000000001</v>
      </c>
      <c r="J131">
        <v>62.884799999999998</v>
      </c>
      <c r="K131">
        <v>61.760750000000002</v>
      </c>
      <c r="L131">
        <v>70.190250000000006</v>
      </c>
      <c r="M131">
        <v>23.898142857142901</v>
      </c>
      <c r="N131">
        <v>62.978000000000002</v>
      </c>
      <c r="O131">
        <v>39.744333333333302</v>
      </c>
      <c r="P131">
        <v>91.922833333333301</v>
      </c>
      <c r="Q131">
        <v>96.406000000000006</v>
      </c>
      <c r="R131">
        <v>49.934199999999997</v>
      </c>
      <c r="S131">
        <v>56.511400000000002</v>
      </c>
      <c r="T131">
        <v>46.689285714285703</v>
      </c>
      <c r="U131">
        <v>50.875666666666703</v>
      </c>
    </row>
    <row r="132" spans="1:21" x14ac:dyDescent="0.2">
      <c r="A132" t="s">
        <v>281</v>
      </c>
      <c r="B132" t="s">
        <v>282</v>
      </c>
      <c r="C132">
        <v>57.982847014552902</v>
      </c>
      <c r="D132">
        <v>131</v>
      </c>
      <c r="E132">
        <v>44.395000000000003</v>
      </c>
      <c r="F132">
        <v>59.288874999999997</v>
      </c>
      <c r="G132">
        <v>40.665500000000002</v>
      </c>
      <c r="H132">
        <v>10.607749999999999</v>
      </c>
      <c r="I132">
        <v>60.141249999999999</v>
      </c>
      <c r="J132">
        <v>61.710599999999999</v>
      </c>
      <c r="K132">
        <v>34.53725</v>
      </c>
      <c r="L132">
        <v>72.243428571428595</v>
      </c>
      <c r="M132">
        <v>21.165428571428599</v>
      </c>
      <c r="N132">
        <v>68.887500000000003</v>
      </c>
      <c r="O132">
        <v>59.958500000000001</v>
      </c>
      <c r="P132">
        <v>94.525857142857106</v>
      </c>
      <c r="Q132">
        <v>99.004333333333406</v>
      </c>
      <c r="S132">
        <v>86.756</v>
      </c>
      <c r="T132">
        <v>55.132777777777797</v>
      </c>
      <c r="U132">
        <v>50.353749999999998</v>
      </c>
    </row>
    <row r="133" spans="1:21" x14ac:dyDescent="0.2">
      <c r="A133" t="s">
        <v>283</v>
      </c>
      <c r="B133" t="s">
        <v>284</v>
      </c>
      <c r="C133">
        <v>57.850708755916202</v>
      </c>
      <c r="D133">
        <v>132</v>
      </c>
      <c r="E133">
        <v>33.663499999999999</v>
      </c>
      <c r="F133">
        <v>50.428125000000001</v>
      </c>
      <c r="G133">
        <v>35.679000000000002</v>
      </c>
      <c r="H133">
        <v>74.218999999999994</v>
      </c>
      <c r="I133">
        <v>70.038499999999999</v>
      </c>
      <c r="J133">
        <v>50.515749999999997</v>
      </c>
      <c r="K133">
        <v>70.507499999999993</v>
      </c>
      <c r="L133">
        <v>44.767000000000003</v>
      </c>
      <c r="M133">
        <v>40.899166666666702</v>
      </c>
      <c r="N133">
        <v>11.831</v>
      </c>
      <c r="O133">
        <v>86.8095</v>
      </c>
      <c r="P133">
        <v>85.267333333333298</v>
      </c>
      <c r="Q133">
        <v>97.472499999999997</v>
      </c>
      <c r="S133">
        <v>50.554200000000002</v>
      </c>
      <c r="T133">
        <v>53.674624999999999</v>
      </c>
      <c r="U133">
        <v>60.800750000000001</v>
      </c>
    </row>
    <row r="134" spans="1:21" x14ac:dyDescent="0.2">
      <c r="A134" t="s">
        <v>285</v>
      </c>
      <c r="B134" t="s">
        <v>286</v>
      </c>
      <c r="C134">
        <v>57.232368907563</v>
      </c>
      <c r="D134">
        <v>133</v>
      </c>
      <c r="E134">
        <v>76.974999999999994</v>
      </c>
      <c r="F134">
        <v>42.602857142857196</v>
      </c>
      <c r="G134">
        <v>51.839642857142898</v>
      </c>
      <c r="H134">
        <v>47.027999999999999</v>
      </c>
      <c r="I134">
        <v>38.650500000000001</v>
      </c>
      <c r="J134">
        <v>58.160600000000002</v>
      </c>
      <c r="K134">
        <v>37.600999999999999</v>
      </c>
      <c r="L134">
        <v>50.401000000000003</v>
      </c>
      <c r="M134">
        <v>25.602</v>
      </c>
      <c r="N134">
        <v>81.847999999999999</v>
      </c>
      <c r="O134">
        <v>45.137999999999998</v>
      </c>
      <c r="P134">
        <v>90.700571428571394</v>
      </c>
      <c r="Q134">
        <v>97.197000000000003</v>
      </c>
      <c r="R134">
        <v>71.497333333333302</v>
      </c>
      <c r="S134">
        <v>51.103000000000002</v>
      </c>
      <c r="T134">
        <v>51.0441</v>
      </c>
      <c r="U134">
        <v>55.561666666666703</v>
      </c>
    </row>
    <row r="135" spans="1:21" x14ac:dyDescent="0.2">
      <c r="A135" t="s">
        <v>287</v>
      </c>
      <c r="B135" t="s">
        <v>288</v>
      </c>
      <c r="C135">
        <v>56.832941857652202</v>
      </c>
      <c r="D135">
        <v>134</v>
      </c>
      <c r="E135">
        <v>25.558</v>
      </c>
      <c r="F135">
        <v>60.984375</v>
      </c>
      <c r="G135">
        <v>46.222000000000001</v>
      </c>
      <c r="H135">
        <v>48.695</v>
      </c>
      <c r="I135">
        <v>70.790000000000006</v>
      </c>
      <c r="J135">
        <v>51.6648</v>
      </c>
      <c r="K135">
        <v>34.328749999999999</v>
      </c>
      <c r="L135">
        <v>73.324428571428598</v>
      </c>
      <c r="M135">
        <v>27.209428571428599</v>
      </c>
      <c r="N135">
        <v>50.377499999999998</v>
      </c>
      <c r="O135">
        <v>59.799750000000003</v>
      </c>
      <c r="P135">
        <v>95.278714285714301</v>
      </c>
      <c r="Q135">
        <v>99.088333333333296</v>
      </c>
      <c r="R135">
        <v>69.789500000000004</v>
      </c>
      <c r="S135">
        <v>59.616</v>
      </c>
      <c r="T135">
        <v>42.887181818181801</v>
      </c>
      <c r="U135">
        <v>50.546250000000001</v>
      </c>
    </row>
    <row r="136" spans="1:21" x14ac:dyDescent="0.2">
      <c r="A136" t="s">
        <v>289</v>
      </c>
      <c r="B136" t="s">
        <v>290</v>
      </c>
      <c r="C136">
        <v>56.295725358920997</v>
      </c>
      <c r="D136">
        <v>135</v>
      </c>
      <c r="E136">
        <v>0</v>
      </c>
      <c r="F136">
        <v>61.671142857142897</v>
      </c>
      <c r="G136">
        <v>49.661499999999997</v>
      </c>
      <c r="H136">
        <v>52.831333333333298</v>
      </c>
      <c r="I136">
        <v>70.056749999999994</v>
      </c>
      <c r="J136">
        <v>52.474200000000003</v>
      </c>
      <c r="K136">
        <v>41.960250000000002</v>
      </c>
      <c r="L136">
        <v>67.281714285714301</v>
      </c>
      <c r="M136">
        <v>20.2867142857143</v>
      </c>
      <c r="N136">
        <v>58.506999999999998</v>
      </c>
      <c r="O136">
        <v>58.185250000000003</v>
      </c>
      <c r="P136">
        <v>97.936571428571398</v>
      </c>
      <c r="Q136">
        <v>99.564333333333295</v>
      </c>
      <c r="S136">
        <v>60.358199999999997</v>
      </c>
      <c r="T136">
        <v>51.4582727272727</v>
      </c>
      <c r="U136">
        <v>48.459499999999998</v>
      </c>
    </row>
    <row r="137" spans="1:21" x14ac:dyDescent="0.2">
      <c r="A137" t="s">
        <v>291</v>
      </c>
      <c r="B137" t="s">
        <v>292</v>
      </c>
      <c r="C137">
        <v>56.264875560224098</v>
      </c>
      <c r="D137">
        <v>136</v>
      </c>
      <c r="E137">
        <v>31.418500000000002</v>
      </c>
      <c r="F137">
        <v>60.989125000000001</v>
      </c>
      <c r="G137">
        <v>45.729500000000002</v>
      </c>
      <c r="H137">
        <v>80.106750000000005</v>
      </c>
      <c r="I137">
        <v>42.366250000000001</v>
      </c>
      <c r="J137">
        <v>50.8932</v>
      </c>
      <c r="K137">
        <v>27.229500000000002</v>
      </c>
      <c r="L137">
        <v>70.672571428571402</v>
      </c>
      <c r="M137">
        <v>23.089714285714301</v>
      </c>
      <c r="N137">
        <v>41.639000000000003</v>
      </c>
      <c r="O137">
        <v>44.536000000000001</v>
      </c>
      <c r="P137">
        <v>96.330857142857099</v>
      </c>
      <c r="Q137">
        <v>98.9286666666667</v>
      </c>
      <c r="R137">
        <v>70.876000000000005</v>
      </c>
      <c r="S137">
        <v>77.697749999999999</v>
      </c>
      <c r="T137">
        <v>42.418999999999997</v>
      </c>
      <c r="U137">
        <v>51.580500000000001</v>
      </c>
    </row>
    <row r="138" spans="1:21" x14ac:dyDescent="0.2">
      <c r="A138" t="s">
        <v>293</v>
      </c>
      <c r="B138" t="s">
        <v>294</v>
      </c>
      <c r="C138">
        <v>55.6694020308123</v>
      </c>
      <c r="D138">
        <v>137</v>
      </c>
      <c r="E138">
        <v>49.138500000000001</v>
      </c>
      <c r="F138">
        <v>56.665374999999997</v>
      </c>
      <c r="G138">
        <v>36.6078571428571</v>
      </c>
      <c r="H138">
        <v>50.317250000000001</v>
      </c>
      <c r="I138">
        <v>46.636499999999998</v>
      </c>
      <c r="J138">
        <v>49.09</v>
      </c>
      <c r="K138">
        <v>16.496749999999999</v>
      </c>
      <c r="L138">
        <v>67.1357142857143</v>
      </c>
      <c r="M138">
        <v>14.2045714285714</v>
      </c>
      <c r="N138">
        <v>69.700500000000005</v>
      </c>
      <c r="O138">
        <v>37.97175</v>
      </c>
      <c r="P138">
        <v>97.823999999999998</v>
      </c>
      <c r="Q138">
        <v>99.34</v>
      </c>
      <c r="R138">
        <v>78.4731666666667</v>
      </c>
      <c r="S138">
        <v>63.744399999999999</v>
      </c>
      <c r="T138">
        <v>53.320999999999998</v>
      </c>
      <c r="U138">
        <v>59.712499999999999</v>
      </c>
    </row>
    <row r="139" spans="1:21" x14ac:dyDescent="0.2">
      <c r="A139" t="s">
        <v>295</v>
      </c>
      <c r="B139" t="s">
        <v>296</v>
      </c>
      <c r="C139">
        <v>55.602292216573098</v>
      </c>
      <c r="D139">
        <v>138</v>
      </c>
      <c r="E139">
        <v>21.452999999999999</v>
      </c>
      <c r="F139">
        <v>48.491</v>
      </c>
      <c r="G139">
        <v>41.907714285714299</v>
      </c>
      <c r="H139">
        <v>62.497</v>
      </c>
      <c r="I139">
        <v>77.177499999999995</v>
      </c>
      <c r="J139">
        <v>51.074599999999997</v>
      </c>
      <c r="K139">
        <v>41.628250000000001</v>
      </c>
      <c r="L139">
        <v>63.164714285714297</v>
      </c>
      <c r="M139">
        <v>26.963999999999999</v>
      </c>
      <c r="N139">
        <v>23.981000000000002</v>
      </c>
      <c r="O139">
        <v>65.654250000000005</v>
      </c>
      <c r="P139">
        <v>94.5042857142857</v>
      </c>
      <c r="Q139">
        <v>94.256</v>
      </c>
      <c r="S139">
        <v>77.892600000000002</v>
      </c>
      <c r="T139">
        <v>40.477454545454499</v>
      </c>
      <c r="U139">
        <v>47.780999999999999</v>
      </c>
    </row>
    <row r="140" spans="1:21" x14ac:dyDescent="0.2">
      <c r="A140" t="s">
        <v>297</v>
      </c>
      <c r="B140" t="s">
        <v>298</v>
      </c>
      <c r="C140">
        <v>55.1496588744589</v>
      </c>
      <c r="D140">
        <v>139</v>
      </c>
      <c r="E140">
        <v>50.573</v>
      </c>
      <c r="F140">
        <v>61.3045714285714</v>
      </c>
      <c r="G140">
        <v>39.827071428571401</v>
      </c>
      <c r="H140">
        <v>49.247750000000003</v>
      </c>
      <c r="I140">
        <v>56.030250000000002</v>
      </c>
      <c r="J140">
        <v>55.969000000000001</v>
      </c>
      <c r="K140">
        <v>49.143749999999997</v>
      </c>
      <c r="L140">
        <v>68.819142857142893</v>
      </c>
      <c r="M140">
        <v>29.422999999999998</v>
      </c>
      <c r="N140">
        <v>23.098500000000001</v>
      </c>
      <c r="O140">
        <v>42.426000000000002</v>
      </c>
      <c r="P140">
        <v>96.35</v>
      </c>
      <c r="Q140">
        <v>98.129333333333406</v>
      </c>
      <c r="R140">
        <v>73.698999999999998</v>
      </c>
      <c r="S140">
        <v>63.543399999999998</v>
      </c>
      <c r="T140">
        <v>36.2321818181818</v>
      </c>
      <c r="U140">
        <v>43.728250000000003</v>
      </c>
    </row>
    <row r="141" spans="1:21" x14ac:dyDescent="0.2">
      <c r="A141" t="s">
        <v>299</v>
      </c>
      <c r="B141" t="s">
        <v>300</v>
      </c>
      <c r="C141">
        <v>55.117628501400603</v>
      </c>
      <c r="D141">
        <v>140</v>
      </c>
      <c r="E141">
        <v>57.200499999999998</v>
      </c>
      <c r="F141">
        <v>65.352625000000003</v>
      </c>
      <c r="G141">
        <v>41.9905714285714</v>
      </c>
      <c r="H141">
        <v>57.28</v>
      </c>
      <c r="I141">
        <v>34.198500000000003</v>
      </c>
      <c r="J141">
        <v>49.4148</v>
      </c>
      <c r="K141">
        <v>11.8005</v>
      </c>
      <c r="L141">
        <v>76.027571428571406</v>
      </c>
      <c r="M141">
        <v>25.914666666666701</v>
      </c>
      <c r="N141">
        <v>61.993000000000002</v>
      </c>
      <c r="O141">
        <v>39.124749999999999</v>
      </c>
      <c r="P141">
        <v>96.911166666666702</v>
      </c>
      <c r="Q141">
        <v>97.8213333333333</v>
      </c>
      <c r="R141">
        <v>59.988999999999997</v>
      </c>
      <c r="S141">
        <v>66.412400000000005</v>
      </c>
      <c r="T141">
        <v>45.973799999999997</v>
      </c>
      <c r="U141">
        <v>49.594499999999996</v>
      </c>
    </row>
    <row r="142" spans="1:21" x14ac:dyDescent="0.2">
      <c r="A142" t="s">
        <v>301</v>
      </c>
      <c r="B142" t="s">
        <v>302</v>
      </c>
      <c r="C142">
        <v>55.024064778325098</v>
      </c>
      <c r="D142">
        <v>141</v>
      </c>
      <c r="E142">
        <v>25.413</v>
      </c>
      <c r="F142">
        <v>66.656857142857106</v>
      </c>
      <c r="G142">
        <v>49.3264285714286</v>
      </c>
      <c r="H142">
        <v>40.847749999999998</v>
      </c>
      <c r="I142">
        <v>67.837999999999994</v>
      </c>
      <c r="J142">
        <v>47.393000000000001</v>
      </c>
      <c r="K142">
        <v>38.22025</v>
      </c>
      <c r="L142">
        <v>69.313714285714298</v>
      </c>
      <c r="M142">
        <v>30.2717142857143</v>
      </c>
      <c r="N142">
        <v>39.747500000000002</v>
      </c>
      <c r="O142">
        <v>43.325499999999998</v>
      </c>
      <c r="P142">
        <v>96.273571428571501</v>
      </c>
      <c r="Q142">
        <v>99.386666666666699</v>
      </c>
      <c r="S142">
        <v>64.066800000000001</v>
      </c>
      <c r="T142">
        <v>42.81</v>
      </c>
      <c r="U142">
        <v>48.183750000000003</v>
      </c>
    </row>
    <row r="143" spans="1:21" x14ac:dyDescent="0.2">
      <c r="A143" t="s">
        <v>303</v>
      </c>
      <c r="B143" t="s">
        <v>304</v>
      </c>
      <c r="C143">
        <v>54.8872761904762</v>
      </c>
      <c r="D143">
        <v>142</v>
      </c>
      <c r="E143">
        <v>60.464500000000001</v>
      </c>
      <c r="F143">
        <v>58.155142857142899</v>
      </c>
      <c r="G143">
        <v>32.339714285714301</v>
      </c>
      <c r="H143">
        <v>33.413249999999998</v>
      </c>
      <c r="I143">
        <v>28.018999999999998</v>
      </c>
      <c r="J143">
        <v>51.698999999999998</v>
      </c>
      <c r="K143">
        <v>27.689250000000001</v>
      </c>
      <c r="L143">
        <v>67.764285714285705</v>
      </c>
      <c r="M143">
        <v>13.281285714285699</v>
      </c>
      <c r="N143">
        <v>91.761499999999998</v>
      </c>
      <c r="O143">
        <v>52.7455</v>
      </c>
      <c r="P143">
        <v>96.512833333333305</v>
      </c>
      <c r="Q143">
        <v>98.382000000000005</v>
      </c>
      <c r="R143">
        <v>57.831000000000003</v>
      </c>
      <c r="S143">
        <v>69.043800000000005</v>
      </c>
      <c r="T143">
        <v>38.982300000000002</v>
      </c>
      <c r="U143">
        <v>54.999333333333297</v>
      </c>
    </row>
    <row r="144" spans="1:21" x14ac:dyDescent="0.2">
      <c r="A144" t="s">
        <v>305</v>
      </c>
      <c r="B144" t="s">
        <v>306</v>
      </c>
      <c r="C144">
        <v>54.869893769921802</v>
      </c>
      <c r="D144">
        <v>143</v>
      </c>
      <c r="E144">
        <v>36.731999999999999</v>
      </c>
      <c r="F144">
        <v>49.197125</v>
      </c>
      <c r="G144">
        <v>24.287285714285701</v>
      </c>
      <c r="H144">
        <v>51.110999999999997</v>
      </c>
      <c r="I144">
        <v>74.813249999999996</v>
      </c>
      <c r="J144">
        <v>49.652000000000001</v>
      </c>
      <c r="K144">
        <v>26.202750000000002</v>
      </c>
      <c r="L144">
        <v>46.530250000000002</v>
      </c>
      <c r="M144">
        <v>26.372142857142901</v>
      </c>
      <c r="N144">
        <v>27.462</v>
      </c>
      <c r="O144">
        <v>66.207750000000004</v>
      </c>
      <c r="P144">
        <v>98.622666666666703</v>
      </c>
      <c r="Q144">
        <v>97.484999999999999</v>
      </c>
      <c r="S144">
        <v>74.229749999999996</v>
      </c>
      <c r="T144">
        <v>45.883375000000001</v>
      </c>
      <c r="U144">
        <v>71.66525</v>
      </c>
    </row>
    <row r="145" spans="1:21" x14ac:dyDescent="0.2">
      <c r="A145" t="s">
        <v>307</v>
      </c>
      <c r="B145" t="s">
        <v>308</v>
      </c>
      <c r="C145">
        <v>54.546396991210301</v>
      </c>
      <c r="D145">
        <v>144</v>
      </c>
      <c r="E145">
        <v>48.808</v>
      </c>
      <c r="F145">
        <v>53.716142857142898</v>
      </c>
      <c r="G145">
        <v>46.476142857142897</v>
      </c>
      <c r="H145">
        <v>31.719000000000001</v>
      </c>
      <c r="I145">
        <v>59.697499999999998</v>
      </c>
      <c r="J145">
        <v>38.689599999999999</v>
      </c>
      <c r="K145">
        <v>34.067250000000001</v>
      </c>
      <c r="L145">
        <v>66.085142857142898</v>
      </c>
      <c r="M145">
        <v>26.317571428571402</v>
      </c>
      <c r="N145">
        <v>71.655000000000001</v>
      </c>
      <c r="O145">
        <v>47.997500000000002</v>
      </c>
      <c r="P145">
        <v>98.811199999999999</v>
      </c>
      <c r="Q145">
        <v>98.239000000000004</v>
      </c>
      <c r="S145">
        <v>57.84</v>
      </c>
      <c r="T145">
        <v>34.702100000000002</v>
      </c>
      <c r="U145">
        <v>46.133000000000003</v>
      </c>
    </row>
    <row r="146" spans="1:21" x14ac:dyDescent="0.2">
      <c r="A146" t="s">
        <v>309</v>
      </c>
      <c r="B146" t="s">
        <v>310</v>
      </c>
      <c r="C146">
        <v>54.284136066840503</v>
      </c>
      <c r="D146">
        <v>145</v>
      </c>
      <c r="E146">
        <v>9.8829999999999991</v>
      </c>
      <c r="F146">
        <v>59.472428571428601</v>
      </c>
      <c r="G146">
        <v>45.577357142857103</v>
      </c>
      <c r="H146">
        <v>66.729666666666702</v>
      </c>
      <c r="I146">
        <v>65.120249999999999</v>
      </c>
      <c r="J146">
        <v>52.927199999999999</v>
      </c>
      <c r="K146">
        <v>44.718000000000004</v>
      </c>
      <c r="L146">
        <v>65.143142857142905</v>
      </c>
      <c r="M146">
        <v>20.182714285714301</v>
      </c>
      <c r="N146">
        <v>8.31</v>
      </c>
      <c r="O146">
        <v>58.140250000000002</v>
      </c>
      <c r="P146">
        <v>94.867571428571395</v>
      </c>
      <c r="Q146">
        <v>97.953333333333305</v>
      </c>
      <c r="S146">
        <v>68.418800000000005</v>
      </c>
      <c r="T146">
        <v>44.103999999999999</v>
      </c>
      <c r="U146">
        <v>54.948</v>
      </c>
    </row>
    <row r="147" spans="1:21" x14ac:dyDescent="0.2">
      <c r="A147" t="s">
        <v>311</v>
      </c>
      <c r="B147" t="s">
        <v>312</v>
      </c>
      <c r="C147">
        <v>54.270870454545502</v>
      </c>
      <c r="D147">
        <v>146</v>
      </c>
      <c r="E147">
        <v>49.923499999999997</v>
      </c>
      <c r="F147">
        <v>61.065874999999998</v>
      </c>
      <c r="G147">
        <v>36.195999999999998</v>
      </c>
      <c r="H147">
        <v>38.750666666666703</v>
      </c>
      <c r="I147">
        <v>39.224249999999998</v>
      </c>
      <c r="J147">
        <v>59.708799999999997</v>
      </c>
      <c r="K147">
        <v>24.98075</v>
      </c>
      <c r="L147">
        <v>66.567666666666696</v>
      </c>
      <c r="M147">
        <v>40.605714285714299</v>
      </c>
      <c r="N147">
        <v>72.796000000000006</v>
      </c>
      <c r="O147">
        <v>29.442250000000001</v>
      </c>
      <c r="P147">
        <v>95.556285714285707</v>
      </c>
      <c r="Q147">
        <v>96.745000000000005</v>
      </c>
      <c r="R147">
        <v>62.078166666666696</v>
      </c>
      <c r="S147">
        <v>76.363600000000005</v>
      </c>
      <c r="T147">
        <v>34.670272727272703</v>
      </c>
      <c r="U147">
        <v>37.93</v>
      </c>
    </row>
    <row r="148" spans="1:21" x14ac:dyDescent="0.2">
      <c r="A148" t="s">
        <v>313</v>
      </c>
      <c r="B148" t="s">
        <v>314</v>
      </c>
      <c r="C148">
        <v>53.911466529025397</v>
      </c>
      <c r="D148">
        <v>147</v>
      </c>
      <c r="E148">
        <v>0</v>
      </c>
      <c r="F148">
        <v>59.522714285714301</v>
      </c>
      <c r="G148">
        <v>48.547928571428599</v>
      </c>
      <c r="H148">
        <v>50.184249999999999</v>
      </c>
      <c r="I148">
        <v>60.490749999999998</v>
      </c>
      <c r="J148">
        <v>55.233400000000003</v>
      </c>
      <c r="K148">
        <v>19.259</v>
      </c>
      <c r="L148">
        <v>54.9568333333333</v>
      </c>
      <c r="M148">
        <v>12.127857142857099</v>
      </c>
      <c r="N148">
        <v>58.366</v>
      </c>
      <c r="O148">
        <v>60.003749999999997</v>
      </c>
      <c r="P148">
        <v>96.553857142857098</v>
      </c>
      <c r="Q148">
        <v>99.758666666666699</v>
      </c>
      <c r="S148">
        <v>72.206199999999995</v>
      </c>
      <c r="T148">
        <v>50.699375000000003</v>
      </c>
      <c r="U148">
        <v>52.249749999999999</v>
      </c>
    </row>
    <row r="149" spans="1:21" x14ac:dyDescent="0.2">
      <c r="A149" t="s">
        <v>315</v>
      </c>
      <c r="B149" t="s">
        <v>316</v>
      </c>
      <c r="C149">
        <v>53.604453038138303</v>
      </c>
      <c r="D149">
        <v>148</v>
      </c>
      <c r="E149">
        <v>30.792000000000002</v>
      </c>
      <c r="F149">
        <v>33.948666666666703</v>
      </c>
      <c r="G149">
        <v>43.230923076923098</v>
      </c>
      <c r="H149">
        <v>53.883499999999998</v>
      </c>
      <c r="I149">
        <v>48.388750000000002</v>
      </c>
      <c r="J149">
        <v>42.488199999999999</v>
      </c>
      <c r="K149">
        <v>36.957999999999998</v>
      </c>
      <c r="L149">
        <v>76.933400000000006</v>
      </c>
      <c r="M149">
        <v>9.6798571428571396</v>
      </c>
      <c r="N149">
        <v>43.6875</v>
      </c>
      <c r="O149">
        <v>71.810500000000005</v>
      </c>
      <c r="P149">
        <v>96.464571428571404</v>
      </c>
      <c r="Q149">
        <v>95.150999999999996</v>
      </c>
      <c r="R149">
        <v>72.1338333333333</v>
      </c>
      <c r="S149">
        <v>64.081500000000005</v>
      </c>
      <c r="T149">
        <v>52.091999999999999</v>
      </c>
      <c r="U149">
        <v>39.551499999999997</v>
      </c>
    </row>
    <row r="150" spans="1:21" x14ac:dyDescent="0.2">
      <c r="A150" t="s">
        <v>317</v>
      </c>
      <c r="B150" t="s">
        <v>318</v>
      </c>
      <c r="C150">
        <v>52.687265072182697</v>
      </c>
      <c r="D150">
        <v>149</v>
      </c>
      <c r="E150">
        <v>3.1545000000000001</v>
      </c>
      <c r="F150">
        <v>54.290750000000003</v>
      </c>
      <c r="G150">
        <v>31.652153846153801</v>
      </c>
      <c r="H150">
        <v>55.089666666666702</v>
      </c>
      <c r="I150">
        <v>64.952749999999995</v>
      </c>
      <c r="J150">
        <v>54.698799999999999</v>
      </c>
      <c r="K150">
        <v>35.587249999999997</v>
      </c>
      <c r="L150">
        <v>66.8724285714286</v>
      </c>
      <c r="M150">
        <v>14.0891428571429</v>
      </c>
      <c r="N150">
        <v>12.676</v>
      </c>
      <c r="O150">
        <v>62.798749999999998</v>
      </c>
      <c r="P150">
        <v>97.892714285714305</v>
      </c>
      <c r="Q150">
        <v>98.299666666666695</v>
      </c>
      <c r="R150">
        <v>72.022833333333296</v>
      </c>
      <c r="S150">
        <v>63.113599999999998</v>
      </c>
      <c r="T150">
        <v>47.608499999999999</v>
      </c>
      <c r="U150">
        <v>60.884</v>
      </c>
    </row>
    <row r="151" spans="1:21" x14ac:dyDescent="0.2">
      <c r="A151" t="s">
        <v>319</v>
      </c>
      <c r="B151" t="s">
        <v>320</v>
      </c>
      <c r="C151">
        <v>52.678710364145701</v>
      </c>
      <c r="D151">
        <v>150</v>
      </c>
      <c r="E151">
        <v>64.736999999999995</v>
      </c>
      <c r="F151">
        <v>53.024857142857101</v>
      </c>
      <c r="G151">
        <v>50.912785714285697</v>
      </c>
      <c r="H151">
        <v>24.333666666666701</v>
      </c>
      <c r="I151">
        <v>39.344666666666697</v>
      </c>
      <c r="J151">
        <v>57.695599999999999</v>
      </c>
      <c r="K151">
        <v>16.7075</v>
      </c>
      <c r="L151">
        <v>53.566499999999998</v>
      </c>
      <c r="M151">
        <v>36.526666666666699</v>
      </c>
      <c r="N151">
        <v>44.390999999999998</v>
      </c>
      <c r="O151">
        <v>71.010666666666694</v>
      </c>
      <c r="P151">
        <v>87.757499999999993</v>
      </c>
      <c r="Q151">
        <v>90.625</v>
      </c>
      <c r="R151">
        <v>57.586500000000001</v>
      </c>
      <c r="S151">
        <v>37.5625</v>
      </c>
      <c r="T151">
        <v>56.537999999999997</v>
      </c>
      <c r="U151">
        <v>53.217666666666702</v>
      </c>
    </row>
    <row r="152" spans="1:21" x14ac:dyDescent="0.2">
      <c r="A152" t="s">
        <v>321</v>
      </c>
      <c r="B152" t="s">
        <v>322</v>
      </c>
      <c r="C152">
        <v>52.631543884220399</v>
      </c>
      <c r="D152">
        <v>151</v>
      </c>
      <c r="E152">
        <v>24.021999999999998</v>
      </c>
      <c r="F152">
        <v>53.155999999999999</v>
      </c>
      <c r="G152">
        <v>45.595642857142899</v>
      </c>
      <c r="H152">
        <v>47.32</v>
      </c>
      <c r="I152">
        <v>54.805999999999997</v>
      </c>
      <c r="J152">
        <v>51.992600000000003</v>
      </c>
      <c r="K152">
        <v>44.134500000000003</v>
      </c>
      <c r="L152">
        <v>54.185714285714297</v>
      </c>
      <c r="M152">
        <v>8.0916666666666703</v>
      </c>
      <c r="N152">
        <v>19.859000000000002</v>
      </c>
      <c r="O152">
        <v>51.240250000000003</v>
      </c>
      <c r="P152">
        <v>95.283600000000007</v>
      </c>
      <c r="Q152">
        <v>92.180666666666696</v>
      </c>
      <c r="R152">
        <v>72.010400000000004</v>
      </c>
      <c r="S152">
        <v>83.540400000000005</v>
      </c>
      <c r="T152">
        <v>48.193555555555598</v>
      </c>
      <c r="U152">
        <v>49.124250000000004</v>
      </c>
    </row>
    <row r="153" spans="1:21" x14ac:dyDescent="0.2">
      <c r="A153" t="s">
        <v>323</v>
      </c>
      <c r="B153" t="s">
        <v>324</v>
      </c>
      <c r="C153">
        <v>52.576514215686302</v>
      </c>
      <c r="D153">
        <v>152</v>
      </c>
      <c r="E153">
        <v>42.155999999999999</v>
      </c>
      <c r="F153">
        <v>51.235875</v>
      </c>
      <c r="G153">
        <v>40.689500000000002</v>
      </c>
      <c r="H153">
        <v>68.966999999999999</v>
      </c>
      <c r="I153">
        <v>41.79025</v>
      </c>
      <c r="J153">
        <v>54.333399999999997</v>
      </c>
      <c r="K153">
        <v>22.5685</v>
      </c>
      <c r="L153">
        <v>57.718000000000004</v>
      </c>
      <c r="M153">
        <v>23.468666666666699</v>
      </c>
      <c r="N153">
        <v>47.250999999999998</v>
      </c>
      <c r="O153">
        <v>39.744750000000003</v>
      </c>
      <c r="P153">
        <v>93.951999999999998</v>
      </c>
      <c r="Q153">
        <v>98.8303333333333</v>
      </c>
      <c r="R153">
        <v>64.956999999999994</v>
      </c>
      <c r="S153">
        <v>64.993799999999993</v>
      </c>
      <c r="T153">
        <v>37.348999999999997</v>
      </c>
      <c r="U153">
        <v>43.795666666666698</v>
      </c>
    </row>
    <row r="154" spans="1:21" x14ac:dyDescent="0.2">
      <c r="A154" t="s">
        <v>325</v>
      </c>
      <c r="B154" t="s">
        <v>326</v>
      </c>
      <c r="C154">
        <v>52.445503923983402</v>
      </c>
      <c r="D154">
        <v>153</v>
      </c>
      <c r="E154">
        <v>26.893999999999998</v>
      </c>
      <c r="F154">
        <v>58.639125</v>
      </c>
      <c r="G154">
        <v>46.6322857142857</v>
      </c>
      <c r="H154">
        <v>26.679749999999999</v>
      </c>
      <c r="I154">
        <v>40.677</v>
      </c>
      <c r="J154">
        <v>44.838000000000001</v>
      </c>
      <c r="K154">
        <v>21.087250000000001</v>
      </c>
      <c r="L154">
        <v>70.175428571428597</v>
      </c>
      <c r="M154">
        <v>21.9241428571429</v>
      </c>
      <c r="N154">
        <v>22.112500000000001</v>
      </c>
      <c r="O154">
        <v>60.48</v>
      </c>
      <c r="P154">
        <v>95.612285714285704</v>
      </c>
      <c r="Q154">
        <v>98.802000000000007</v>
      </c>
      <c r="S154">
        <v>87.943600000000004</v>
      </c>
      <c r="T154">
        <v>45.5246</v>
      </c>
      <c r="U154">
        <v>57.216999999999999</v>
      </c>
    </row>
    <row r="155" spans="1:21" x14ac:dyDescent="0.2">
      <c r="A155" t="s">
        <v>327</v>
      </c>
      <c r="B155" t="s">
        <v>328</v>
      </c>
      <c r="C155">
        <v>51.7306421568628</v>
      </c>
      <c r="D155">
        <v>154</v>
      </c>
      <c r="E155">
        <v>51.768999999999998</v>
      </c>
      <c r="F155">
        <v>45.249499999999998</v>
      </c>
      <c r="G155">
        <v>55.2605</v>
      </c>
      <c r="H155">
        <v>39.427750000000003</v>
      </c>
      <c r="I155">
        <v>33.928249999999998</v>
      </c>
      <c r="J155">
        <v>49.009749999999997</v>
      </c>
      <c r="K155">
        <v>39.201500000000003</v>
      </c>
      <c r="L155">
        <v>43.471333333333298</v>
      </c>
      <c r="M155">
        <v>21.6606666666667</v>
      </c>
      <c r="N155">
        <v>25.617000000000001</v>
      </c>
      <c r="O155">
        <v>52.1295</v>
      </c>
      <c r="P155">
        <v>95.782499999999999</v>
      </c>
      <c r="Q155">
        <v>99.084999999999994</v>
      </c>
      <c r="R155">
        <v>43.063000000000002</v>
      </c>
      <c r="S155">
        <v>71.225499999999997</v>
      </c>
      <c r="T155">
        <v>52.490166666666703</v>
      </c>
      <c r="U155">
        <v>61.05</v>
      </c>
    </row>
    <row r="156" spans="1:21" x14ac:dyDescent="0.2">
      <c r="A156" t="s">
        <v>329</v>
      </c>
      <c r="B156" t="s">
        <v>330</v>
      </c>
      <c r="C156">
        <v>50.817984574739</v>
      </c>
      <c r="D156">
        <v>155</v>
      </c>
      <c r="E156">
        <v>33.219499999999996</v>
      </c>
      <c r="F156">
        <v>54.785375000000002</v>
      </c>
      <c r="G156">
        <v>35.150785714285703</v>
      </c>
      <c r="H156">
        <v>44.644750000000002</v>
      </c>
      <c r="I156">
        <v>49.715000000000003</v>
      </c>
      <c r="J156">
        <v>54.294600000000003</v>
      </c>
      <c r="K156">
        <v>43.600999999999999</v>
      </c>
      <c r="L156">
        <v>58.967285714285701</v>
      </c>
      <c r="M156">
        <v>13.711142857142899</v>
      </c>
      <c r="N156">
        <v>16.478999999999999</v>
      </c>
      <c r="O156">
        <v>43.226500000000001</v>
      </c>
      <c r="P156">
        <v>94.144999999999996</v>
      </c>
      <c r="Q156">
        <v>96.316500000000005</v>
      </c>
      <c r="R156">
        <v>67.427666666666696</v>
      </c>
      <c r="S156">
        <v>66.290199999999999</v>
      </c>
      <c r="T156">
        <v>41.558181818181801</v>
      </c>
      <c r="U156">
        <v>50.373249999999999</v>
      </c>
    </row>
    <row r="157" spans="1:21" x14ac:dyDescent="0.2">
      <c r="A157" t="s">
        <v>331</v>
      </c>
      <c r="B157" t="s">
        <v>332</v>
      </c>
      <c r="C157">
        <v>50.254560364145703</v>
      </c>
      <c r="D157">
        <v>156</v>
      </c>
      <c r="E157">
        <v>4.2355</v>
      </c>
      <c r="F157">
        <v>53.48075</v>
      </c>
      <c r="G157">
        <v>32.941714285714298</v>
      </c>
      <c r="H157">
        <v>54.525500000000001</v>
      </c>
      <c r="I157">
        <v>68.123000000000005</v>
      </c>
      <c r="J157">
        <v>44.8658</v>
      </c>
      <c r="K157">
        <v>36.618000000000002</v>
      </c>
      <c r="L157">
        <v>64.713428571428594</v>
      </c>
      <c r="M157">
        <v>10.2565714285714</v>
      </c>
      <c r="N157">
        <v>40.17</v>
      </c>
      <c r="O157">
        <v>52.975000000000001</v>
      </c>
      <c r="P157">
        <v>96.695428571428593</v>
      </c>
      <c r="Q157">
        <v>99.351666666666702</v>
      </c>
      <c r="R157">
        <v>65.883666666666699</v>
      </c>
      <c r="S157">
        <v>49.488999999999997</v>
      </c>
      <c r="T157">
        <v>37.353999999999999</v>
      </c>
      <c r="U157">
        <v>42.648499999999999</v>
      </c>
    </row>
    <row r="158" spans="1:21" x14ac:dyDescent="0.2">
      <c r="A158" t="s">
        <v>333</v>
      </c>
      <c r="B158" t="s">
        <v>334</v>
      </c>
      <c r="C158">
        <v>49.883810241719097</v>
      </c>
      <c r="D158">
        <v>157</v>
      </c>
      <c r="E158">
        <v>26.398</v>
      </c>
      <c r="F158">
        <v>47.776142857142901</v>
      </c>
      <c r="G158">
        <v>32.815076923076901</v>
      </c>
      <c r="H158">
        <v>37.133249999999997</v>
      </c>
      <c r="I158">
        <v>44.107999999999997</v>
      </c>
      <c r="J158">
        <v>53.002000000000002</v>
      </c>
      <c r="K158">
        <v>13.282</v>
      </c>
      <c r="L158">
        <v>66.446142857142902</v>
      </c>
      <c r="M158">
        <v>11.586285714285699</v>
      </c>
      <c r="N158">
        <v>72.107500000000002</v>
      </c>
      <c r="O158">
        <v>29.805</v>
      </c>
      <c r="P158">
        <v>96.122600000000006</v>
      </c>
      <c r="Q158">
        <v>98.843000000000004</v>
      </c>
      <c r="R158">
        <v>83.527166666666702</v>
      </c>
      <c r="S158">
        <v>48.1982</v>
      </c>
      <c r="T158">
        <v>41.012909090909098</v>
      </c>
      <c r="U158">
        <v>45.861499999999999</v>
      </c>
    </row>
    <row r="159" spans="1:21" x14ac:dyDescent="0.2">
      <c r="A159" t="s">
        <v>335</v>
      </c>
      <c r="B159" t="s">
        <v>336</v>
      </c>
      <c r="C159">
        <v>49.005601438757303</v>
      </c>
      <c r="D159">
        <v>158</v>
      </c>
      <c r="E159">
        <v>12.410500000000001</v>
      </c>
      <c r="F159">
        <v>46.915142857142897</v>
      </c>
      <c r="G159">
        <v>37.486714285714299</v>
      </c>
      <c r="H159">
        <v>34.366</v>
      </c>
      <c r="I159">
        <v>32.926250000000003</v>
      </c>
      <c r="J159">
        <v>50.426000000000002</v>
      </c>
      <c r="K159">
        <v>35.932499999999997</v>
      </c>
      <c r="L159">
        <v>39.534999999999997</v>
      </c>
      <c r="M159">
        <v>9.72457142857143</v>
      </c>
      <c r="O159">
        <v>24.494</v>
      </c>
      <c r="P159">
        <v>96.679857142857202</v>
      </c>
      <c r="Q159">
        <v>99.034333333333294</v>
      </c>
      <c r="S159">
        <v>73.238200000000006</v>
      </c>
      <c r="T159">
        <v>44.7961818181818</v>
      </c>
      <c r="U159">
        <v>45.289000000000001</v>
      </c>
    </row>
    <row r="160" spans="1:21" x14ac:dyDescent="0.2">
      <c r="A160" t="s">
        <v>337</v>
      </c>
      <c r="B160" t="s">
        <v>338</v>
      </c>
      <c r="C160">
        <v>48.581700676937402</v>
      </c>
      <c r="D160">
        <v>159</v>
      </c>
      <c r="E160">
        <v>8.1545000000000005</v>
      </c>
      <c r="F160">
        <v>51.681375000000003</v>
      </c>
      <c r="G160">
        <v>34.237142857142899</v>
      </c>
      <c r="H160">
        <v>42.659666666666702</v>
      </c>
      <c r="I160">
        <v>43.174750000000003</v>
      </c>
      <c r="J160">
        <v>43.183999999999997</v>
      </c>
      <c r="K160">
        <v>28.853999999999999</v>
      </c>
      <c r="L160">
        <v>60.480571428571402</v>
      </c>
      <c r="M160">
        <v>14.407999999999999</v>
      </c>
      <c r="N160">
        <v>43.030500000000004</v>
      </c>
      <c r="O160">
        <v>35.67</v>
      </c>
      <c r="P160">
        <v>97.676166666666703</v>
      </c>
      <c r="Q160">
        <v>99.560666666666705</v>
      </c>
      <c r="R160">
        <v>77.886750000000006</v>
      </c>
      <c r="S160">
        <v>69.774600000000007</v>
      </c>
      <c r="T160">
        <v>36.177222222222198</v>
      </c>
      <c r="U160">
        <v>39.279000000000003</v>
      </c>
    </row>
    <row r="161" spans="1:21" x14ac:dyDescent="0.2">
      <c r="A161" t="s">
        <v>339</v>
      </c>
      <c r="B161" t="s">
        <v>340</v>
      </c>
      <c r="C161">
        <v>48.552594397759101</v>
      </c>
      <c r="D161">
        <v>160</v>
      </c>
      <c r="E161">
        <v>32.541499999999999</v>
      </c>
      <c r="F161">
        <v>21.898333333333301</v>
      </c>
      <c r="G161">
        <v>51.921428571428599</v>
      </c>
      <c r="H161">
        <v>31.795500000000001</v>
      </c>
      <c r="I161">
        <v>42.609250000000003</v>
      </c>
      <c r="J161">
        <v>32.6</v>
      </c>
      <c r="K161">
        <v>55.119500000000002</v>
      </c>
      <c r="L161">
        <v>44.178857142857197</v>
      </c>
      <c r="M161">
        <v>15.400285714285699</v>
      </c>
      <c r="N161">
        <v>75.032499999999999</v>
      </c>
      <c r="O161">
        <v>34.808</v>
      </c>
      <c r="P161">
        <v>97.250200000000007</v>
      </c>
      <c r="Q161">
        <v>99.138999999999996</v>
      </c>
      <c r="R161">
        <v>61.722799999999999</v>
      </c>
      <c r="S161">
        <v>49.249000000000002</v>
      </c>
      <c r="T161">
        <v>43.848199999999999</v>
      </c>
      <c r="U161">
        <v>36.27975</v>
      </c>
    </row>
    <row r="162" spans="1:21" x14ac:dyDescent="0.2">
      <c r="A162" t="s">
        <v>341</v>
      </c>
      <c r="B162" t="s">
        <v>342</v>
      </c>
      <c r="C162">
        <v>48.309760920418299</v>
      </c>
      <c r="D162">
        <v>161</v>
      </c>
      <c r="E162">
        <v>12.8375</v>
      </c>
      <c r="F162">
        <v>45.2611428571429</v>
      </c>
      <c r="G162">
        <v>37.605857142857097</v>
      </c>
      <c r="H162">
        <v>3.028</v>
      </c>
      <c r="I162">
        <v>43.662750000000003</v>
      </c>
      <c r="J162">
        <v>43.306800000000003</v>
      </c>
      <c r="K162">
        <v>10.9025</v>
      </c>
      <c r="L162">
        <v>67.579714285714303</v>
      </c>
      <c r="M162">
        <v>11.280428571428599</v>
      </c>
      <c r="N162">
        <v>63.165500000000002</v>
      </c>
      <c r="O162">
        <v>46.1845</v>
      </c>
      <c r="P162">
        <v>96.212833333333293</v>
      </c>
      <c r="Q162">
        <v>99.492333333333306</v>
      </c>
      <c r="S162">
        <v>73.790999999999997</v>
      </c>
      <c r="T162">
        <v>48.9687272727273</v>
      </c>
      <c r="U162">
        <v>51.65175</v>
      </c>
    </row>
    <row r="163" spans="1:21" x14ac:dyDescent="0.2">
      <c r="A163" t="s">
        <v>343</v>
      </c>
      <c r="B163" t="s">
        <v>344</v>
      </c>
      <c r="C163">
        <v>48.027231189398798</v>
      </c>
      <c r="D163">
        <v>162</v>
      </c>
      <c r="E163">
        <v>11.273999999999999</v>
      </c>
      <c r="F163">
        <v>27.306833333333302</v>
      </c>
      <c r="G163">
        <v>17.8609230769231</v>
      </c>
      <c r="H163">
        <v>55.639000000000003</v>
      </c>
      <c r="I163">
        <v>25.861000000000001</v>
      </c>
      <c r="J163">
        <v>49.300600000000003</v>
      </c>
      <c r="K163">
        <v>43.315750000000001</v>
      </c>
      <c r="L163">
        <v>55.669499999999999</v>
      </c>
      <c r="M163">
        <v>5.5998571428571404</v>
      </c>
      <c r="N163">
        <v>73.802999999999997</v>
      </c>
      <c r="O163">
        <v>69.417666666666705</v>
      </c>
      <c r="P163">
        <v>94.129000000000005</v>
      </c>
      <c r="Q163">
        <v>99.925333333333299</v>
      </c>
      <c r="R163">
        <v>50.251199999999997</v>
      </c>
      <c r="S163">
        <v>53.371400000000001</v>
      </c>
      <c r="T163">
        <v>40.0122</v>
      </c>
      <c r="U163">
        <v>43.725666666666697</v>
      </c>
    </row>
    <row r="164" spans="1:21" x14ac:dyDescent="0.2">
      <c r="A164" t="s">
        <v>345</v>
      </c>
      <c r="B164" t="s">
        <v>346</v>
      </c>
      <c r="C164">
        <v>46.846980252100799</v>
      </c>
      <c r="D164">
        <v>163</v>
      </c>
      <c r="E164">
        <v>4.5525000000000002</v>
      </c>
      <c r="F164">
        <v>28.769714285714301</v>
      </c>
      <c r="G164">
        <v>44.467428571428599</v>
      </c>
      <c r="H164">
        <v>41.766750000000002</v>
      </c>
      <c r="I164">
        <v>13.05475</v>
      </c>
      <c r="J164">
        <v>36.231400000000001</v>
      </c>
      <c r="K164">
        <v>36.915999999999997</v>
      </c>
      <c r="L164">
        <v>53.2378</v>
      </c>
      <c r="M164">
        <v>14.2237142857143</v>
      </c>
      <c r="N164">
        <v>66.292500000000004</v>
      </c>
      <c r="O164">
        <v>52.952750000000002</v>
      </c>
      <c r="P164">
        <v>95.959142857142893</v>
      </c>
      <c r="Q164">
        <v>98.667000000000002</v>
      </c>
      <c r="R164">
        <v>74.936666666666696</v>
      </c>
      <c r="S164">
        <v>48.3705</v>
      </c>
      <c r="T164">
        <v>35.905714285714303</v>
      </c>
      <c r="U164">
        <v>50.094333333333303</v>
      </c>
    </row>
    <row r="165" spans="1:21" x14ac:dyDescent="0.2">
      <c r="A165" t="s">
        <v>347</v>
      </c>
      <c r="B165" t="s">
        <v>348</v>
      </c>
      <c r="C165">
        <v>45.342320940790103</v>
      </c>
      <c r="D165">
        <v>164</v>
      </c>
      <c r="E165">
        <v>25.427</v>
      </c>
      <c r="F165">
        <v>38.534714285714301</v>
      </c>
      <c r="G165">
        <v>27.061071428571399</v>
      </c>
      <c r="H165">
        <v>13.30775</v>
      </c>
      <c r="I165">
        <v>30.8355</v>
      </c>
      <c r="J165">
        <v>42.403599999999997</v>
      </c>
      <c r="K165">
        <v>8.6969999999999992</v>
      </c>
      <c r="L165">
        <v>64.424333333333294</v>
      </c>
      <c r="M165">
        <v>9.63157142857143</v>
      </c>
      <c r="N165">
        <v>63.040500000000002</v>
      </c>
      <c r="O165">
        <v>32.822249999999997</v>
      </c>
      <c r="P165">
        <v>90.9941666666667</v>
      </c>
      <c r="Q165">
        <v>99.078999999999994</v>
      </c>
      <c r="S165">
        <v>76.194400000000002</v>
      </c>
      <c r="T165">
        <v>29.437999999999999</v>
      </c>
      <c r="U165">
        <v>52.594000000000001</v>
      </c>
    </row>
    <row r="166" spans="1:21" x14ac:dyDescent="0.2">
      <c r="A166" t="s">
        <v>349</v>
      </c>
      <c r="B166" t="s">
        <v>350</v>
      </c>
      <c r="C166">
        <v>40.395839428185099</v>
      </c>
      <c r="D166">
        <v>165</v>
      </c>
      <c r="E166">
        <v>3.1819999999999999</v>
      </c>
      <c r="F166">
        <v>36.468000000000004</v>
      </c>
      <c r="G166">
        <v>12.952714285714301</v>
      </c>
      <c r="H166">
        <v>19.30575</v>
      </c>
      <c r="I166">
        <v>34.200749999999999</v>
      </c>
      <c r="J166">
        <v>40.420400000000001</v>
      </c>
      <c r="K166">
        <v>19.449750000000002</v>
      </c>
      <c r="L166">
        <v>53.3823333333333</v>
      </c>
      <c r="M166">
        <v>7.0647142857142899</v>
      </c>
      <c r="N166">
        <v>9.5775000000000006</v>
      </c>
      <c r="O166">
        <v>21.898666666666699</v>
      </c>
      <c r="P166">
        <v>94.462142857142894</v>
      </c>
      <c r="Q166">
        <v>99.463333333333296</v>
      </c>
      <c r="S166">
        <v>89.717200000000005</v>
      </c>
      <c r="T166">
        <v>42.332666666666697</v>
      </c>
      <c r="U166">
        <v>36.516750000000002</v>
      </c>
    </row>
    <row r="167" spans="1:21" x14ac:dyDescent="0.2">
      <c r="A167" t="s">
        <v>351</v>
      </c>
      <c r="B167" t="s">
        <v>352</v>
      </c>
      <c r="C167">
        <v>38.676086066840497</v>
      </c>
      <c r="D167">
        <v>166</v>
      </c>
      <c r="E167">
        <v>0</v>
      </c>
      <c r="F167">
        <v>19.805800000000001</v>
      </c>
      <c r="G167">
        <v>23.861714285714299</v>
      </c>
      <c r="H167">
        <v>1.2322500000000001</v>
      </c>
      <c r="I167">
        <v>55.988750000000003</v>
      </c>
      <c r="J167">
        <v>41.040599999999998</v>
      </c>
      <c r="K167">
        <v>11.394</v>
      </c>
      <c r="L167">
        <v>50.917000000000002</v>
      </c>
      <c r="M167">
        <v>1.65483333333333</v>
      </c>
      <c r="N167">
        <v>26.619499999999999</v>
      </c>
      <c r="O167">
        <v>13.82625</v>
      </c>
      <c r="P167">
        <v>90.96</v>
      </c>
      <c r="Q167">
        <v>99.408000000000001</v>
      </c>
      <c r="S167">
        <v>74.686999999999998</v>
      </c>
      <c r="T167">
        <v>38.141166666666699</v>
      </c>
      <c r="U167">
        <v>41.622</v>
      </c>
    </row>
    <row r="168" spans="1:21" x14ac:dyDescent="0.2">
      <c r="A168" t="s">
        <v>353</v>
      </c>
      <c r="B168" t="s">
        <v>354</v>
      </c>
    </row>
    <row r="169" spans="1:21" x14ac:dyDescent="0.2">
      <c r="A169" t="s">
        <v>355</v>
      </c>
      <c r="B169" t="s">
        <v>356</v>
      </c>
    </row>
    <row r="170" spans="1:21" x14ac:dyDescent="0.2">
      <c r="A170" t="s">
        <v>357</v>
      </c>
      <c r="B170" t="s">
        <v>358</v>
      </c>
    </row>
    <row r="171" spans="1:21" x14ac:dyDescent="0.2">
      <c r="A171" t="s">
        <v>359</v>
      </c>
      <c r="B171" t="s">
        <v>360</v>
      </c>
    </row>
    <row r="172" spans="1:21" x14ac:dyDescent="0.2">
      <c r="A172" t="s">
        <v>361</v>
      </c>
      <c r="B172" t="s">
        <v>362</v>
      </c>
    </row>
    <row r="173" spans="1:21" x14ac:dyDescent="0.2">
      <c r="A173" t="s">
        <v>363</v>
      </c>
      <c r="B173" t="s">
        <v>364</v>
      </c>
    </row>
    <row r="174" spans="1:21" x14ac:dyDescent="0.2">
      <c r="A174" t="s">
        <v>365</v>
      </c>
      <c r="B174" t="s">
        <v>366</v>
      </c>
    </row>
    <row r="175" spans="1:21" x14ac:dyDescent="0.2">
      <c r="A175" t="s">
        <v>367</v>
      </c>
      <c r="B175" t="s">
        <v>368</v>
      </c>
    </row>
    <row r="176" spans="1:21" x14ac:dyDescent="0.2">
      <c r="A176" t="s">
        <v>369</v>
      </c>
      <c r="B176" t="s">
        <v>370</v>
      </c>
    </row>
    <row r="177" spans="1:2" x14ac:dyDescent="0.2">
      <c r="A177" t="s">
        <v>371</v>
      </c>
      <c r="B177" t="s">
        <v>372</v>
      </c>
    </row>
    <row r="178" spans="1:2" x14ac:dyDescent="0.2">
      <c r="A178" t="s">
        <v>373</v>
      </c>
      <c r="B178" t="s">
        <v>374</v>
      </c>
    </row>
    <row r="179" spans="1:2" x14ac:dyDescent="0.2">
      <c r="A179" t="s">
        <v>375</v>
      </c>
      <c r="B179" t="s">
        <v>376</v>
      </c>
    </row>
    <row r="180" spans="1:2" x14ac:dyDescent="0.2">
      <c r="A180" t="s">
        <v>377</v>
      </c>
      <c r="B180" t="s">
        <v>378</v>
      </c>
    </row>
    <row r="181" spans="1:2" x14ac:dyDescent="0.2">
      <c r="A181" t="s">
        <v>379</v>
      </c>
      <c r="B181" t="s">
        <v>380</v>
      </c>
    </row>
    <row r="182" spans="1:2" x14ac:dyDescent="0.2">
      <c r="A182" t="s">
        <v>381</v>
      </c>
      <c r="B182" t="s">
        <v>382</v>
      </c>
    </row>
    <row r="183" spans="1:2" x14ac:dyDescent="0.2">
      <c r="A183" t="s">
        <v>383</v>
      </c>
      <c r="B183" t="s">
        <v>384</v>
      </c>
    </row>
    <row r="184" spans="1:2" x14ac:dyDescent="0.2">
      <c r="A184" t="s">
        <v>385</v>
      </c>
      <c r="B184" t="s">
        <v>386</v>
      </c>
    </row>
    <row r="185" spans="1:2" x14ac:dyDescent="0.2">
      <c r="A185" t="s">
        <v>387</v>
      </c>
      <c r="B185" t="s">
        <v>388</v>
      </c>
    </row>
    <row r="186" spans="1:2" x14ac:dyDescent="0.2">
      <c r="A186" t="s">
        <v>389</v>
      </c>
      <c r="B186" t="s">
        <v>390</v>
      </c>
    </row>
    <row r="187" spans="1:2" x14ac:dyDescent="0.2">
      <c r="A187" t="s">
        <v>391</v>
      </c>
      <c r="B187" t="s">
        <v>392</v>
      </c>
    </row>
    <row r="188" spans="1:2" x14ac:dyDescent="0.2">
      <c r="A188" t="s">
        <v>393</v>
      </c>
      <c r="B188" t="s">
        <v>394</v>
      </c>
    </row>
    <row r="189" spans="1:2" x14ac:dyDescent="0.2">
      <c r="A189" t="s">
        <v>395</v>
      </c>
      <c r="B189" t="s">
        <v>396</v>
      </c>
    </row>
    <row r="190" spans="1:2" x14ac:dyDescent="0.2">
      <c r="A190" t="s">
        <v>397</v>
      </c>
      <c r="B190" t="s">
        <v>398</v>
      </c>
    </row>
    <row r="191" spans="1:2" x14ac:dyDescent="0.2">
      <c r="A191" t="s">
        <v>399</v>
      </c>
      <c r="B191" t="s">
        <v>400</v>
      </c>
    </row>
    <row r="192" spans="1:2" x14ac:dyDescent="0.2">
      <c r="A192" t="s">
        <v>401</v>
      </c>
      <c r="B192" t="s">
        <v>402</v>
      </c>
    </row>
    <row r="193" spans="1:21" x14ac:dyDescent="0.2">
      <c r="A193" t="s">
        <v>403</v>
      </c>
      <c r="B193" t="s">
        <v>404</v>
      </c>
    </row>
    <row r="194" spans="1:21" x14ac:dyDescent="0.2">
      <c r="A194" t="s">
        <v>405</v>
      </c>
      <c r="B194" t="s">
        <v>406</v>
      </c>
    </row>
    <row r="195" spans="1:21" x14ac:dyDescent="0.2">
      <c r="A195" t="s">
        <v>407</v>
      </c>
      <c r="B195" t="s">
        <v>408</v>
      </c>
      <c r="C195">
        <v>71.761100595238105</v>
      </c>
      <c r="E195">
        <v>81.061000000000007</v>
      </c>
      <c r="F195">
        <v>58.725714285714297</v>
      </c>
      <c r="G195">
        <v>74.193714285714293</v>
      </c>
      <c r="H195">
        <v>87.884</v>
      </c>
      <c r="I195">
        <v>67.262749999999997</v>
      </c>
      <c r="J195">
        <v>68.281999999999996</v>
      </c>
      <c r="K195">
        <v>63.133749999999999</v>
      </c>
      <c r="L195">
        <v>73.944285714285698</v>
      </c>
      <c r="M195">
        <v>56.230142857142901</v>
      </c>
      <c r="N195">
        <v>83.786500000000004</v>
      </c>
      <c r="O195">
        <v>76.103499999999997</v>
      </c>
      <c r="P195">
        <v>83.511285714285705</v>
      </c>
      <c r="Q195">
        <v>80.319666666666706</v>
      </c>
      <c r="S195">
        <v>70.724199999999996</v>
      </c>
      <c r="T195">
        <v>54.1601</v>
      </c>
      <c r="U195">
        <v>68.855000000000004</v>
      </c>
    </row>
    <row r="196" spans="1:21" x14ac:dyDescent="0.2">
      <c r="A196" t="s">
        <v>409</v>
      </c>
      <c r="B196" t="s">
        <v>410</v>
      </c>
      <c r="C196">
        <v>67.201436815635404</v>
      </c>
      <c r="E196">
        <v>89.725499999999997</v>
      </c>
      <c r="F196">
        <v>66.783625000000001</v>
      </c>
      <c r="G196">
        <v>70.832642857142901</v>
      </c>
      <c r="H196">
        <v>89.975499999999997</v>
      </c>
      <c r="I196">
        <v>61.011000000000003</v>
      </c>
      <c r="J196">
        <v>64.257800000000003</v>
      </c>
      <c r="K196">
        <v>64.188500000000005</v>
      </c>
      <c r="L196">
        <v>74.587714285714299</v>
      </c>
      <c r="M196">
        <v>62.512285714285703</v>
      </c>
      <c r="N196">
        <v>37.456499999999998</v>
      </c>
      <c r="O196">
        <v>62.399749999999997</v>
      </c>
      <c r="P196">
        <v>90.785142857142901</v>
      </c>
      <c r="Q196">
        <v>90.484999999999999</v>
      </c>
      <c r="R196">
        <v>60.649833333333298</v>
      </c>
      <c r="S196">
        <v>49.596200000000003</v>
      </c>
      <c r="T196">
        <v>54.496181818181803</v>
      </c>
      <c r="U196">
        <v>52.681249999999999</v>
      </c>
    </row>
    <row r="197" spans="1:21" x14ac:dyDescent="0.2">
      <c r="A197" t="s">
        <v>411</v>
      </c>
      <c r="B197" t="s">
        <v>412</v>
      </c>
      <c r="C197">
        <v>70.189269225872195</v>
      </c>
      <c r="E197">
        <v>84.006</v>
      </c>
      <c r="F197">
        <v>64.673000000000002</v>
      </c>
      <c r="G197">
        <v>75.327428571428598</v>
      </c>
      <c r="H197">
        <v>86.313500000000005</v>
      </c>
      <c r="I197">
        <v>72.332999999999998</v>
      </c>
      <c r="J197">
        <v>78.606800000000007</v>
      </c>
      <c r="K197">
        <v>79.316500000000005</v>
      </c>
      <c r="L197">
        <v>75.188285714285698</v>
      </c>
      <c r="M197">
        <v>54.405285714285696</v>
      </c>
      <c r="N197">
        <v>23.256499999999999</v>
      </c>
      <c r="O197">
        <v>77.935000000000002</v>
      </c>
      <c r="P197">
        <v>84.0128571428572</v>
      </c>
      <c r="Q197">
        <v>93.142333333333298</v>
      </c>
      <c r="R197">
        <v>61.012500000000003</v>
      </c>
      <c r="S197">
        <v>62.115200000000002</v>
      </c>
      <c r="T197">
        <v>53.961636363636401</v>
      </c>
      <c r="U197">
        <v>67.611750000000001</v>
      </c>
    </row>
    <row r="198" spans="1:21" x14ac:dyDescent="0.2">
      <c r="A198" t="s">
        <v>413</v>
      </c>
      <c r="B198" t="s">
        <v>414</v>
      </c>
      <c r="C198">
        <v>67.082021078431396</v>
      </c>
      <c r="E198">
        <v>82.732500000000002</v>
      </c>
      <c r="F198">
        <v>60.848374999999997</v>
      </c>
      <c r="G198">
        <v>72.838571428571399</v>
      </c>
      <c r="H198">
        <v>69.774749999999997</v>
      </c>
      <c r="I198">
        <v>45.119500000000002</v>
      </c>
      <c r="J198">
        <v>55.953800000000001</v>
      </c>
      <c r="K198">
        <v>64.740499999999997</v>
      </c>
      <c r="L198">
        <v>70.769599999999997</v>
      </c>
      <c r="M198">
        <v>55.153714285714301</v>
      </c>
      <c r="N198">
        <v>73.613</v>
      </c>
      <c r="O198">
        <v>67.540750000000003</v>
      </c>
      <c r="P198">
        <v>85.966714285714303</v>
      </c>
      <c r="Q198">
        <v>80.986000000000004</v>
      </c>
      <c r="R198">
        <v>65.746666666666698</v>
      </c>
      <c r="S198">
        <v>57.835250000000002</v>
      </c>
      <c r="T198">
        <v>63.94</v>
      </c>
      <c r="U198">
        <v>66.834666666666706</v>
      </c>
    </row>
    <row r="199" spans="1:21" x14ac:dyDescent="0.2">
      <c r="A199" t="s">
        <v>415</v>
      </c>
      <c r="B199" t="s">
        <v>416</v>
      </c>
      <c r="C199">
        <v>52.718151960784297</v>
      </c>
      <c r="E199">
        <v>35.634999999999998</v>
      </c>
      <c r="F199">
        <v>30.929400000000001</v>
      </c>
      <c r="G199">
        <v>42.15775</v>
      </c>
      <c r="H199">
        <v>58.003500000000003</v>
      </c>
      <c r="I199">
        <v>48.821750000000002</v>
      </c>
      <c r="J199">
        <v>15.1033333333333</v>
      </c>
      <c r="K199">
        <v>38.683750000000003</v>
      </c>
      <c r="L199">
        <v>66.567499999999995</v>
      </c>
      <c r="M199">
        <v>17.431799999999999</v>
      </c>
      <c r="N199">
        <v>50.314</v>
      </c>
      <c r="O199">
        <v>75.128500000000003</v>
      </c>
      <c r="P199">
        <v>95.022000000000006</v>
      </c>
      <c r="Q199">
        <v>97.665000000000006</v>
      </c>
      <c r="R199">
        <v>66.123800000000003</v>
      </c>
      <c r="S199">
        <v>50.677</v>
      </c>
      <c r="T199">
        <v>62.122999999999998</v>
      </c>
      <c r="U199">
        <v>45.8215</v>
      </c>
    </row>
    <row r="200" spans="1:21" x14ac:dyDescent="0.2">
      <c r="A200" t="s">
        <v>417</v>
      </c>
      <c r="B200" t="s">
        <v>418</v>
      </c>
      <c r="C200">
        <v>77.814065272472703</v>
      </c>
      <c r="E200">
        <v>96.968500000000006</v>
      </c>
      <c r="F200">
        <v>68.792375000000007</v>
      </c>
      <c r="G200">
        <v>90.093500000000006</v>
      </c>
      <c r="H200">
        <v>95.471000000000004</v>
      </c>
      <c r="I200">
        <v>75.739249999999998</v>
      </c>
      <c r="J200">
        <v>83.2012</v>
      </c>
      <c r="K200">
        <v>74.893000000000001</v>
      </c>
      <c r="L200">
        <v>81.113142857142904</v>
      </c>
      <c r="M200">
        <v>92.189857142857207</v>
      </c>
      <c r="N200">
        <v>65.268500000000003</v>
      </c>
      <c r="O200">
        <v>87.312250000000006</v>
      </c>
      <c r="P200">
        <v>65.391428571428605</v>
      </c>
      <c r="Q200">
        <v>67.718666666666707</v>
      </c>
      <c r="R200">
        <v>63.725666666666697</v>
      </c>
      <c r="S200">
        <v>66.497</v>
      </c>
      <c r="T200">
        <v>72.410272727272698</v>
      </c>
      <c r="U200">
        <v>76.0535</v>
      </c>
    </row>
    <row r="201" spans="1:21" x14ac:dyDescent="0.2">
      <c r="A201" t="s">
        <v>419</v>
      </c>
      <c r="B201" t="s">
        <v>420</v>
      </c>
      <c r="C201">
        <v>63.853546832579198</v>
      </c>
      <c r="E201">
        <v>61.161000000000001</v>
      </c>
      <c r="F201">
        <v>54.833428571428598</v>
      </c>
      <c r="G201">
        <v>64.1858461538462</v>
      </c>
      <c r="H201">
        <v>75.543999999999997</v>
      </c>
      <c r="I201">
        <v>63.275750000000002</v>
      </c>
      <c r="J201">
        <v>54.643999999999998</v>
      </c>
      <c r="K201">
        <v>53.808250000000001</v>
      </c>
      <c r="L201">
        <v>67.629000000000005</v>
      </c>
      <c r="M201">
        <v>49.763199999999998</v>
      </c>
      <c r="N201">
        <v>51.557499999999997</v>
      </c>
      <c r="O201">
        <v>76.454666666666697</v>
      </c>
      <c r="P201">
        <v>79.438333333333304</v>
      </c>
      <c r="Q201">
        <v>92.128</v>
      </c>
      <c r="R201">
        <v>68.462000000000003</v>
      </c>
      <c r="S201">
        <v>57.499000000000002</v>
      </c>
      <c r="T201">
        <v>60.059571428571402</v>
      </c>
      <c r="U201">
        <v>55.066749999999999</v>
      </c>
    </row>
    <row r="202" spans="1:21" x14ac:dyDescent="0.2">
      <c r="A202" t="s">
        <v>421</v>
      </c>
      <c r="B202" t="s">
        <v>422</v>
      </c>
      <c r="C202">
        <v>53.028276069518697</v>
      </c>
      <c r="E202">
        <v>27.894500000000001</v>
      </c>
      <c r="F202">
        <v>57.239874999999998</v>
      </c>
      <c r="G202">
        <v>41.535071428571399</v>
      </c>
      <c r="H202">
        <v>41.430500000000002</v>
      </c>
      <c r="I202">
        <v>53.566000000000003</v>
      </c>
      <c r="J202">
        <v>51.4724</v>
      </c>
      <c r="K202">
        <v>33.430999999999997</v>
      </c>
      <c r="L202">
        <v>65.6267142857143</v>
      </c>
      <c r="M202">
        <v>28.365428571428598</v>
      </c>
      <c r="N202">
        <v>39.334499999999998</v>
      </c>
      <c r="O202">
        <v>46.783250000000002</v>
      </c>
      <c r="P202">
        <v>95.141285714285701</v>
      </c>
      <c r="Q202">
        <v>97.374666666666698</v>
      </c>
      <c r="R202">
        <v>66.320333333333295</v>
      </c>
      <c r="S202">
        <v>66.962599999999995</v>
      </c>
      <c r="T202">
        <v>42.579818181818197</v>
      </c>
      <c r="U202">
        <v>46.422750000000001</v>
      </c>
    </row>
    <row r="203" spans="1:21" x14ac:dyDescent="0.2">
      <c r="A203" t="s">
        <v>423</v>
      </c>
      <c r="B203" t="s">
        <v>424</v>
      </c>
      <c r="C203">
        <v>50.703982550292899</v>
      </c>
      <c r="E203">
        <v>19.967500000000001</v>
      </c>
      <c r="F203">
        <v>52.903125000000003</v>
      </c>
      <c r="G203">
        <v>41.513357142857103</v>
      </c>
      <c r="H203">
        <v>35.579000000000001</v>
      </c>
      <c r="I203">
        <v>49.756999999999998</v>
      </c>
      <c r="J203">
        <v>45.951799999999999</v>
      </c>
      <c r="K203">
        <v>32.866750000000003</v>
      </c>
      <c r="L203">
        <v>57.905714285714303</v>
      </c>
      <c r="M203">
        <v>17.8165714285714</v>
      </c>
      <c r="N203">
        <v>47.869</v>
      </c>
      <c r="O203">
        <v>45.067</v>
      </c>
      <c r="P203">
        <v>96.372714285714295</v>
      </c>
      <c r="Q203">
        <v>98.889666666666699</v>
      </c>
      <c r="R203">
        <v>67.896000000000001</v>
      </c>
      <c r="S203">
        <v>64.669799999999995</v>
      </c>
      <c r="T203">
        <v>42.151454545454598</v>
      </c>
      <c r="U203">
        <v>44.791249999999998</v>
      </c>
    </row>
    <row r="204" spans="1:21" x14ac:dyDescent="0.2">
      <c r="A204" t="s">
        <v>425</v>
      </c>
      <c r="B204" t="s">
        <v>426</v>
      </c>
      <c r="C204">
        <v>63.405224847211599</v>
      </c>
      <c r="E204">
        <v>78.504499999999993</v>
      </c>
      <c r="F204">
        <v>59.037624999999998</v>
      </c>
      <c r="G204">
        <v>60.628928571428602</v>
      </c>
      <c r="H204">
        <v>79.897999999999996</v>
      </c>
      <c r="I204">
        <v>51.607999999999997</v>
      </c>
      <c r="J204">
        <v>59.735799999999998</v>
      </c>
      <c r="K204">
        <v>57.855249999999998</v>
      </c>
      <c r="L204">
        <v>71.372142857142904</v>
      </c>
      <c r="M204">
        <v>46.327714285714301</v>
      </c>
      <c r="N204">
        <v>47.095500000000001</v>
      </c>
      <c r="O204">
        <v>55.076250000000002</v>
      </c>
      <c r="P204">
        <v>93.434857142857098</v>
      </c>
      <c r="Q204">
        <v>94.8333333333333</v>
      </c>
      <c r="R204">
        <v>63.637666666666703</v>
      </c>
      <c r="S204">
        <v>55.375799999999998</v>
      </c>
      <c r="T204">
        <v>50.166454545454599</v>
      </c>
      <c r="U204">
        <v>53.301000000000002</v>
      </c>
    </row>
    <row r="205" spans="1:21" x14ac:dyDescent="0.2">
      <c r="A205" t="s">
        <v>427</v>
      </c>
      <c r="B205" t="s">
        <v>428</v>
      </c>
      <c r="C205">
        <v>71.731510733384297</v>
      </c>
      <c r="E205">
        <v>93.939499999999995</v>
      </c>
      <c r="F205">
        <v>74.157250000000005</v>
      </c>
      <c r="G205">
        <v>80.905000000000001</v>
      </c>
      <c r="H205">
        <v>92.233000000000004</v>
      </c>
      <c r="I205">
        <v>74.138249999999999</v>
      </c>
      <c r="J205">
        <v>70.659800000000004</v>
      </c>
      <c r="K205">
        <v>70.094750000000005</v>
      </c>
      <c r="L205">
        <v>76.550428571428597</v>
      </c>
      <c r="M205">
        <v>74.169714285714306</v>
      </c>
      <c r="N205">
        <v>31.876000000000001</v>
      </c>
      <c r="O205">
        <v>79.937749999999994</v>
      </c>
      <c r="P205">
        <v>85.074571428571403</v>
      </c>
      <c r="Q205">
        <v>84.050333333333299</v>
      </c>
      <c r="R205">
        <v>57.8706666666667</v>
      </c>
      <c r="S205">
        <v>54.062600000000003</v>
      </c>
      <c r="T205">
        <v>60.635818181818202</v>
      </c>
      <c r="U205">
        <v>59.080249999999999</v>
      </c>
    </row>
    <row r="206" spans="1:21" x14ac:dyDescent="0.2">
      <c r="A206" t="s">
        <v>429</v>
      </c>
      <c r="B206" t="s">
        <v>430</v>
      </c>
      <c r="C206">
        <v>78.169823325693898</v>
      </c>
      <c r="E206">
        <v>99.046499999999995</v>
      </c>
      <c r="F206">
        <v>69.941249999999997</v>
      </c>
      <c r="G206">
        <v>91.330071428571401</v>
      </c>
      <c r="H206">
        <v>95.655500000000004</v>
      </c>
      <c r="I206">
        <v>75.801500000000004</v>
      </c>
      <c r="J206">
        <v>71.683599999999998</v>
      </c>
      <c r="K206">
        <v>75.124750000000006</v>
      </c>
      <c r="L206">
        <v>83.475714285714304</v>
      </c>
      <c r="M206">
        <v>93.971857142857203</v>
      </c>
      <c r="N206">
        <v>75.082499999999996</v>
      </c>
      <c r="O206">
        <v>88.512</v>
      </c>
      <c r="P206">
        <v>60.984714285714297</v>
      </c>
      <c r="Q206">
        <v>61.368666666666698</v>
      </c>
      <c r="R206">
        <v>64.936999999999998</v>
      </c>
      <c r="S206">
        <v>68.430599999999998</v>
      </c>
      <c r="T206">
        <v>77.175272727272699</v>
      </c>
      <c r="U206">
        <v>76.365499999999997</v>
      </c>
    </row>
    <row r="207" spans="1:21" x14ac:dyDescent="0.2">
      <c r="A207" t="s">
        <v>431</v>
      </c>
      <c r="B207" t="s">
        <v>432</v>
      </c>
      <c r="C207">
        <v>66.689754742806201</v>
      </c>
      <c r="E207">
        <v>80.037999999999997</v>
      </c>
      <c r="F207">
        <v>65.043625000000006</v>
      </c>
      <c r="G207">
        <v>70.173142857142906</v>
      </c>
      <c r="H207">
        <v>81.638999999999996</v>
      </c>
      <c r="I207">
        <v>62.467500000000001</v>
      </c>
      <c r="J207">
        <v>62.411200000000001</v>
      </c>
      <c r="K207">
        <v>62.128</v>
      </c>
      <c r="L207">
        <v>73.7585714285714</v>
      </c>
      <c r="M207">
        <v>64.663428571428597</v>
      </c>
      <c r="N207">
        <v>39.018000000000001</v>
      </c>
      <c r="O207">
        <v>66.469499999999996</v>
      </c>
      <c r="P207">
        <v>85.849714285714299</v>
      </c>
      <c r="Q207">
        <v>86.515666666666704</v>
      </c>
      <c r="R207">
        <v>62.113999999999997</v>
      </c>
      <c r="S207">
        <v>57.777799999999999</v>
      </c>
      <c r="T207">
        <v>55.958181818181799</v>
      </c>
      <c r="U207">
        <v>57.700499999999998</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U206"/>
  <sheetViews>
    <sheetView workbookViewId="0">
      <selection activeCell="Q37" sqref="Q37"/>
    </sheetView>
  </sheetViews>
  <sheetFormatPr defaultRowHeight="12.75" x14ac:dyDescent="0.2"/>
  <sheetData>
    <row r="1" spans="1:21" x14ac:dyDescent="0.2">
      <c r="A1" t="s">
        <v>0</v>
      </c>
      <c r="B1" t="s">
        <v>1</v>
      </c>
      <c r="C1" t="s">
        <v>433</v>
      </c>
      <c r="D1" t="s">
        <v>434</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t="s">
        <v>335</v>
      </c>
      <c r="B2" t="s">
        <v>336</v>
      </c>
      <c r="C2">
        <v>52.488008360920098</v>
      </c>
      <c r="D2">
        <v>147</v>
      </c>
      <c r="F2">
        <v>51.583285714285701</v>
      </c>
      <c r="G2">
        <v>38.087499999999999</v>
      </c>
      <c r="H2">
        <v>34.366</v>
      </c>
      <c r="I2">
        <v>21.725000000000001</v>
      </c>
      <c r="J2">
        <v>50.425400000000003</v>
      </c>
      <c r="K2">
        <v>44.054666666666698</v>
      </c>
      <c r="L2">
        <v>33.843166666666697</v>
      </c>
      <c r="M2">
        <v>7.4373333333333296</v>
      </c>
      <c r="O2">
        <v>29.308499999999999</v>
      </c>
      <c r="P2">
        <v>97.665571428571397</v>
      </c>
      <c r="Q2">
        <v>98.837333333333305</v>
      </c>
      <c r="S2">
        <v>52.933999999999997</v>
      </c>
      <c r="T2">
        <v>49.204555555555601</v>
      </c>
      <c r="U2">
        <v>42.947749999999999</v>
      </c>
    </row>
    <row r="3" spans="1:21" x14ac:dyDescent="0.2">
      <c r="A3" t="s">
        <v>329</v>
      </c>
      <c r="B3" t="s">
        <v>330</v>
      </c>
      <c r="C3">
        <v>50.9431885854342</v>
      </c>
      <c r="D3">
        <v>154</v>
      </c>
      <c r="E3">
        <v>12.927</v>
      </c>
      <c r="F3">
        <v>55.808374999999998</v>
      </c>
      <c r="G3">
        <v>34.751571428571403</v>
      </c>
      <c r="H3">
        <v>42.181249999999999</v>
      </c>
      <c r="I3">
        <v>50.279249999999998</v>
      </c>
      <c r="J3">
        <v>54.294600000000003</v>
      </c>
      <c r="K3">
        <v>63.619750000000003</v>
      </c>
      <c r="L3">
        <v>52.869500000000002</v>
      </c>
      <c r="M3">
        <v>11.25</v>
      </c>
      <c r="N3">
        <v>16.478999999999999</v>
      </c>
      <c r="O3">
        <v>47.56</v>
      </c>
      <c r="P3">
        <v>95.091142857142898</v>
      </c>
      <c r="Q3">
        <v>96.808000000000007</v>
      </c>
      <c r="R3">
        <v>68.339166666666699</v>
      </c>
      <c r="S3">
        <v>66.493600000000001</v>
      </c>
      <c r="T3">
        <v>48.972499999999997</v>
      </c>
      <c r="U3">
        <v>48.3095</v>
      </c>
    </row>
    <row r="4" spans="1:21" x14ac:dyDescent="0.2">
      <c r="A4" t="s">
        <v>127</v>
      </c>
      <c r="B4" t="s">
        <v>128</v>
      </c>
      <c r="C4">
        <v>71.625672549019598</v>
      </c>
      <c r="D4">
        <v>61</v>
      </c>
      <c r="E4">
        <v>94.295500000000004</v>
      </c>
      <c r="F4">
        <v>59.903571428571396</v>
      </c>
      <c r="G4">
        <v>82.863928571428602</v>
      </c>
      <c r="H4">
        <v>94.264750000000006</v>
      </c>
      <c r="I4">
        <v>53.165999999999997</v>
      </c>
      <c r="J4">
        <v>74.280199999999994</v>
      </c>
      <c r="K4">
        <v>81.287499999999994</v>
      </c>
      <c r="L4">
        <v>59.122999999999998</v>
      </c>
      <c r="M4">
        <v>31.1065</v>
      </c>
      <c r="N4">
        <v>80.346999999999994</v>
      </c>
      <c r="O4">
        <v>74.477000000000004</v>
      </c>
      <c r="P4">
        <v>86.796333333333294</v>
      </c>
      <c r="Q4">
        <v>88.481999999999999</v>
      </c>
      <c r="R4">
        <v>42.8476</v>
      </c>
      <c r="S4">
        <v>80.036600000000007</v>
      </c>
      <c r="T4">
        <v>68.659700000000001</v>
      </c>
      <c r="U4">
        <v>65.699250000000006</v>
      </c>
    </row>
    <row r="5" spans="1:21" x14ac:dyDescent="0.2">
      <c r="A5" t="s">
        <v>353</v>
      </c>
      <c r="B5" t="s">
        <v>354</v>
      </c>
    </row>
    <row r="6" spans="1:21" x14ac:dyDescent="0.2">
      <c r="A6" t="s">
        <v>177</v>
      </c>
      <c r="B6" t="s">
        <v>178</v>
      </c>
      <c r="C6">
        <v>68.835716900093402</v>
      </c>
      <c r="D6">
        <v>85</v>
      </c>
      <c r="E6">
        <v>99.569500000000005</v>
      </c>
      <c r="F6">
        <v>66.260000000000005</v>
      </c>
      <c r="G6">
        <v>86.6737857142857</v>
      </c>
      <c r="H6">
        <v>97.975999999999999</v>
      </c>
      <c r="I6">
        <v>76.561999999999998</v>
      </c>
      <c r="J6">
        <v>55.180399999999999</v>
      </c>
      <c r="K6">
        <v>69.237250000000003</v>
      </c>
      <c r="L6">
        <v>59.5852</v>
      </c>
      <c r="M6">
        <v>84.637333333333302</v>
      </c>
      <c r="N6">
        <v>91.375</v>
      </c>
      <c r="O6">
        <v>78.085999999999999</v>
      </c>
      <c r="P6">
        <v>67.124857142857195</v>
      </c>
      <c r="Q6">
        <v>8.6546666666666692</v>
      </c>
      <c r="R6">
        <v>66.128500000000003</v>
      </c>
      <c r="S6">
        <v>55.85</v>
      </c>
      <c r="T6">
        <v>77.742444444444502</v>
      </c>
      <c r="U6">
        <v>29.564250000000001</v>
      </c>
    </row>
    <row r="7" spans="1:21" x14ac:dyDescent="0.2">
      <c r="A7" t="s">
        <v>121</v>
      </c>
      <c r="B7" t="s">
        <v>122</v>
      </c>
      <c r="C7">
        <v>72.782968020541503</v>
      </c>
      <c r="D7">
        <v>54</v>
      </c>
      <c r="E7">
        <v>96.623000000000005</v>
      </c>
      <c r="F7">
        <v>67.524249999999995</v>
      </c>
      <c r="G7">
        <v>79.249785714285693</v>
      </c>
      <c r="H7">
        <v>97.297499999999999</v>
      </c>
      <c r="I7">
        <v>81.235666666666702</v>
      </c>
      <c r="J7">
        <v>79.126000000000005</v>
      </c>
      <c r="K7">
        <v>72.371750000000006</v>
      </c>
      <c r="L7">
        <v>65.685000000000002</v>
      </c>
      <c r="M7">
        <v>48.453333333333298</v>
      </c>
      <c r="N7">
        <v>43.716000000000001</v>
      </c>
      <c r="O7">
        <v>82.070499999999996</v>
      </c>
      <c r="P7">
        <v>82.711142857142903</v>
      </c>
      <c r="Q7">
        <v>88.161000000000001</v>
      </c>
      <c r="R7">
        <v>63.304666666666698</v>
      </c>
      <c r="S7">
        <v>61.177999999999997</v>
      </c>
      <c r="T7">
        <v>65.410111111111107</v>
      </c>
      <c r="U7">
        <v>63.192749999999997</v>
      </c>
    </row>
    <row r="8" spans="1:21" x14ac:dyDescent="0.2">
      <c r="A8" t="s">
        <v>131</v>
      </c>
      <c r="B8" t="s">
        <v>132</v>
      </c>
      <c r="C8">
        <v>71.053191851286002</v>
      </c>
      <c r="D8">
        <v>66</v>
      </c>
      <c r="E8">
        <v>88.858000000000004</v>
      </c>
      <c r="F8">
        <v>60.457999999999998</v>
      </c>
      <c r="G8">
        <v>78.479142857142904</v>
      </c>
      <c r="H8">
        <v>77.005499999999998</v>
      </c>
      <c r="I8">
        <v>57.854999999999997</v>
      </c>
      <c r="J8">
        <v>68.088399999999993</v>
      </c>
      <c r="K8">
        <v>73.925749999999994</v>
      </c>
      <c r="L8">
        <v>61.217599999999997</v>
      </c>
      <c r="M8">
        <v>38.809166666666698</v>
      </c>
      <c r="N8">
        <v>79.807000000000002</v>
      </c>
      <c r="O8">
        <v>75.225750000000005</v>
      </c>
      <c r="P8">
        <v>93.156142857142896</v>
      </c>
      <c r="Q8">
        <v>90.947000000000003</v>
      </c>
      <c r="S8">
        <v>61.941800000000001</v>
      </c>
      <c r="T8">
        <v>77.395333333333298</v>
      </c>
      <c r="U8">
        <v>62.545000000000002</v>
      </c>
    </row>
    <row r="9" spans="1:21" x14ac:dyDescent="0.2">
      <c r="A9" t="s">
        <v>355</v>
      </c>
      <c r="B9" t="s">
        <v>356</v>
      </c>
    </row>
    <row r="10" spans="1:21" x14ac:dyDescent="0.2">
      <c r="A10" t="s">
        <v>99</v>
      </c>
      <c r="B10" t="s">
        <v>100</v>
      </c>
      <c r="C10">
        <v>75.581788025210102</v>
      </c>
      <c r="D10">
        <v>38</v>
      </c>
      <c r="E10">
        <v>99.62</v>
      </c>
      <c r="F10">
        <v>59.265124999999998</v>
      </c>
      <c r="G10">
        <v>95.376071428571393</v>
      </c>
      <c r="H10">
        <v>90.990333333333297</v>
      </c>
      <c r="I10">
        <v>81.158249999999995</v>
      </c>
      <c r="J10">
        <v>94.108999999999995</v>
      </c>
      <c r="K10">
        <v>71.042749999999998</v>
      </c>
      <c r="L10">
        <v>82.04</v>
      </c>
      <c r="M10">
        <v>90.007000000000005</v>
      </c>
      <c r="N10">
        <v>77.781499999999994</v>
      </c>
      <c r="O10">
        <v>89.4495</v>
      </c>
      <c r="P10">
        <v>58.326999999999998</v>
      </c>
      <c r="Q10">
        <v>12.722666666666701</v>
      </c>
      <c r="R10">
        <v>66.024000000000001</v>
      </c>
      <c r="S10">
        <v>63.605200000000004</v>
      </c>
      <c r="T10">
        <v>83.743499999999997</v>
      </c>
      <c r="U10">
        <v>69.628500000000003</v>
      </c>
    </row>
    <row r="11" spans="1:21" x14ac:dyDescent="0.2">
      <c r="A11" t="s">
        <v>29</v>
      </c>
      <c r="B11" t="s">
        <v>30</v>
      </c>
      <c r="C11">
        <v>82.315202389705902</v>
      </c>
      <c r="D11">
        <v>5</v>
      </c>
      <c r="E11">
        <v>99.341499999999996</v>
      </c>
      <c r="F11">
        <v>73.700999999999993</v>
      </c>
      <c r="G11">
        <v>91.948571428571398</v>
      </c>
      <c r="H11">
        <v>98.241666666666703</v>
      </c>
      <c r="I11">
        <v>82.856666666666698</v>
      </c>
      <c r="J11">
        <v>92.375399999999999</v>
      </c>
      <c r="K11">
        <v>85.21</v>
      </c>
      <c r="L11">
        <v>84.040999999999997</v>
      </c>
      <c r="M11">
        <v>95.671999999999997</v>
      </c>
      <c r="N11">
        <v>93.789500000000004</v>
      </c>
      <c r="O11">
        <v>93.014666666666699</v>
      </c>
      <c r="P11">
        <v>56.787428571428599</v>
      </c>
      <c r="Q11">
        <v>55.301333333333297</v>
      </c>
      <c r="S11">
        <v>73.460599999999999</v>
      </c>
      <c r="T11">
        <v>91.203800000000001</v>
      </c>
      <c r="U11">
        <v>68.7</v>
      </c>
    </row>
    <row r="12" spans="1:21" x14ac:dyDescent="0.2">
      <c r="A12" t="s">
        <v>125</v>
      </c>
      <c r="B12" t="s">
        <v>126</v>
      </c>
      <c r="C12">
        <v>73.4532002546473</v>
      </c>
      <c r="D12">
        <v>50</v>
      </c>
      <c r="E12">
        <v>100</v>
      </c>
      <c r="F12">
        <v>61.880285714285698</v>
      </c>
      <c r="G12">
        <v>72.644571428571396</v>
      </c>
      <c r="H12">
        <v>87.861000000000004</v>
      </c>
      <c r="I12">
        <v>53.185250000000003</v>
      </c>
      <c r="J12">
        <v>67.451999999999998</v>
      </c>
      <c r="K12">
        <v>67.819249999999997</v>
      </c>
      <c r="L12">
        <v>66.974800000000002</v>
      </c>
      <c r="M12">
        <v>41.463333333333303</v>
      </c>
      <c r="N12">
        <v>100</v>
      </c>
      <c r="O12">
        <v>86.231666666666698</v>
      </c>
      <c r="P12">
        <v>90.058571428571398</v>
      </c>
      <c r="Q12">
        <v>81.587000000000003</v>
      </c>
      <c r="S12">
        <v>65.709000000000003</v>
      </c>
      <c r="T12">
        <v>72.662750000000003</v>
      </c>
      <c r="U12">
        <v>70.985249999999994</v>
      </c>
    </row>
    <row r="13" spans="1:21" x14ac:dyDescent="0.2">
      <c r="A13" t="s">
        <v>313</v>
      </c>
      <c r="B13" t="s">
        <v>314</v>
      </c>
      <c r="C13">
        <v>54.053096576408301</v>
      </c>
      <c r="D13">
        <v>141</v>
      </c>
      <c r="E13">
        <v>0</v>
      </c>
      <c r="F13">
        <v>57.843857142857097</v>
      </c>
      <c r="G13">
        <v>48.341357142857198</v>
      </c>
      <c r="H13">
        <v>48.144750000000002</v>
      </c>
      <c r="I13">
        <v>59.942250000000001</v>
      </c>
      <c r="J13">
        <v>55.233400000000003</v>
      </c>
      <c r="K13">
        <v>25.454999999999998</v>
      </c>
      <c r="L13">
        <v>45.301400000000001</v>
      </c>
      <c r="M13">
        <v>6.6463333333333301</v>
      </c>
      <c r="N13">
        <v>58.366</v>
      </c>
      <c r="O13">
        <v>56.198250000000002</v>
      </c>
      <c r="P13">
        <v>96.890857142857101</v>
      </c>
      <c r="Q13">
        <v>99.706666666666706</v>
      </c>
      <c r="S13">
        <v>78.590199999999996</v>
      </c>
      <c r="T13">
        <v>52.180666666666703</v>
      </c>
      <c r="U13">
        <v>62.063666666666698</v>
      </c>
    </row>
    <row r="14" spans="1:21" x14ac:dyDescent="0.2">
      <c r="A14" t="s">
        <v>57</v>
      </c>
      <c r="B14" t="s">
        <v>58</v>
      </c>
      <c r="C14">
        <v>79.693955564533496</v>
      </c>
      <c r="D14">
        <v>18</v>
      </c>
      <c r="E14">
        <v>99.662499999999994</v>
      </c>
      <c r="F14">
        <v>71.557625000000002</v>
      </c>
      <c r="G14">
        <v>92.468307692307704</v>
      </c>
      <c r="H14">
        <v>94.383333333333297</v>
      </c>
      <c r="I14">
        <v>86.029333333333298</v>
      </c>
      <c r="J14">
        <v>72.805199999999999</v>
      </c>
      <c r="K14">
        <v>72.934749999999994</v>
      </c>
      <c r="L14">
        <v>84.575999999999993</v>
      </c>
      <c r="M14">
        <v>92.148333333333397</v>
      </c>
      <c r="N14">
        <v>100</v>
      </c>
      <c r="O14">
        <v>88.551500000000004</v>
      </c>
      <c r="P14">
        <v>56.639428571428603</v>
      </c>
      <c r="Q14">
        <v>54.623333333333299</v>
      </c>
      <c r="R14">
        <v>54.725999999999999</v>
      </c>
      <c r="S14">
        <v>81.483800000000002</v>
      </c>
      <c r="T14">
        <v>85.351299999999995</v>
      </c>
      <c r="U14">
        <v>66.856499999999997</v>
      </c>
    </row>
    <row r="15" spans="1:21" x14ac:dyDescent="0.2">
      <c r="A15" t="s">
        <v>299</v>
      </c>
      <c r="B15" t="s">
        <v>300</v>
      </c>
      <c r="C15">
        <v>51.237751330532198</v>
      </c>
      <c r="D15">
        <v>153</v>
      </c>
      <c r="E15">
        <v>18.691500000000001</v>
      </c>
      <c r="F15">
        <v>62.639875000000004</v>
      </c>
      <c r="G15">
        <v>42.863214285714299</v>
      </c>
      <c r="H15">
        <v>52.273499999999999</v>
      </c>
      <c r="I15">
        <v>30.689499999999999</v>
      </c>
      <c r="J15">
        <v>49.418199999999999</v>
      </c>
      <c r="K15">
        <v>34.096249999999998</v>
      </c>
      <c r="L15">
        <v>71.001999999999995</v>
      </c>
      <c r="M15">
        <v>17.916</v>
      </c>
      <c r="N15">
        <v>21.4085</v>
      </c>
      <c r="O15">
        <v>43.985500000000002</v>
      </c>
      <c r="P15">
        <v>98.377666666666698</v>
      </c>
      <c r="Q15">
        <v>97.432666666666705</v>
      </c>
      <c r="R15">
        <v>59.966000000000001</v>
      </c>
      <c r="S15">
        <v>66.282399999999996</v>
      </c>
      <c r="T15">
        <v>52.631999999999998</v>
      </c>
      <c r="U15">
        <v>51.366999999999997</v>
      </c>
    </row>
    <row r="16" spans="1:21" x14ac:dyDescent="0.2">
      <c r="A16" t="s">
        <v>325</v>
      </c>
      <c r="B16" t="s">
        <v>326</v>
      </c>
      <c r="C16">
        <v>54.467925778088997</v>
      </c>
      <c r="D16">
        <v>138</v>
      </c>
      <c r="E16">
        <v>24.607500000000002</v>
      </c>
      <c r="F16">
        <v>61.215874999999997</v>
      </c>
      <c r="G16">
        <v>45.324071428571401</v>
      </c>
      <c r="H16">
        <v>25.103249999999999</v>
      </c>
      <c r="I16">
        <v>34.125250000000001</v>
      </c>
      <c r="J16">
        <v>44.838000000000001</v>
      </c>
      <c r="K16">
        <v>27.779333333333302</v>
      </c>
      <c r="L16">
        <v>67.0505</v>
      </c>
      <c r="M16">
        <v>17.973666666666698</v>
      </c>
      <c r="N16">
        <v>70.888999999999996</v>
      </c>
      <c r="O16">
        <v>52.132750000000001</v>
      </c>
      <c r="P16">
        <v>96.119571428571405</v>
      </c>
      <c r="Q16">
        <v>98.610333333333401</v>
      </c>
      <c r="S16">
        <v>82.662800000000004</v>
      </c>
      <c r="T16">
        <v>54.499600000000001</v>
      </c>
      <c r="U16">
        <v>55.02525</v>
      </c>
    </row>
    <row r="17" spans="1:21" x14ac:dyDescent="0.2">
      <c r="A17" t="s">
        <v>221</v>
      </c>
      <c r="B17" t="s">
        <v>222</v>
      </c>
      <c r="C17">
        <v>64.217888795518206</v>
      </c>
      <c r="D17">
        <v>104</v>
      </c>
      <c r="E17">
        <v>70.267499999999998</v>
      </c>
      <c r="F17">
        <v>64.025714285714301</v>
      </c>
      <c r="G17">
        <v>60.902928571428603</v>
      </c>
      <c r="H17">
        <v>82.4375</v>
      </c>
      <c r="I17">
        <v>52.939</v>
      </c>
      <c r="J17">
        <v>67.331000000000003</v>
      </c>
      <c r="K17">
        <v>56.116</v>
      </c>
      <c r="L17">
        <v>69.7023333333333</v>
      </c>
      <c r="M17">
        <v>32.484200000000001</v>
      </c>
      <c r="N17">
        <v>81.348500000000001</v>
      </c>
      <c r="O17">
        <v>51.317500000000003</v>
      </c>
      <c r="P17">
        <v>97.231499999999997</v>
      </c>
      <c r="Q17">
        <v>95.371499999999997</v>
      </c>
      <c r="R17">
        <v>66.057333333333304</v>
      </c>
      <c r="S17">
        <v>51.470399999999998</v>
      </c>
      <c r="T17">
        <v>53.5212</v>
      </c>
      <c r="U17">
        <v>39.18</v>
      </c>
    </row>
    <row r="18" spans="1:21" x14ac:dyDescent="0.2">
      <c r="A18" t="s">
        <v>107</v>
      </c>
      <c r="B18" t="s">
        <v>108</v>
      </c>
      <c r="C18">
        <v>74.285365359477098</v>
      </c>
      <c r="D18">
        <v>42</v>
      </c>
      <c r="E18">
        <v>98.230999999999995</v>
      </c>
      <c r="F18">
        <v>66.347250000000003</v>
      </c>
      <c r="G18">
        <v>77.903999999999996</v>
      </c>
      <c r="H18">
        <v>68.48</v>
      </c>
      <c r="I18">
        <v>75.052999999999997</v>
      </c>
      <c r="J18">
        <v>69.065399999999997</v>
      </c>
      <c r="K18">
        <v>73.16225</v>
      </c>
      <c r="L18">
        <v>77.185833333333306</v>
      </c>
      <c r="M18">
        <v>58.405833333333298</v>
      </c>
      <c r="N18">
        <v>49.625999999999998</v>
      </c>
      <c r="O18">
        <v>80.407666666666699</v>
      </c>
      <c r="P18">
        <v>80.507000000000005</v>
      </c>
      <c r="Q18">
        <v>83.146333333333303</v>
      </c>
      <c r="R18">
        <v>64.665999999999997</v>
      </c>
      <c r="S18">
        <v>93.659199999999998</v>
      </c>
      <c r="T18">
        <v>73.840444444444401</v>
      </c>
      <c r="U18">
        <v>73.164000000000001</v>
      </c>
    </row>
    <row r="19" spans="1:21" x14ac:dyDescent="0.2">
      <c r="A19" t="s">
        <v>241</v>
      </c>
      <c r="B19" t="s">
        <v>242</v>
      </c>
      <c r="C19">
        <v>64.269662172141594</v>
      </c>
      <c r="D19">
        <v>102</v>
      </c>
      <c r="F19">
        <v>71.465333333333305</v>
      </c>
      <c r="G19">
        <v>86.1896428571429</v>
      </c>
      <c r="H19">
        <v>83.15025</v>
      </c>
      <c r="I19">
        <v>51.542000000000002</v>
      </c>
      <c r="J19">
        <v>68.074200000000005</v>
      </c>
      <c r="K19">
        <v>71.427999999999997</v>
      </c>
      <c r="L19">
        <v>77.02</v>
      </c>
      <c r="M19">
        <v>52.4493333333333</v>
      </c>
      <c r="O19">
        <v>48.55</v>
      </c>
      <c r="P19">
        <v>77.103428571428594</v>
      </c>
      <c r="Q19">
        <v>33.5103333333333</v>
      </c>
      <c r="R19">
        <v>50.434399999999997</v>
      </c>
      <c r="S19">
        <v>45.526666666666699</v>
      </c>
      <c r="T19">
        <v>71.389714285714305</v>
      </c>
      <c r="U19">
        <v>35.308</v>
      </c>
    </row>
    <row r="20" spans="1:21" x14ac:dyDescent="0.2">
      <c r="A20" t="s">
        <v>267</v>
      </c>
      <c r="B20" t="s">
        <v>268</v>
      </c>
    </row>
    <row r="21" spans="1:21" x14ac:dyDescent="0.2">
      <c r="A21" t="s">
        <v>113</v>
      </c>
      <c r="B21" t="s">
        <v>114</v>
      </c>
      <c r="C21">
        <v>71.727383473389395</v>
      </c>
      <c r="D21">
        <v>59</v>
      </c>
      <c r="E21">
        <v>99.793499999999995</v>
      </c>
      <c r="F21">
        <v>65.569428571428602</v>
      </c>
      <c r="G21">
        <v>77.498500000000007</v>
      </c>
      <c r="H21">
        <v>64.108000000000004</v>
      </c>
      <c r="I21">
        <v>44.009500000000003</v>
      </c>
      <c r="J21">
        <v>73.469399999999993</v>
      </c>
      <c r="K21">
        <v>66.677000000000007</v>
      </c>
      <c r="L21">
        <v>69.393166666666701</v>
      </c>
      <c r="M21">
        <v>35.952833333333302</v>
      </c>
      <c r="N21">
        <v>80.753500000000003</v>
      </c>
      <c r="O21">
        <v>73.442499999999995</v>
      </c>
      <c r="P21">
        <v>85.821857142857198</v>
      </c>
      <c r="Q21">
        <v>82.2023333333333</v>
      </c>
      <c r="R21">
        <v>70.293666666666695</v>
      </c>
      <c r="S21">
        <v>79.694000000000003</v>
      </c>
      <c r="T21">
        <v>70.048333333333304</v>
      </c>
      <c r="U21">
        <v>80.638000000000005</v>
      </c>
    </row>
    <row r="22" spans="1:21" x14ac:dyDescent="0.2">
      <c r="A22" t="s">
        <v>87</v>
      </c>
      <c r="B22" t="s">
        <v>88</v>
      </c>
      <c r="C22">
        <v>75.993224460996501</v>
      </c>
      <c r="D22">
        <v>34</v>
      </c>
      <c r="E22">
        <v>99.894999999999996</v>
      </c>
      <c r="F22">
        <v>64.997375000000005</v>
      </c>
      <c r="G22">
        <v>83.6322857142857</v>
      </c>
      <c r="H22">
        <v>97.829499999999996</v>
      </c>
      <c r="I22">
        <v>79.837249999999997</v>
      </c>
      <c r="J22">
        <v>75.151600000000002</v>
      </c>
      <c r="K22">
        <v>69.739750000000001</v>
      </c>
      <c r="L22">
        <v>69.403833333333296</v>
      </c>
      <c r="M22">
        <v>47.338166666666702</v>
      </c>
      <c r="N22">
        <v>100</v>
      </c>
      <c r="O22">
        <v>73.072999999999993</v>
      </c>
      <c r="P22">
        <v>81.469857142857094</v>
      </c>
      <c r="Q22">
        <v>60.387999999999998</v>
      </c>
      <c r="S22">
        <v>78.688800000000001</v>
      </c>
      <c r="T22">
        <v>74.408222222222193</v>
      </c>
      <c r="U22">
        <v>73.842500000000001</v>
      </c>
    </row>
    <row r="23" spans="1:21" x14ac:dyDescent="0.2">
      <c r="A23" t="s">
        <v>233</v>
      </c>
      <c r="B23" t="s">
        <v>234</v>
      </c>
      <c r="C23">
        <v>65.731941456582604</v>
      </c>
      <c r="D23">
        <v>100</v>
      </c>
      <c r="E23">
        <v>61.65</v>
      </c>
      <c r="F23">
        <v>59.936714285714302</v>
      </c>
      <c r="G23">
        <v>74.180857142857107</v>
      </c>
      <c r="H23">
        <v>77.427000000000007</v>
      </c>
      <c r="I23">
        <v>56.098750000000003</v>
      </c>
      <c r="J23">
        <v>68.413200000000003</v>
      </c>
      <c r="K23">
        <v>86.643333333333302</v>
      </c>
      <c r="L23">
        <v>55.359400000000001</v>
      </c>
      <c r="M23">
        <v>25.7605</v>
      </c>
      <c r="O23">
        <v>79.767750000000007</v>
      </c>
      <c r="P23">
        <v>89.462000000000003</v>
      </c>
      <c r="Q23">
        <v>91.555999999999997</v>
      </c>
      <c r="R23">
        <v>68.565600000000003</v>
      </c>
      <c r="S23">
        <v>49.339399999999998</v>
      </c>
      <c r="T23">
        <v>65.247375000000005</v>
      </c>
      <c r="U23">
        <v>72.290750000000003</v>
      </c>
    </row>
    <row r="24" spans="1:21" x14ac:dyDescent="0.2">
      <c r="A24" t="s">
        <v>193</v>
      </c>
      <c r="B24" t="s">
        <v>194</v>
      </c>
      <c r="C24">
        <v>67.985874775910403</v>
      </c>
      <c r="D24">
        <v>90</v>
      </c>
      <c r="E24">
        <v>89.647499999999994</v>
      </c>
      <c r="F24">
        <v>58.875571428571398</v>
      </c>
      <c r="G24">
        <v>65.4918571428571</v>
      </c>
      <c r="H24">
        <v>89.343999999999994</v>
      </c>
      <c r="I24">
        <v>68.008250000000004</v>
      </c>
      <c r="J24">
        <v>69.775599999999997</v>
      </c>
      <c r="K24">
        <v>65.459999999999994</v>
      </c>
      <c r="L24">
        <v>67.720833333333303</v>
      </c>
      <c r="M24">
        <v>29.067833333333301</v>
      </c>
      <c r="N24">
        <v>43.640999999999998</v>
      </c>
      <c r="O24">
        <v>72.114750000000001</v>
      </c>
      <c r="P24">
        <v>91.905714285714296</v>
      </c>
      <c r="Q24">
        <v>93.066000000000003</v>
      </c>
      <c r="S24">
        <v>66.724400000000003</v>
      </c>
      <c r="T24">
        <v>53.055</v>
      </c>
      <c r="U24">
        <v>64.809333333333299</v>
      </c>
    </row>
    <row r="25" spans="1:21" x14ac:dyDescent="0.2">
      <c r="A25" t="s">
        <v>119</v>
      </c>
      <c r="B25" t="s">
        <v>120</v>
      </c>
      <c r="C25">
        <v>72.799435714285707</v>
      </c>
      <c r="D25">
        <v>53</v>
      </c>
      <c r="E25">
        <v>86.994500000000002</v>
      </c>
      <c r="F25">
        <v>69.898499999999999</v>
      </c>
      <c r="G25">
        <v>78.322285714285698</v>
      </c>
      <c r="H25">
        <v>90.486999999999995</v>
      </c>
      <c r="I25">
        <v>69.240250000000003</v>
      </c>
      <c r="J25">
        <v>87.129400000000004</v>
      </c>
      <c r="K25">
        <v>92.975499999999997</v>
      </c>
      <c r="L25">
        <v>65.291166666666697</v>
      </c>
      <c r="M25">
        <v>63.476333333333301</v>
      </c>
      <c r="N25">
        <v>13.521000000000001</v>
      </c>
      <c r="O25">
        <v>78.347250000000003</v>
      </c>
      <c r="P25">
        <v>84.561571428571398</v>
      </c>
      <c r="Q25">
        <v>93.328000000000003</v>
      </c>
      <c r="R25">
        <v>63.083500000000001</v>
      </c>
      <c r="S25">
        <v>62.205199999999998</v>
      </c>
      <c r="T25">
        <v>63.8902</v>
      </c>
      <c r="U25">
        <v>74.838750000000005</v>
      </c>
    </row>
    <row r="26" spans="1:21" x14ac:dyDescent="0.2">
      <c r="A26" t="s">
        <v>187</v>
      </c>
      <c r="B26" t="s">
        <v>188</v>
      </c>
      <c r="C26">
        <v>70.338370399698306</v>
      </c>
      <c r="D26">
        <v>73</v>
      </c>
      <c r="E26">
        <v>91.223500000000001</v>
      </c>
      <c r="F26">
        <v>55.355249999999998</v>
      </c>
      <c r="G26">
        <v>82.330538461538495</v>
      </c>
      <c r="H26">
        <v>90.363</v>
      </c>
      <c r="I26">
        <v>71.553250000000006</v>
      </c>
      <c r="J26">
        <v>52.713250000000002</v>
      </c>
      <c r="K26">
        <v>93.463333333333296</v>
      </c>
      <c r="L26">
        <v>69.348600000000005</v>
      </c>
      <c r="M26">
        <v>42.003500000000003</v>
      </c>
      <c r="O26">
        <v>80.995000000000005</v>
      </c>
      <c r="P26">
        <v>68.768199999999993</v>
      </c>
      <c r="Q26">
        <v>90.1995</v>
      </c>
      <c r="R26">
        <v>62.4925</v>
      </c>
      <c r="S26">
        <v>62.992750000000001</v>
      </c>
      <c r="T26">
        <v>72.472250000000003</v>
      </c>
      <c r="U26">
        <v>73.733500000000006</v>
      </c>
    </row>
    <row r="27" spans="1:21" x14ac:dyDescent="0.2">
      <c r="A27" t="s">
        <v>223</v>
      </c>
      <c r="B27" t="s">
        <v>224</v>
      </c>
      <c r="C27">
        <v>67.100219185430603</v>
      </c>
      <c r="D27">
        <v>93</v>
      </c>
      <c r="F27">
        <v>54.708750000000002</v>
      </c>
      <c r="G27">
        <v>85.325923076923104</v>
      </c>
      <c r="H27">
        <v>96.778000000000006</v>
      </c>
      <c r="I27">
        <v>60.801333333333297</v>
      </c>
      <c r="J27">
        <v>60.378999999999998</v>
      </c>
      <c r="K27">
        <v>62.936500000000002</v>
      </c>
      <c r="L27">
        <v>70.078749999999999</v>
      </c>
      <c r="M27">
        <v>71.939666666666696</v>
      </c>
      <c r="O27">
        <v>99.787000000000006</v>
      </c>
      <c r="P27">
        <v>74.270285714285706</v>
      </c>
      <c r="Q27">
        <v>0</v>
      </c>
      <c r="R27">
        <v>54.582999999999998</v>
      </c>
      <c r="S27">
        <v>68.462000000000003</v>
      </c>
      <c r="T27">
        <v>61.963000000000001</v>
      </c>
      <c r="U27">
        <v>71.543499999999995</v>
      </c>
    </row>
    <row r="28" spans="1:21" x14ac:dyDescent="0.2">
      <c r="A28" t="s">
        <v>141</v>
      </c>
      <c r="B28" t="s">
        <v>142</v>
      </c>
      <c r="C28">
        <v>70.485796503268006</v>
      </c>
      <c r="D28">
        <v>70</v>
      </c>
      <c r="E28">
        <v>88.67</v>
      </c>
      <c r="F28">
        <v>54.543799999999997</v>
      </c>
      <c r="G28">
        <v>68.59</v>
      </c>
      <c r="H28">
        <v>67.781750000000002</v>
      </c>
      <c r="I28">
        <v>56.338500000000003</v>
      </c>
      <c r="J28">
        <v>69.579800000000006</v>
      </c>
      <c r="K28">
        <v>92.303333333333299</v>
      </c>
      <c r="L28">
        <v>64.510249999999999</v>
      </c>
      <c r="M28">
        <v>37.587200000000003</v>
      </c>
      <c r="N28">
        <v>64.369</v>
      </c>
      <c r="O28">
        <v>84.553333333333299</v>
      </c>
      <c r="P28">
        <v>92.869666666666703</v>
      </c>
      <c r="Q28">
        <v>86.528000000000006</v>
      </c>
      <c r="S28">
        <v>65.561000000000007</v>
      </c>
      <c r="T28">
        <v>84.141625000000005</v>
      </c>
      <c r="U28">
        <v>59.974499999999999</v>
      </c>
    </row>
    <row r="29" spans="1:21" x14ac:dyDescent="0.2">
      <c r="A29" t="s">
        <v>255</v>
      </c>
      <c r="B29" t="s">
        <v>256</v>
      </c>
      <c r="C29">
        <v>61.432454092748202</v>
      </c>
      <c r="D29">
        <v>116</v>
      </c>
      <c r="E29">
        <v>57.807000000000002</v>
      </c>
      <c r="F29">
        <v>39.869</v>
      </c>
      <c r="G29">
        <v>49.209642857142903</v>
      </c>
      <c r="H29">
        <v>65.677000000000007</v>
      </c>
      <c r="I29">
        <v>66.141000000000005</v>
      </c>
      <c r="J29">
        <v>68.334400000000002</v>
      </c>
      <c r="K29">
        <v>53.479500000000002</v>
      </c>
      <c r="L29">
        <v>52.850333333333303</v>
      </c>
      <c r="M29">
        <v>48.1338333333333</v>
      </c>
      <c r="N29">
        <v>13.662000000000001</v>
      </c>
      <c r="O29">
        <v>80.827666666666701</v>
      </c>
      <c r="P29">
        <v>88.426428571428602</v>
      </c>
      <c r="Q29">
        <v>86.393000000000001</v>
      </c>
      <c r="S29">
        <v>74.369399999999999</v>
      </c>
      <c r="T29">
        <v>65.333777777777797</v>
      </c>
      <c r="U29">
        <v>65.839749999999995</v>
      </c>
    </row>
    <row r="30" spans="1:21" x14ac:dyDescent="0.2">
      <c r="A30" t="s">
        <v>349</v>
      </c>
      <c r="B30" t="s">
        <v>350</v>
      </c>
      <c r="C30">
        <v>39.275543075007803</v>
      </c>
      <c r="D30">
        <v>162</v>
      </c>
      <c r="E30">
        <v>2.0314999999999999</v>
      </c>
      <c r="F30">
        <v>38.808142857142897</v>
      </c>
      <c r="G30">
        <v>12.7351428571429</v>
      </c>
      <c r="H30">
        <v>6.9052499999999997</v>
      </c>
      <c r="I30">
        <v>30.345500000000001</v>
      </c>
      <c r="J30">
        <v>40.420400000000001</v>
      </c>
      <c r="K30">
        <v>25.506</v>
      </c>
      <c r="L30">
        <v>45.891399999999997</v>
      </c>
      <c r="M30">
        <v>4.69783333333333</v>
      </c>
      <c r="N30">
        <v>9.5775000000000006</v>
      </c>
      <c r="O30">
        <v>16.423999999999999</v>
      </c>
      <c r="P30">
        <v>94.337142857142894</v>
      </c>
      <c r="Q30">
        <v>99.278666666666695</v>
      </c>
      <c r="S30">
        <v>89.8506</v>
      </c>
      <c r="T30">
        <v>43.792833333333299</v>
      </c>
      <c r="U30">
        <v>39.084333333333298</v>
      </c>
    </row>
    <row r="31" spans="1:21" x14ac:dyDescent="0.2">
      <c r="A31" t="s">
        <v>71</v>
      </c>
      <c r="B31" t="s">
        <v>72</v>
      </c>
      <c r="C31">
        <v>77.730482072829105</v>
      </c>
      <c r="D31">
        <v>29</v>
      </c>
      <c r="E31">
        <v>99.55</v>
      </c>
      <c r="F31">
        <v>67.613749999999996</v>
      </c>
      <c r="G31">
        <v>93.0715</v>
      </c>
      <c r="H31">
        <v>99.183333333333294</v>
      </c>
      <c r="I31">
        <v>80.004000000000005</v>
      </c>
      <c r="J31">
        <v>87.267799999999994</v>
      </c>
      <c r="K31">
        <v>77.986500000000007</v>
      </c>
      <c r="L31">
        <v>81.8245</v>
      </c>
      <c r="M31">
        <v>86.465333333333305</v>
      </c>
      <c r="N31">
        <v>85.893500000000003</v>
      </c>
      <c r="O31">
        <v>89.41225</v>
      </c>
      <c r="P31">
        <v>61.2014285714286</v>
      </c>
      <c r="Q31">
        <v>30.466666666666701</v>
      </c>
      <c r="R31">
        <v>62.938333333333297</v>
      </c>
      <c r="S31">
        <v>60.597799999999999</v>
      </c>
      <c r="T31">
        <v>84.584500000000006</v>
      </c>
      <c r="U31">
        <v>73.356999999999999</v>
      </c>
    </row>
    <row r="32" spans="1:21" x14ac:dyDescent="0.2">
      <c r="A32" t="s">
        <v>49</v>
      </c>
      <c r="B32" t="s">
        <v>50</v>
      </c>
      <c r="C32">
        <v>80.7858812412465</v>
      </c>
      <c r="D32">
        <v>8</v>
      </c>
      <c r="E32">
        <v>99.712000000000003</v>
      </c>
      <c r="F32">
        <v>70.495249999999999</v>
      </c>
      <c r="G32">
        <v>95.555499999999995</v>
      </c>
      <c r="H32">
        <v>97.974000000000004</v>
      </c>
      <c r="I32">
        <v>84.717250000000007</v>
      </c>
      <c r="J32">
        <v>90.570800000000006</v>
      </c>
      <c r="K32">
        <v>83.149249999999995</v>
      </c>
      <c r="L32">
        <v>81.127200000000002</v>
      </c>
      <c r="M32">
        <v>97.516166666666706</v>
      </c>
      <c r="N32">
        <v>83.362499999999997</v>
      </c>
      <c r="O32">
        <v>99.058250000000001</v>
      </c>
      <c r="P32">
        <v>61.684857142857098</v>
      </c>
      <c r="Q32">
        <v>60.446666666666701</v>
      </c>
      <c r="S32">
        <v>66.112399999999994</v>
      </c>
      <c r="T32">
        <v>85.0893333333333</v>
      </c>
      <c r="U32">
        <v>53.075249999999997</v>
      </c>
    </row>
    <row r="33" spans="1:21" x14ac:dyDescent="0.2">
      <c r="A33" t="s">
        <v>79</v>
      </c>
      <c r="B33" t="s">
        <v>80</v>
      </c>
      <c r="C33">
        <v>77.807203151260495</v>
      </c>
      <c r="D33">
        <v>28</v>
      </c>
      <c r="E33">
        <v>99.804500000000004</v>
      </c>
      <c r="F33">
        <v>71.974625000000003</v>
      </c>
      <c r="G33">
        <v>88.053785714285695</v>
      </c>
      <c r="H33">
        <v>95.742249999999999</v>
      </c>
      <c r="I33">
        <v>66.201999999999998</v>
      </c>
      <c r="J33">
        <v>90.373000000000005</v>
      </c>
      <c r="K33">
        <v>83.203000000000003</v>
      </c>
      <c r="L33">
        <v>78.386333333333297</v>
      </c>
      <c r="M33">
        <v>70.311333333333394</v>
      </c>
      <c r="N33">
        <v>26.196999999999999</v>
      </c>
      <c r="O33">
        <v>87.553250000000006</v>
      </c>
      <c r="P33">
        <v>83.969142857142899</v>
      </c>
      <c r="Q33">
        <v>78.349000000000004</v>
      </c>
      <c r="R33">
        <v>83.527799999999999</v>
      </c>
      <c r="S33">
        <v>60.830199999999998</v>
      </c>
      <c r="T33">
        <v>76.750900000000001</v>
      </c>
      <c r="U33">
        <v>81.494333333333302</v>
      </c>
    </row>
    <row r="34" spans="1:21" x14ac:dyDescent="0.2">
      <c r="A34" t="s">
        <v>145</v>
      </c>
      <c r="B34" t="s">
        <v>146</v>
      </c>
      <c r="C34">
        <v>72.382585784313704</v>
      </c>
      <c r="D34">
        <v>56</v>
      </c>
      <c r="E34">
        <v>98.641499999999994</v>
      </c>
      <c r="F34">
        <v>81.968374999999995</v>
      </c>
      <c r="G34">
        <v>82.600642857142802</v>
      </c>
      <c r="H34">
        <v>99.507499999999993</v>
      </c>
      <c r="I34">
        <v>77.142250000000004</v>
      </c>
      <c r="J34">
        <v>70.870999999999995</v>
      </c>
      <c r="K34">
        <v>63.77075</v>
      </c>
      <c r="L34">
        <v>72.733833333333294</v>
      </c>
      <c r="M34">
        <v>77.537166666666707</v>
      </c>
      <c r="N34">
        <v>34.506999999999998</v>
      </c>
      <c r="O34">
        <v>79.459000000000003</v>
      </c>
      <c r="P34">
        <v>90.614999999999995</v>
      </c>
      <c r="Q34">
        <v>85.527333333333303</v>
      </c>
      <c r="R34">
        <v>51.390999999999998</v>
      </c>
      <c r="S34">
        <v>49.171999999999997</v>
      </c>
      <c r="T34">
        <v>70.268857142857101</v>
      </c>
      <c r="U34">
        <v>44.790750000000003</v>
      </c>
    </row>
    <row r="35" spans="1:21" x14ac:dyDescent="0.2">
      <c r="A35" t="s">
        <v>259</v>
      </c>
      <c r="B35" t="s">
        <v>260</v>
      </c>
      <c r="C35">
        <v>58.422096498599501</v>
      </c>
      <c r="D35">
        <v>127</v>
      </c>
      <c r="E35">
        <v>44.045000000000002</v>
      </c>
      <c r="F35">
        <v>63.132874999999999</v>
      </c>
      <c r="G35">
        <v>40.3765</v>
      </c>
      <c r="H35">
        <v>52.547249999999998</v>
      </c>
      <c r="I35">
        <v>39.064999999999998</v>
      </c>
      <c r="J35">
        <v>55.3688</v>
      </c>
      <c r="K35">
        <v>67.654750000000007</v>
      </c>
      <c r="L35">
        <v>70.282166666666697</v>
      </c>
      <c r="M35">
        <v>27.145499999999998</v>
      </c>
      <c r="N35">
        <v>45.719000000000001</v>
      </c>
      <c r="O35">
        <v>48.231499999999997</v>
      </c>
      <c r="P35">
        <v>97.081857142857203</v>
      </c>
      <c r="Q35">
        <v>97.322333333333404</v>
      </c>
      <c r="R35">
        <v>73.489833333333294</v>
      </c>
      <c r="S35">
        <v>70.611400000000003</v>
      </c>
      <c r="T35">
        <v>56.015875000000001</v>
      </c>
      <c r="U35">
        <v>45.085999999999999</v>
      </c>
    </row>
    <row r="36" spans="1:21" x14ac:dyDescent="0.2">
      <c r="A36" t="s">
        <v>297</v>
      </c>
      <c r="B36" t="s">
        <v>298</v>
      </c>
      <c r="C36">
        <v>55.549488375350101</v>
      </c>
      <c r="D36">
        <v>134</v>
      </c>
      <c r="E36">
        <v>45.682000000000002</v>
      </c>
      <c r="F36">
        <v>60.115714285714297</v>
      </c>
      <c r="G36">
        <v>39.079214285714301</v>
      </c>
      <c r="H36">
        <v>51.003500000000003</v>
      </c>
      <c r="I36">
        <v>53.216500000000003</v>
      </c>
      <c r="J36">
        <v>55.969000000000001</v>
      </c>
      <c r="K36">
        <v>65.9315</v>
      </c>
      <c r="L36">
        <v>61.3303333333333</v>
      </c>
      <c r="M36">
        <v>20.936199999999999</v>
      </c>
      <c r="N36">
        <v>23.098500000000001</v>
      </c>
      <c r="O36">
        <v>43.044750000000001</v>
      </c>
      <c r="P36">
        <v>97.188857142857103</v>
      </c>
      <c r="Q36">
        <v>97.903333333333293</v>
      </c>
      <c r="R36">
        <v>74.493499999999997</v>
      </c>
      <c r="S36">
        <v>63.915399999999998</v>
      </c>
      <c r="T36">
        <v>47.28</v>
      </c>
      <c r="U36">
        <v>44.152999999999999</v>
      </c>
    </row>
    <row r="37" spans="1:21" x14ac:dyDescent="0.2">
      <c r="A37" t="s">
        <v>337</v>
      </c>
      <c r="B37" t="s">
        <v>338</v>
      </c>
      <c r="C37">
        <v>49.995680112044802</v>
      </c>
      <c r="D37">
        <v>157</v>
      </c>
      <c r="E37">
        <v>0.59250000000000003</v>
      </c>
      <c r="F37">
        <v>42.764000000000003</v>
      </c>
      <c r="G37">
        <v>37.011928571428598</v>
      </c>
      <c r="H37">
        <v>56.08</v>
      </c>
      <c r="I37">
        <v>41.098500000000001</v>
      </c>
      <c r="J37">
        <v>43.183999999999997</v>
      </c>
      <c r="K37">
        <v>52.167749999999998</v>
      </c>
      <c r="L37">
        <v>53.269666666666701</v>
      </c>
      <c r="M37">
        <v>10.8146666666667</v>
      </c>
      <c r="N37">
        <v>43.030500000000004</v>
      </c>
      <c r="O37">
        <v>40.786000000000001</v>
      </c>
      <c r="P37">
        <v>97.918333333333294</v>
      </c>
      <c r="Q37">
        <v>99.401333333333298</v>
      </c>
      <c r="R37">
        <v>78.775999999999996</v>
      </c>
      <c r="S37">
        <v>70.1708</v>
      </c>
      <c r="T37">
        <v>41.161250000000003</v>
      </c>
      <c r="U37">
        <v>41.6993333333333</v>
      </c>
    </row>
    <row r="38" spans="1:21" x14ac:dyDescent="0.2">
      <c r="A38" t="s">
        <v>321</v>
      </c>
      <c r="B38" t="s">
        <v>322</v>
      </c>
      <c r="C38">
        <v>52.328100280111997</v>
      </c>
      <c r="D38">
        <v>148</v>
      </c>
      <c r="E38">
        <v>15.7165</v>
      </c>
      <c r="F38">
        <v>43.059571428571402</v>
      </c>
      <c r="G38">
        <v>44.345785714285697</v>
      </c>
      <c r="H38">
        <v>43.143250000000002</v>
      </c>
      <c r="I38">
        <v>53.44</v>
      </c>
      <c r="J38">
        <v>52.049399999999999</v>
      </c>
      <c r="K38">
        <v>63.435250000000003</v>
      </c>
      <c r="L38">
        <v>43.605333333333299</v>
      </c>
      <c r="M38">
        <v>7.5766</v>
      </c>
      <c r="N38">
        <v>19.859000000000002</v>
      </c>
      <c r="O38">
        <v>50.374499999999998</v>
      </c>
      <c r="P38">
        <v>96.452666666666701</v>
      </c>
      <c r="Q38">
        <v>91.730333333333306</v>
      </c>
      <c r="R38">
        <v>77.148200000000003</v>
      </c>
      <c r="S38">
        <v>81.3596</v>
      </c>
      <c r="T38">
        <v>56.666714285714299</v>
      </c>
      <c r="U38">
        <v>49.615000000000002</v>
      </c>
    </row>
    <row r="39" spans="1:21" x14ac:dyDescent="0.2">
      <c r="A39" t="s">
        <v>171</v>
      </c>
      <c r="B39" t="s">
        <v>172</v>
      </c>
      <c r="C39">
        <v>70.125614495798303</v>
      </c>
      <c r="D39">
        <v>75</v>
      </c>
      <c r="E39">
        <v>82.991500000000002</v>
      </c>
      <c r="F39">
        <v>63.163125000000001</v>
      </c>
      <c r="G39">
        <v>81.456142857142794</v>
      </c>
      <c r="H39">
        <v>92.155500000000004</v>
      </c>
      <c r="I39">
        <v>68.969250000000002</v>
      </c>
      <c r="J39">
        <v>81.938599999999994</v>
      </c>
      <c r="K39">
        <v>78.340999999999994</v>
      </c>
      <c r="L39">
        <v>61.764499999999998</v>
      </c>
      <c r="M39">
        <v>44.881999999999998</v>
      </c>
      <c r="N39">
        <v>16.478999999999999</v>
      </c>
      <c r="O39">
        <v>78.483999999999995</v>
      </c>
      <c r="P39">
        <v>90.737428571428595</v>
      </c>
      <c r="Q39">
        <v>88.741333333333401</v>
      </c>
      <c r="R39">
        <v>70.800166666666698</v>
      </c>
      <c r="S39">
        <v>60.877800000000001</v>
      </c>
      <c r="T39">
        <v>60.543100000000003</v>
      </c>
      <c r="U39">
        <v>69.811000000000007</v>
      </c>
    </row>
    <row r="40" spans="1:21" x14ac:dyDescent="0.2">
      <c r="A40" t="s">
        <v>327</v>
      </c>
      <c r="B40" t="s">
        <v>328</v>
      </c>
    </row>
    <row r="41" spans="1:21" x14ac:dyDescent="0.2">
      <c r="A41" t="s">
        <v>197</v>
      </c>
      <c r="B41" t="s">
        <v>198</v>
      </c>
    </row>
    <row r="42" spans="1:21" x14ac:dyDescent="0.2">
      <c r="A42" t="s">
        <v>123</v>
      </c>
      <c r="B42" t="s">
        <v>124</v>
      </c>
      <c r="C42">
        <v>73.764887955182104</v>
      </c>
      <c r="D42">
        <v>47</v>
      </c>
      <c r="E42">
        <v>99.572500000000005</v>
      </c>
      <c r="F42">
        <v>50.354750000000003</v>
      </c>
      <c r="G42">
        <v>87.095857142857199</v>
      </c>
      <c r="H42">
        <v>89.739750000000001</v>
      </c>
      <c r="I42">
        <v>80.91225</v>
      </c>
      <c r="J42">
        <v>76.495800000000003</v>
      </c>
      <c r="K42">
        <v>95.058250000000001</v>
      </c>
      <c r="L42">
        <v>68.77</v>
      </c>
      <c r="M42">
        <v>54.295666666666698</v>
      </c>
      <c r="N42">
        <v>20.844999999999999</v>
      </c>
      <c r="O42">
        <v>90.861750000000001</v>
      </c>
      <c r="P42">
        <v>83.583571428571403</v>
      </c>
      <c r="Q42">
        <v>86.621666666666698</v>
      </c>
      <c r="R42">
        <v>59.629833333333302</v>
      </c>
      <c r="S42">
        <v>63.767800000000001</v>
      </c>
      <c r="T42">
        <v>71.196899999999999</v>
      </c>
      <c r="U42">
        <v>75.201750000000004</v>
      </c>
    </row>
    <row r="43" spans="1:21" x14ac:dyDescent="0.2">
      <c r="A43" t="s">
        <v>111</v>
      </c>
      <c r="B43" t="s">
        <v>112</v>
      </c>
      <c r="C43">
        <v>74.664253851540593</v>
      </c>
      <c r="D43">
        <v>40</v>
      </c>
      <c r="F43">
        <v>58.781428571428599</v>
      </c>
      <c r="G43">
        <v>84.166071428571399</v>
      </c>
      <c r="H43">
        <v>93.862499999999997</v>
      </c>
      <c r="I43">
        <v>80.660749999999993</v>
      </c>
      <c r="J43">
        <v>73.884</v>
      </c>
      <c r="K43">
        <v>71.415750000000003</v>
      </c>
      <c r="L43">
        <v>90.72</v>
      </c>
      <c r="M43">
        <v>30.154833333333301</v>
      </c>
      <c r="O43">
        <v>65.768249999999995</v>
      </c>
      <c r="P43">
        <v>92.485399999999998</v>
      </c>
      <c r="Q43">
        <v>90.599500000000006</v>
      </c>
      <c r="R43">
        <v>83.055333333333294</v>
      </c>
      <c r="S43">
        <v>72.143600000000006</v>
      </c>
      <c r="T43">
        <v>64.224833333333294</v>
      </c>
      <c r="U43">
        <v>100</v>
      </c>
    </row>
    <row r="44" spans="1:21" x14ac:dyDescent="0.2">
      <c r="A44" t="s">
        <v>137</v>
      </c>
      <c r="B44" t="s">
        <v>138</v>
      </c>
      <c r="C44">
        <v>74.232383333333402</v>
      </c>
      <c r="D44">
        <v>43</v>
      </c>
      <c r="E44">
        <v>99.881</v>
      </c>
      <c r="F44">
        <v>60.463000000000001</v>
      </c>
      <c r="G44">
        <v>90.8017857142857</v>
      </c>
      <c r="H44">
        <v>98.442999999999998</v>
      </c>
      <c r="I44">
        <v>70.554666666666705</v>
      </c>
      <c r="J44">
        <v>69.486199999999997</v>
      </c>
      <c r="K44">
        <v>72.702250000000006</v>
      </c>
      <c r="L44">
        <v>75.885999999999996</v>
      </c>
      <c r="M44">
        <v>73.672166666666698</v>
      </c>
      <c r="N44">
        <v>83.394999999999996</v>
      </c>
      <c r="O44">
        <v>76.927333333333394</v>
      </c>
      <c r="P44">
        <v>69.447714285714298</v>
      </c>
      <c r="Q44">
        <v>66.075000000000003</v>
      </c>
      <c r="R44">
        <v>48.368166666666703</v>
      </c>
      <c r="S44">
        <v>78.522400000000005</v>
      </c>
      <c r="T44">
        <v>80.5683333333333</v>
      </c>
      <c r="U44">
        <v>46.756500000000003</v>
      </c>
    </row>
    <row r="45" spans="1:21" x14ac:dyDescent="0.2">
      <c r="A45" t="s">
        <v>435</v>
      </c>
      <c r="B45" t="s">
        <v>36</v>
      </c>
      <c r="C45">
        <v>80.465448047969204</v>
      </c>
      <c r="D45">
        <v>13</v>
      </c>
      <c r="E45">
        <v>99.8215</v>
      </c>
      <c r="F45">
        <v>62.135750000000002</v>
      </c>
      <c r="G45">
        <v>89.851857142857099</v>
      </c>
      <c r="H45">
        <v>92.318666666666701</v>
      </c>
      <c r="I45">
        <v>72.621499999999997</v>
      </c>
      <c r="J45">
        <v>85.343800000000002</v>
      </c>
      <c r="K45">
        <v>73.984250000000003</v>
      </c>
      <c r="L45">
        <v>83.872166666666701</v>
      </c>
      <c r="M45">
        <v>79.326166666666694</v>
      </c>
      <c r="N45">
        <v>100</v>
      </c>
      <c r="O45">
        <v>94.923000000000002</v>
      </c>
      <c r="P45">
        <v>68.779285714285706</v>
      </c>
      <c r="Q45">
        <v>69.046666666666695</v>
      </c>
      <c r="S45">
        <v>92.438999999999993</v>
      </c>
      <c r="T45">
        <v>83.917199999999994</v>
      </c>
      <c r="U45">
        <v>55.8185</v>
      </c>
    </row>
    <row r="46" spans="1:21" x14ac:dyDescent="0.2">
      <c r="A46" t="s">
        <v>27</v>
      </c>
      <c r="B46" t="s">
        <v>28</v>
      </c>
      <c r="C46">
        <v>82.178738935574202</v>
      </c>
      <c r="D46">
        <v>6</v>
      </c>
      <c r="E46">
        <v>99.533500000000004</v>
      </c>
      <c r="F46">
        <v>72.578000000000003</v>
      </c>
      <c r="G46">
        <v>93.777142857142906</v>
      </c>
      <c r="H46">
        <v>97.299666666666695</v>
      </c>
      <c r="I46">
        <v>80.491500000000002</v>
      </c>
      <c r="J46">
        <v>88.549599999999998</v>
      </c>
      <c r="K46">
        <v>76.594750000000005</v>
      </c>
      <c r="L46">
        <v>86.912499999999994</v>
      </c>
      <c r="M46">
        <v>93.431333333333299</v>
      </c>
      <c r="N46">
        <v>89.115499999999997</v>
      </c>
      <c r="O46">
        <v>90.908249999999995</v>
      </c>
      <c r="P46">
        <v>59.360285714285702</v>
      </c>
      <c r="Q46">
        <v>55.581000000000003</v>
      </c>
      <c r="R46">
        <v>67.642333333333298</v>
      </c>
      <c r="S46">
        <v>79.101399999999998</v>
      </c>
      <c r="T46">
        <v>84.189300000000003</v>
      </c>
      <c r="U46">
        <v>81.972499999999997</v>
      </c>
    </row>
    <row r="47" spans="1:21" x14ac:dyDescent="0.2">
      <c r="A47" t="s">
        <v>319</v>
      </c>
      <c r="B47" t="s">
        <v>320</v>
      </c>
      <c r="C47">
        <v>50.313921288515402</v>
      </c>
      <c r="D47">
        <v>155</v>
      </c>
      <c r="E47">
        <v>61.246499999999997</v>
      </c>
      <c r="F47">
        <v>39.1838571428571</v>
      </c>
      <c r="G47">
        <v>52.104071428571402</v>
      </c>
      <c r="H47">
        <v>22.107333333333301</v>
      </c>
      <c r="I47">
        <v>38.027000000000001</v>
      </c>
      <c r="J47">
        <v>57.695599999999999</v>
      </c>
      <c r="K47">
        <v>22.045666666666701</v>
      </c>
      <c r="L47">
        <v>49.056199999999997</v>
      </c>
      <c r="M47">
        <v>27.543600000000001</v>
      </c>
      <c r="N47">
        <v>44.390999999999998</v>
      </c>
      <c r="O47">
        <v>60.03575</v>
      </c>
      <c r="P47">
        <v>94.416833333333301</v>
      </c>
      <c r="Q47">
        <v>87.031666666666695</v>
      </c>
      <c r="R47">
        <v>56.949249999999999</v>
      </c>
      <c r="S47">
        <v>37.9375</v>
      </c>
      <c r="T47">
        <v>56.866500000000002</v>
      </c>
      <c r="U47">
        <v>48.698333333333302</v>
      </c>
    </row>
    <row r="48" spans="1:21" x14ac:dyDescent="0.2">
      <c r="A48" t="s">
        <v>357</v>
      </c>
      <c r="B48" t="s">
        <v>358</v>
      </c>
    </row>
    <row r="49" spans="1:21" x14ac:dyDescent="0.2">
      <c r="A49" t="s">
        <v>25</v>
      </c>
      <c r="B49" t="s">
        <v>26</v>
      </c>
      <c r="C49">
        <v>85.6332992296919</v>
      </c>
      <c r="D49">
        <v>2</v>
      </c>
      <c r="E49">
        <v>99.695999999999998</v>
      </c>
      <c r="F49">
        <v>66.396124999999998</v>
      </c>
      <c r="G49">
        <v>95.428142857142802</v>
      </c>
      <c r="H49">
        <v>97.733999999999995</v>
      </c>
      <c r="I49">
        <v>86.802999999999997</v>
      </c>
      <c r="J49">
        <v>89.819800000000001</v>
      </c>
      <c r="K49">
        <v>88.132499999999993</v>
      </c>
      <c r="L49">
        <v>88.881666666666703</v>
      </c>
      <c r="M49">
        <v>96.407333333333298</v>
      </c>
      <c r="N49">
        <v>98.388999999999996</v>
      </c>
      <c r="O49">
        <v>95.067750000000004</v>
      </c>
      <c r="P49">
        <v>54.807285714285698</v>
      </c>
      <c r="Q49">
        <v>58.536000000000001</v>
      </c>
      <c r="R49">
        <v>71.322333333333304</v>
      </c>
      <c r="S49">
        <v>92.816800000000001</v>
      </c>
      <c r="T49">
        <v>93.255099999999999</v>
      </c>
      <c r="U49">
        <v>82.273250000000004</v>
      </c>
    </row>
    <row r="50" spans="1:21" x14ac:dyDescent="0.2">
      <c r="A50" t="s">
        <v>143</v>
      </c>
      <c r="B50" t="s">
        <v>144</v>
      </c>
      <c r="C50">
        <v>70.761324509803899</v>
      </c>
      <c r="D50">
        <v>68</v>
      </c>
      <c r="E50">
        <v>98.390500000000003</v>
      </c>
      <c r="F50">
        <v>58.89</v>
      </c>
      <c r="G50">
        <v>67.224714285714299</v>
      </c>
      <c r="H50">
        <v>92.222250000000003</v>
      </c>
      <c r="I50">
        <v>71.774249999999995</v>
      </c>
      <c r="J50">
        <v>66.349599999999995</v>
      </c>
      <c r="K50">
        <v>71.600499999999997</v>
      </c>
      <c r="L50">
        <v>69.976333333333301</v>
      </c>
      <c r="M50">
        <v>36.037399999999998</v>
      </c>
      <c r="N50">
        <v>37.343499999999999</v>
      </c>
      <c r="O50">
        <v>83.471000000000004</v>
      </c>
      <c r="P50">
        <v>87.6352857142857</v>
      </c>
      <c r="Q50">
        <v>90.368666666666698</v>
      </c>
      <c r="R50">
        <v>84.206666666666706</v>
      </c>
      <c r="S50">
        <v>75.467600000000004</v>
      </c>
      <c r="T50">
        <v>58.280999999999999</v>
      </c>
      <c r="U50">
        <v>53.703249999999997</v>
      </c>
    </row>
    <row r="51" spans="1:21" x14ac:dyDescent="0.2">
      <c r="A51" t="s">
        <v>161</v>
      </c>
      <c r="B51" t="s">
        <v>162</v>
      </c>
      <c r="C51">
        <v>71.544275630252102</v>
      </c>
      <c r="D51">
        <v>64</v>
      </c>
      <c r="E51">
        <v>97.423000000000002</v>
      </c>
      <c r="F51">
        <v>58.434571428571402</v>
      </c>
      <c r="G51">
        <v>76.132571428571396</v>
      </c>
      <c r="H51">
        <v>87.650499999999994</v>
      </c>
      <c r="I51">
        <v>53.402500000000003</v>
      </c>
      <c r="J51">
        <v>60.372999999999998</v>
      </c>
      <c r="K51">
        <v>65.344999999999999</v>
      </c>
      <c r="L51">
        <v>60.905166666666702</v>
      </c>
      <c r="M51">
        <v>46.577833333333302</v>
      </c>
      <c r="N51">
        <v>97.015000000000001</v>
      </c>
      <c r="O51">
        <v>57.814999999999998</v>
      </c>
      <c r="P51">
        <v>91.355142857142894</v>
      </c>
      <c r="Q51">
        <v>88.5536666666667</v>
      </c>
      <c r="R51">
        <v>63.725666666666697</v>
      </c>
      <c r="S51">
        <v>69.881</v>
      </c>
      <c r="T51">
        <v>72.354399999999998</v>
      </c>
      <c r="U51">
        <v>69.308666666666696</v>
      </c>
    </row>
    <row r="52" spans="1:21" x14ac:dyDescent="0.2">
      <c r="A52" t="s">
        <v>167</v>
      </c>
      <c r="B52" t="s">
        <v>168</v>
      </c>
      <c r="C52">
        <v>71.549773996265202</v>
      </c>
      <c r="D52">
        <v>63</v>
      </c>
      <c r="E52">
        <v>85.459500000000006</v>
      </c>
      <c r="F52">
        <v>56.749250000000004</v>
      </c>
      <c r="G52">
        <v>77.843357142857101</v>
      </c>
      <c r="H52">
        <v>92.426249999999996</v>
      </c>
      <c r="I52">
        <v>76.861500000000007</v>
      </c>
      <c r="J52">
        <v>75.292400000000001</v>
      </c>
      <c r="K52">
        <v>75.699250000000006</v>
      </c>
      <c r="L52">
        <v>67.569666666666706</v>
      </c>
      <c r="M52">
        <v>41.262166666666701</v>
      </c>
      <c r="N52">
        <v>24.585000000000001</v>
      </c>
      <c r="O52">
        <v>87.447000000000003</v>
      </c>
      <c r="P52">
        <v>90.433428571428607</v>
      </c>
      <c r="Q52">
        <v>91.757666666666694</v>
      </c>
      <c r="R52">
        <v>79.262833333333305</v>
      </c>
      <c r="S52">
        <v>59.506</v>
      </c>
      <c r="T52">
        <v>59.626555555555598</v>
      </c>
      <c r="U52">
        <v>74.564333333333295</v>
      </c>
    </row>
    <row r="53" spans="1:21" x14ac:dyDescent="0.2">
      <c r="A53" t="s">
        <v>181</v>
      </c>
      <c r="B53" t="s">
        <v>182</v>
      </c>
      <c r="C53">
        <v>68.664703361344493</v>
      </c>
      <c r="D53">
        <v>87</v>
      </c>
      <c r="E53">
        <v>76.971999999999994</v>
      </c>
      <c r="F53">
        <v>58.995857142857197</v>
      </c>
      <c r="G53">
        <v>70.697928571428605</v>
      </c>
      <c r="H53">
        <v>66.350499999999997</v>
      </c>
      <c r="I53">
        <v>50.960250000000002</v>
      </c>
      <c r="J53">
        <v>67.117999999999995</v>
      </c>
      <c r="K53">
        <v>70.646749999999997</v>
      </c>
      <c r="L53">
        <v>59.847000000000001</v>
      </c>
      <c r="M53">
        <v>51.813333333333297</v>
      </c>
      <c r="N53">
        <v>83.9285</v>
      </c>
      <c r="O53">
        <v>66.277249999999995</v>
      </c>
      <c r="P53">
        <v>92.844571428571399</v>
      </c>
      <c r="Q53">
        <v>95.096333333333305</v>
      </c>
      <c r="R53">
        <v>51.584333333333298</v>
      </c>
      <c r="S53">
        <v>68.560199999999995</v>
      </c>
      <c r="T53">
        <v>76.3459</v>
      </c>
      <c r="U53">
        <v>59.261249999999997</v>
      </c>
    </row>
    <row r="54" spans="1:21" x14ac:dyDescent="0.2">
      <c r="A54" t="s">
        <v>359</v>
      </c>
      <c r="B54" t="s">
        <v>360</v>
      </c>
    </row>
    <row r="55" spans="1:21" x14ac:dyDescent="0.2">
      <c r="A55" t="s">
        <v>51</v>
      </c>
      <c r="B55" t="s">
        <v>52</v>
      </c>
      <c r="C55">
        <v>79.897383182503802</v>
      </c>
      <c r="D55">
        <v>16</v>
      </c>
      <c r="E55">
        <v>98.525000000000006</v>
      </c>
      <c r="F55">
        <v>64.028499999999994</v>
      </c>
      <c r="G55">
        <v>94.950230769230799</v>
      </c>
      <c r="H55">
        <v>95.619</v>
      </c>
      <c r="I55">
        <v>86.719499999999996</v>
      </c>
      <c r="J55">
        <v>87.193799999999996</v>
      </c>
      <c r="K55">
        <v>77.386250000000004</v>
      </c>
      <c r="L55">
        <v>74.074666666666701</v>
      </c>
      <c r="M55">
        <v>87.774666666666704</v>
      </c>
      <c r="N55">
        <v>80.796499999999995</v>
      </c>
      <c r="O55">
        <v>93.102249999999998</v>
      </c>
      <c r="P55">
        <v>72.465000000000003</v>
      </c>
      <c r="Q55">
        <v>76.286333333333303</v>
      </c>
      <c r="R55">
        <v>57.624666666666698</v>
      </c>
      <c r="S55">
        <v>66.553399999999996</v>
      </c>
      <c r="T55">
        <v>83.0505</v>
      </c>
      <c r="U55">
        <v>62.105249999999998</v>
      </c>
    </row>
    <row r="56" spans="1:21" x14ac:dyDescent="0.2">
      <c r="A56" t="s">
        <v>39</v>
      </c>
      <c r="B56" t="s">
        <v>40</v>
      </c>
      <c r="C56">
        <v>80.615920448179295</v>
      </c>
      <c r="D56">
        <v>10</v>
      </c>
      <c r="E56">
        <v>99.963999999999999</v>
      </c>
      <c r="F56">
        <v>63.588250000000002</v>
      </c>
      <c r="G56">
        <v>90.231142857142899</v>
      </c>
      <c r="H56">
        <v>96.001249999999999</v>
      </c>
      <c r="I56">
        <v>77.183250000000001</v>
      </c>
      <c r="J56">
        <v>83.836600000000004</v>
      </c>
      <c r="K56">
        <v>74.453999999999994</v>
      </c>
      <c r="L56">
        <v>83.276166666666697</v>
      </c>
      <c r="M56">
        <v>78.448999999999998</v>
      </c>
      <c r="N56">
        <v>89.8065</v>
      </c>
      <c r="O56">
        <v>91.293750000000003</v>
      </c>
      <c r="P56">
        <v>64.914571428571406</v>
      </c>
      <c r="Q56">
        <v>53.529666666666699</v>
      </c>
      <c r="R56">
        <v>85.201499999999996</v>
      </c>
      <c r="S56">
        <v>96.034199999999998</v>
      </c>
      <c r="T56">
        <v>89.405799999999999</v>
      </c>
      <c r="U56">
        <v>53.301000000000002</v>
      </c>
    </row>
    <row r="57" spans="1:21" x14ac:dyDescent="0.2">
      <c r="A57" t="s">
        <v>307</v>
      </c>
      <c r="B57" t="s">
        <v>308</v>
      </c>
      <c r="C57">
        <v>58.013532874260797</v>
      </c>
      <c r="D57">
        <v>128</v>
      </c>
      <c r="E57">
        <v>70.225999999999999</v>
      </c>
      <c r="F57">
        <v>62.571874999999999</v>
      </c>
      <c r="G57">
        <v>44.698285714285703</v>
      </c>
      <c r="H57">
        <v>37.213749999999997</v>
      </c>
      <c r="I57">
        <v>53.256500000000003</v>
      </c>
      <c r="J57">
        <v>38.688800000000001</v>
      </c>
      <c r="K57">
        <v>57.963999999999999</v>
      </c>
      <c r="L57">
        <v>60.710666666666697</v>
      </c>
      <c r="M57">
        <v>26.405000000000001</v>
      </c>
      <c r="N57">
        <v>71.655000000000001</v>
      </c>
      <c r="O57">
        <v>55.1845</v>
      </c>
      <c r="P57">
        <v>97.403000000000006</v>
      </c>
      <c r="Q57">
        <v>97.661666666666704</v>
      </c>
      <c r="S57">
        <v>58.186</v>
      </c>
      <c r="T57">
        <v>42.200777777777802</v>
      </c>
      <c r="U57">
        <v>44.206249999999997</v>
      </c>
    </row>
    <row r="58" spans="1:21" x14ac:dyDescent="0.2">
      <c r="A58" t="s">
        <v>21</v>
      </c>
      <c r="B58" t="s">
        <v>22</v>
      </c>
      <c r="C58">
        <v>86.508737394958004</v>
      </c>
      <c r="D58">
        <v>1</v>
      </c>
      <c r="E58">
        <v>99.8215</v>
      </c>
      <c r="F58">
        <v>64.173500000000004</v>
      </c>
      <c r="G58">
        <v>94.713499999999996</v>
      </c>
      <c r="H58">
        <v>98.051666666666705</v>
      </c>
      <c r="I58">
        <v>91.077250000000006</v>
      </c>
      <c r="J58">
        <v>93.628200000000007</v>
      </c>
      <c r="K58">
        <v>89.022000000000006</v>
      </c>
      <c r="L58">
        <v>87.662333333333294</v>
      </c>
      <c r="M58">
        <v>94.413333333333298</v>
      </c>
      <c r="N58">
        <v>98.4375</v>
      </c>
      <c r="O58">
        <v>92.045500000000004</v>
      </c>
      <c r="P58">
        <v>70.2482857142857</v>
      </c>
      <c r="Q58">
        <v>60.223333333333301</v>
      </c>
      <c r="R58">
        <v>85.127333333333297</v>
      </c>
      <c r="S58">
        <v>84.988399999999999</v>
      </c>
      <c r="T58">
        <v>94.107399999999998</v>
      </c>
      <c r="U58">
        <v>72.907499999999999</v>
      </c>
    </row>
    <row r="59" spans="1:21" x14ac:dyDescent="0.2">
      <c r="A59" t="s">
        <v>133</v>
      </c>
      <c r="B59" t="s">
        <v>134</v>
      </c>
      <c r="C59">
        <v>72.930283974359</v>
      </c>
      <c r="D59">
        <v>52</v>
      </c>
      <c r="E59">
        <v>90.510499999999993</v>
      </c>
      <c r="F59">
        <v>56.819125</v>
      </c>
      <c r="G59">
        <v>72.106769230769203</v>
      </c>
      <c r="H59">
        <v>98.66</v>
      </c>
      <c r="I59">
        <v>57.983249999999998</v>
      </c>
      <c r="J59">
        <v>73.368250000000003</v>
      </c>
      <c r="K59">
        <v>69.252333333333297</v>
      </c>
      <c r="L59">
        <v>71.296000000000006</v>
      </c>
      <c r="M59">
        <v>53.9086</v>
      </c>
      <c r="N59">
        <v>65.792500000000004</v>
      </c>
      <c r="O59">
        <v>93.456999999999994</v>
      </c>
      <c r="P59">
        <v>86.856800000000007</v>
      </c>
      <c r="Q59">
        <v>96.114999999999995</v>
      </c>
      <c r="R59">
        <v>66.683499999999995</v>
      </c>
      <c r="S59">
        <v>46.735799999999998</v>
      </c>
      <c r="T59">
        <v>79.407399999999996</v>
      </c>
      <c r="U59">
        <v>60.862000000000002</v>
      </c>
    </row>
    <row r="60" spans="1:21" x14ac:dyDescent="0.2">
      <c r="A60" t="s">
        <v>31</v>
      </c>
      <c r="B60" t="s">
        <v>32</v>
      </c>
      <c r="C60">
        <v>81.239405182072801</v>
      </c>
      <c r="D60">
        <v>7</v>
      </c>
      <c r="E60">
        <v>99.695999999999998</v>
      </c>
      <c r="F60">
        <v>73.782749999999993</v>
      </c>
      <c r="G60">
        <v>91.9336428571429</v>
      </c>
      <c r="H60">
        <v>99.732333333333301</v>
      </c>
      <c r="I60">
        <v>87.366</v>
      </c>
      <c r="J60">
        <v>89.662400000000005</v>
      </c>
      <c r="K60">
        <v>76.579499999999996</v>
      </c>
      <c r="L60">
        <v>81.218666666666707</v>
      </c>
      <c r="M60">
        <v>90.112666666666698</v>
      </c>
      <c r="N60">
        <v>87.473500000000001</v>
      </c>
      <c r="O60">
        <v>90.529499999999999</v>
      </c>
      <c r="P60">
        <v>63.943428571428598</v>
      </c>
      <c r="Q60">
        <v>67.258666666666699</v>
      </c>
      <c r="R60">
        <v>63.719833333333298</v>
      </c>
      <c r="S60">
        <v>69.168800000000005</v>
      </c>
      <c r="T60">
        <v>75.472700000000003</v>
      </c>
      <c r="U60">
        <v>73.419499999999999</v>
      </c>
    </row>
    <row r="61" spans="1:21" x14ac:dyDescent="0.2">
      <c r="A61" t="s">
        <v>361</v>
      </c>
      <c r="B61" t="s">
        <v>362</v>
      </c>
    </row>
    <row r="62" spans="1:21" x14ac:dyDescent="0.2">
      <c r="A62" t="s">
        <v>245</v>
      </c>
      <c r="B62" t="s">
        <v>246</v>
      </c>
      <c r="C62">
        <v>62.828131442577103</v>
      </c>
      <c r="D62">
        <v>113</v>
      </c>
      <c r="E62">
        <v>83.912999999999997</v>
      </c>
      <c r="F62">
        <v>52.289285714285697</v>
      </c>
      <c r="G62">
        <v>49.159857142857199</v>
      </c>
      <c r="H62">
        <v>65.842500000000001</v>
      </c>
      <c r="I62">
        <v>46.884999999999998</v>
      </c>
      <c r="J62">
        <v>61.365000000000002</v>
      </c>
      <c r="K62">
        <v>87.164749999999998</v>
      </c>
      <c r="L62">
        <v>60.276400000000002</v>
      </c>
      <c r="M62">
        <v>33.409999999999997</v>
      </c>
      <c r="N62">
        <v>61.805500000000002</v>
      </c>
      <c r="O62">
        <v>54.411000000000001</v>
      </c>
      <c r="P62">
        <v>90.261600000000001</v>
      </c>
      <c r="Q62">
        <v>89.656999999999996</v>
      </c>
      <c r="R62">
        <v>64.043166666666707</v>
      </c>
      <c r="S62">
        <v>82.876800000000003</v>
      </c>
      <c r="T62">
        <v>43.464874999999999</v>
      </c>
      <c r="U62">
        <v>41.252499999999998</v>
      </c>
    </row>
    <row r="63" spans="1:21" x14ac:dyDescent="0.2">
      <c r="A63" t="s">
        <v>41</v>
      </c>
      <c r="B63" t="s">
        <v>42</v>
      </c>
      <c r="C63">
        <v>80.550105381383304</v>
      </c>
      <c r="D63">
        <v>11</v>
      </c>
      <c r="E63">
        <v>99.521000000000001</v>
      </c>
      <c r="F63">
        <v>68.105374999999995</v>
      </c>
      <c r="G63">
        <v>92.537230769230803</v>
      </c>
      <c r="H63">
        <v>99.162000000000006</v>
      </c>
      <c r="I63">
        <v>83.575000000000003</v>
      </c>
      <c r="J63">
        <v>94.330799999999996</v>
      </c>
      <c r="K63">
        <v>75.096999999999994</v>
      </c>
      <c r="L63">
        <v>79.1816666666667</v>
      </c>
      <c r="M63">
        <v>90.121333333333297</v>
      </c>
      <c r="N63">
        <v>68.358500000000006</v>
      </c>
      <c r="O63">
        <v>92.936999999999998</v>
      </c>
      <c r="P63">
        <v>65.678285714285707</v>
      </c>
      <c r="Q63">
        <v>63.651666666666699</v>
      </c>
      <c r="R63">
        <v>75.087333333333305</v>
      </c>
      <c r="S63">
        <v>87.221400000000003</v>
      </c>
      <c r="T63">
        <v>82.1387</v>
      </c>
      <c r="U63">
        <v>52.647500000000001</v>
      </c>
    </row>
    <row r="64" spans="1:21" x14ac:dyDescent="0.2">
      <c r="A64" t="s">
        <v>103</v>
      </c>
      <c r="B64" t="s">
        <v>104</v>
      </c>
      <c r="C64">
        <v>73.353412745097998</v>
      </c>
      <c r="D64">
        <v>51</v>
      </c>
      <c r="E64">
        <v>91.649500000000003</v>
      </c>
      <c r="F64">
        <v>54.525428571428598</v>
      </c>
      <c r="G64">
        <v>74.501999999999995</v>
      </c>
      <c r="H64">
        <v>79.457250000000002</v>
      </c>
      <c r="I64">
        <v>61.484000000000002</v>
      </c>
      <c r="J64">
        <v>82.1922</v>
      </c>
      <c r="K64">
        <v>77.969250000000002</v>
      </c>
      <c r="L64">
        <v>67.436166666666693</v>
      </c>
      <c r="M64">
        <v>44.549500000000002</v>
      </c>
      <c r="N64">
        <v>68.543999999999997</v>
      </c>
      <c r="O64">
        <v>79.685749999999999</v>
      </c>
      <c r="P64">
        <v>90.821571428571403</v>
      </c>
      <c r="Q64">
        <v>90.012</v>
      </c>
      <c r="R64">
        <v>65.468599999999995</v>
      </c>
      <c r="S64">
        <v>68.935000000000002</v>
      </c>
      <c r="T64">
        <v>83.110799999999998</v>
      </c>
      <c r="U64">
        <v>66.665000000000006</v>
      </c>
    </row>
    <row r="65" spans="1:21" x14ac:dyDescent="0.2">
      <c r="A65" t="s">
        <v>263</v>
      </c>
      <c r="B65" t="s">
        <v>264</v>
      </c>
      <c r="C65">
        <v>63.4402763305322</v>
      </c>
      <c r="D65">
        <v>110</v>
      </c>
      <c r="E65">
        <v>70.936499999999995</v>
      </c>
      <c r="F65">
        <v>66.489000000000004</v>
      </c>
      <c r="G65">
        <v>51.524642857142901</v>
      </c>
      <c r="H65">
        <v>84.092250000000007</v>
      </c>
      <c r="I65">
        <v>51.789250000000003</v>
      </c>
      <c r="J65">
        <v>57.681399999999996</v>
      </c>
      <c r="K65">
        <v>67.477500000000006</v>
      </c>
      <c r="L65">
        <v>71.570666666666696</v>
      </c>
      <c r="M65">
        <v>46.846166666666697</v>
      </c>
      <c r="N65">
        <v>35.215000000000003</v>
      </c>
      <c r="O65">
        <v>52.905999999999999</v>
      </c>
      <c r="P65">
        <v>96.794571428571402</v>
      </c>
      <c r="Q65">
        <v>96.031999999999996</v>
      </c>
      <c r="R65">
        <v>45.738500000000002</v>
      </c>
      <c r="S65">
        <v>67.673400000000001</v>
      </c>
      <c r="T65">
        <v>69.461600000000004</v>
      </c>
      <c r="U65">
        <v>46.256250000000001</v>
      </c>
    </row>
    <row r="66" spans="1:21" x14ac:dyDescent="0.2">
      <c r="A66" t="s">
        <v>303</v>
      </c>
      <c r="B66" t="s">
        <v>304</v>
      </c>
      <c r="C66">
        <v>51.2711803454715</v>
      </c>
      <c r="D66">
        <v>152</v>
      </c>
      <c r="E66">
        <v>23.347000000000001</v>
      </c>
      <c r="F66">
        <v>49.711166666666699</v>
      </c>
      <c r="G66">
        <v>31.8180714285714</v>
      </c>
      <c r="H66">
        <v>30.499500000000001</v>
      </c>
      <c r="I66">
        <v>38.819249999999997</v>
      </c>
      <c r="J66">
        <v>51.698999999999998</v>
      </c>
      <c r="K66">
        <v>36.093333333333298</v>
      </c>
      <c r="L66">
        <v>61.992833333333301</v>
      </c>
      <c r="M66">
        <v>7.8878333333333304</v>
      </c>
      <c r="N66">
        <v>77.736500000000007</v>
      </c>
      <c r="O66">
        <v>46.999499999999998</v>
      </c>
      <c r="P66">
        <v>96.925799999999995</v>
      </c>
      <c r="Q66">
        <v>98.143000000000001</v>
      </c>
      <c r="R66">
        <v>58.432166666666703</v>
      </c>
      <c r="S66">
        <v>67.427999999999997</v>
      </c>
      <c r="T66">
        <v>44.583777777777797</v>
      </c>
      <c r="U66">
        <v>49.493333333333297</v>
      </c>
    </row>
    <row r="67" spans="1:21" x14ac:dyDescent="0.2">
      <c r="A67" t="s">
        <v>277</v>
      </c>
      <c r="B67" t="s">
        <v>278</v>
      </c>
      <c r="C67">
        <v>60.165366456582603</v>
      </c>
      <c r="D67">
        <v>122</v>
      </c>
      <c r="E67">
        <v>67.501499999999993</v>
      </c>
      <c r="F67">
        <v>56.988250000000001</v>
      </c>
      <c r="G67">
        <v>48.606071428571397</v>
      </c>
      <c r="H67">
        <v>48.894750000000002</v>
      </c>
      <c r="I67">
        <v>39.825499999999998</v>
      </c>
      <c r="J67">
        <v>59.878799999999998</v>
      </c>
      <c r="K67">
        <v>39.720999999999997</v>
      </c>
      <c r="L67">
        <v>64.464399999999998</v>
      </c>
      <c r="M67">
        <v>15.939166666666701</v>
      </c>
      <c r="N67">
        <v>69.075000000000003</v>
      </c>
      <c r="O67">
        <v>63.869250000000001</v>
      </c>
      <c r="P67">
        <v>97.100666666666697</v>
      </c>
      <c r="Q67">
        <v>98.873666666666693</v>
      </c>
      <c r="R67">
        <v>66.683499999999995</v>
      </c>
      <c r="S67">
        <v>84.025000000000006</v>
      </c>
      <c r="T67">
        <v>55.313375000000001</v>
      </c>
      <c r="U67">
        <v>46.051333333333297</v>
      </c>
    </row>
    <row r="68" spans="1:21" x14ac:dyDescent="0.2">
      <c r="A68" t="s">
        <v>363</v>
      </c>
      <c r="B68" t="s">
        <v>364</v>
      </c>
    </row>
    <row r="69" spans="1:21" x14ac:dyDescent="0.2">
      <c r="A69" t="s">
        <v>365</v>
      </c>
      <c r="B69" t="s">
        <v>366</v>
      </c>
    </row>
    <row r="70" spans="1:21" x14ac:dyDescent="0.2">
      <c r="A70" t="s">
        <v>75</v>
      </c>
      <c r="B70" t="s">
        <v>76</v>
      </c>
      <c r="C70">
        <v>76.805675910364101</v>
      </c>
      <c r="D70">
        <v>32</v>
      </c>
      <c r="E70">
        <v>99.218000000000004</v>
      </c>
      <c r="F70">
        <v>66.363249999999994</v>
      </c>
      <c r="G70">
        <v>90.522785714285703</v>
      </c>
      <c r="H70">
        <v>96.004000000000005</v>
      </c>
      <c r="I70">
        <v>64.838499999999996</v>
      </c>
      <c r="J70">
        <v>88.294399999999996</v>
      </c>
      <c r="K70">
        <v>73.867750000000001</v>
      </c>
      <c r="L70">
        <v>63.429166666666703</v>
      </c>
      <c r="M70">
        <v>75.740333333333297</v>
      </c>
      <c r="N70">
        <v>84.894499999999994</v>
      </c>
      <c r="O70">
        <v>81.113500000000002</v>
      </c>
      <c r="P70">
        <v>69.450571428571394</v>
      </c>
      <c r="Q70">
        <v>76.430000000000007</v>
      </c>
      <c r="R70">
        <v>59.498833333333302</v>
      </c>
      <c r="S70">
        <v>81.183800000000005</v>
      </c>
      <c r="T70">
        <v>76.839100000000002</v>
      </c>
      <c r="U70">
        <v>58.008000000000003</v>
      </c>
    </row>
    <row r="71" spans="1:21" x14ac:dyDescent="0.2">
      <c r="A71" t="s">
        <v>367</v>
      </c>
      <c r="B71" t="s">
        <v>368</v>
      </c>
    </row>
    <row r="72" spans="1:21" x14ac:dyDescent="0.2">
      <c r="A72" t="s">
        <v>273</v>
      </c>
      <c r="B72" t="s">
        <v>274</v>
      </c>
      <c r="C72">
        <v>61.002230322128803</v>
      </c>
      <c r="D72">
        <v>117</v>
      </c>
      <c r="E72">
        <v>76.588999999999999</v>
      </c>
      <c r="F72">
        <v>38.732875</v>
      </c>
      <c r="G72">
        <v>68.7508571428572</v>
      </c>
      <c r="H72">
        <v>71.762749999999997</v>
      </c>
      <c r="I72">
        <v>56.209499999999998</v>
      </c>
      <c r="J72">
        <v>70.378</v>
      </c>
      <c r="K72">
        <v>80.775750000000002</v>
      </c>
      <c r="L72">
        <v>64.819166666666703</v>
      </c>
      <c r="M72">
        <v>15.6503333333333</v>
      </c>
      <c r="N72">
        <v>20.704000000000001</v>
      </c>
      <c r="O72">
        <v>79.558000000000007</v>
      </c>
      <c r="P72">
        <v>93.236000000000004</v>
      </c>
      <c r="Q72">
        <v>95.198666666666696</v>
      </c>
      <c r="R72">
        <v>59.323333333333302</v>
      </c>
      <c r="S72">
        <v>45.882599999999996</v>
      </c>
      <c r="T72">
        <v>51.990333333333297</v>
      </c>
      <c r="U72">
        <v>47.476750000000003</v>
      </c>
    </row>
    <row r="73" spans="1:21" x14ac:dyDescent="0.2">
      <c r="A73" t="s">
        <v>211</v>
      </c>
      <c r="B73" t="s">
        <v>212</v>
      </c>
      <c r="C73">
        <v>63.891455765639598</v>
      </c>
      <c r="D73">
        <v>106</v>
      </c>
      <c r="E73">
        <v>93.921499999999995</v>
      </c>
      <c r="F73">
        <v>68.869749999999996</v>
      </c>
      <c r="G73">
        <v>65.143928571428603</v>
      </c>
      <c r="H73">
        <v>89.279250000000005</v>
      </c>
      <c r="I73">
        <v>65.983249999999998</v>
      </c>
      <c r="J73">
        <v>69.212000000000003</v>
      </c>
      <c r="K73">
        <v>77.369666666666703</v>
      </c>
      <c r="L73">
        <v>56.247999999999998</v>
      </c>
      <c r="M73">
        <v>19.204599999999999</v>
      </c>
      <c r="O73">
        <v>78.461500000000001</v>
      </c>
      <c r="P73">
        <v>68.899600000000007</v>
      </c>
      <c r="Q73">
        <v>89.0625</v>
      </c>
      <c r="R73">
        <v>45.394799999999996</v>
      </c>
      <c r="S73">
        <v>42.46425</v>
      </c>
      <c r="T73">
        <v>63.829111111111096</v>
      </c>
      <c r="U73">
        <v>57.066666666666698</v>
      </c>
    </row>
    <row r="74" spans="1:21" x14ac:dyDescent="0.2">
      <c r="A74" t="s">
        <v>251</v>
      </c>
      <c r="B74" t="s">
        <v>252</v>
      </c>
      <c r="C74">
        <v>63.067973926237201</v>
      </c>
      <c r="D74">
        <v>112</v>
      </c>
      <c r="E74">
        <v>59.807000000000002</v>
      </c>
      <c r="F74">
        <v>53.028874999999999</v>
      </c>
      <c r="G74">
        <v>70.680785714285705</v>
      </c>
      <c r="H74">
        <v>62.919750000000001</v>
      </c>
      <c r="I74">
        <v>62.944749999999999</v>
      </c>
      <c r="J74">
        <v>73.058000000000007</v>
      </c>
      <c r="K74">
        <v>77.975999999999999</v>
      </c>
      <c r="L74">
        <v>60.894833333333303</v>
      </c>
      <c r="M74">
        <v>21.458166666666699</v>
      </c>
      <c r="N74">
        <v>20.844999999999999</v>
      </c>
      <c r="O74">
        <v>80.084000000000003</v>
      </c>
      <c r="P74">
        <v>94.187857142857197</v>
      </c>
      <c r="Q74">
        <v>94.9166666666667</v>
      </c>
      <c r="R74">
        <v>64.162166666666707</v>
      </c>
      <c r="S74">
        <v>70.105400000000003</v>
      </c>
      <c r="T74">
        <v>43.9485555555556</v>
      </c>
      <c r="U74">
        <v>61.137749999999997</v>
      </c>
    </row>
    <row r="75" spans="1:21" x14ac:dyDescent="0.2">
      <c r="A75" t="s">
        <v>43</v>
      </c>
      <c r="B75" t="s">
        <v>44</v>
      </c>
      <c r="C75">
        <v>78.794998646125094</v>
      </c>
      <c r="D75">
        <v>23</v>
      </c>
      <c r="E75">
        <v>99.11</v>
      </c>
      <c r="F75">
        <v>74.995999999999995</v>
      </c>
      <c r="G75">
        <v>87.596500000000006</v>
      </c>
      <c r="H75">
        <v>97.117750000000001</v>
      </c>
      <c r="I75">
        <v>68.135750000000002</v>
      </c>
      <c r="J75">
        <v>83.994200000000006</v>
      </c>
      <c r="K75">
        <v>80.775750000000002</v>
      </c>
      <c r="L75">
        <v>77.634833333333304</v>
      </c>
      <c r="M75">
        <v>65.689499999999995</v>
      </c>
      <c r="N75">
        <v>90.463999999999999</v>
      </c>
      <c r="O75">
        <v>75.396333333333303</v>
      </c>
      <c r="P75">
        <v>75.641571428571396</v>
      </c>
      <c r="Q75">
        <v>80.304333333333304</v>
      </c>
      <c r="R75">
        <v>70.813999999999993</v>
      </c>
      <c r="S75">
        <v>84.433400000000006</v>
      </c>
      <c r="T75">
        <v>76.734555555555502</v>
      </c>
      <c r="U75">
        <v>50.676499999999997</v>
      </c>
    </row>
    <row r="76" spans="1:21" x14ac:dyDescent="0.2">
      <c r="A76" t="s">
        <v>323</v>
      </c>
      <c r="B76" t="s">
        <v>324</v>
      </c>
      <c r="C76">
        <v>51.908938655462201</v>
      </c>
      <c r="D76">
        <v>151</v>
      </c>
      <c r="E76">
        <v>40.322000000000003</v>
      </c>
      <c r="F76">
        <v>42.4561428571429</v>
      </c>
      <c r="G76">
        <v>39.575214285714303</v>
      </c>
      <c r="H76">
        <v>68.966999999999999</v>
      </c>
      <c r="I76">
        <v>40.180250000000001</v>
      </c>
      <c r="J76">
        <v>54.334200000000003</v>
      </c>
      <c r="K76">
        <v>45.846249999999998</v>
      </c>
      <c r="L76">
        <v>52.466833333333298</v>
      </c>
      <c r="M76">
        <v>15.153600000000001</v>
      </c>
      <c r="N76">
        <v>47.250999999999998</v>
      </c>
      <c r="O76">
        <v>31.716999999999999</v>
      </c>
      <c r="P76">
        <v>95.577799999999996</v>
      </c>
      <c r="Q76">
        <v>98.521333333333303</v>
      </c>
      <c r="R76">
        <v>73.225666666666697</v>
      </c>
      <c r="S76">
        <v>48.201999999999998</v>
      </c>
      <c r="T76">
        <v>44.863999999999997</v>
      </c>
      <c r="U76">
        <v>43.7916666666667</v>
      </c>
    </row>
    <row r="77" spans="1:21" x14ac:dyDescent="0.2">
      <c r="A77" t="s">
        <v>63</v>
      </c>
      <c r="B77" t="s">
        <v>64</v>
      </c>
      <c r="C77">
        <v>79.008224728641494</v>
      </c>
      <c r="D77">
        <v>21</v>
      </c>
      <c r="E77">
        <v>99.111999999999995</v>
      </c>
      <c r="F77">
        <v>72.690375000000003</v>
      </c>
      <c r="G77">
        <v>84.034857142857206</v>
      </c>
      <c r="H77">
        <v>91.962249999999997</v>
      </c>
      <c r="I77">
        <v>64.524500000000003</v>
      </c>
      <c r="J77">
        <v>87.851799999999997</v>
      </c>
      <c r="K77">
        <v>72.741500000000002</v>
      </c>
      <c r="L77">
        <v>80.281499999999994</v>
      </c>
      <c r="M77">
        <v>74.851333333333301</v>
      </c>
      <c r="N77">
        <v>93.292500000000004</v>
      </c>
      <c r="O77">
        <v>88.495000000000005</v>
      </c>
      <c r="P77">
        <v>82.320714285714303</v>
      </c>
      <c r="Q77">
        <v>72.392333333333298</v>
      </c>
      <c r="S77">
        <v>85.769199999999998</v>
      </c>
      <c r="T77">
        <v>76.184899999999999</v>
      </c>
      <c r="U77">
        <v>52.921750000000003</v>
      </c>
    </row>
    <row r="78" spans="1:21" x14ac:dyDescent="0.2">
      <c r="A78" t="s">
        <v>169</v>
      </c>
      <c r="B78" t="s">
        <v>170</v>
      </c>
      <c r="C78">
        <v>69.162250163398696</v>
      </c>
      <c r="D78">
        <v>82</v>
      </c>
      <c r="E78">
        <v>80.3</v>
      </c>
      <c r="F78">
        <v>65.623874999999998</v>
      </c>
      <c r="G78">
        <v>65.812571428571502</v>
      </c>
      <c r="H78">
        <v>92.183499999999995</v>
      </c>
      <c r="I78">
        <v>62.772750000000002</v>
      </c>
      <c r="J78">
        <v>70.085400000000007</v>
      </c>
      <c r="K78">
        <v>72.128249999999994</v>
      </c>
      <c r="L78">
        <v>72.646333333333303</v>
      </c>
      <c r="M78">
        <v>44.382666666666701</v>
      </c>
      <c r="N78">
        <v>57.835500000000003</v>
      </c>
      <c r="O78">
        <v>71.880750000000006</v>
      </c>
      <c r="P78">
        <v>92.105428571428604</v>
      </c>
      <c r="Q78">
        <v>92.137666666666703</v>
      </c>
      <c r="R78">
        <v>63.957833333333298</v>
      </c>
      <c r="S78">
        <v>50.836199999999998</v>
      </c>
      <c r="T78">
        <v>71.272777777777804</v>
      </c>
      <c r="U78">
        <v>49.796750000000003</v>
      </c>
    </row>
    <row r="79" spans="1:21" x14ac:dyDescent="0.2">
      <c r="A79" t="s">
        <v>243</v>
      </c>
      <c r="B79" t="s">
        <v>244</v>
      </c>
      <c r="C79">
        <v>60.317517997198898</v>
      </c>
      <c r="D79">
        <v>121</v>
      </c>
      <c r="E79">
        <v>61.27</v>
      </c>
      <c r="F79">
        <v>52.044125000000001</v>
      </c>
      <c r="G79">
        <v>62.275142857142903</v>
      </c>
      <c r="H79">
        <v>82.913499999999999</v>
      </c>
      <c r="I79">
        <v>33.89425</v>
      </c>
      <c r="J79">
        <v>58.575000000000003</v>
      </c>
      <c r="K79">
        <v>68.736249999999998</v>
      </c>
      <c r="L79">
        <v>70.146500000000003</v>
      </c>
      <c r="M79">
        <v>44.665500000000002</v>
      </c>
      <c r="N79">
        <v>38.450499999999998</v>
      </c>
      <c r="O79">
        <v>50.341250000000002</v>
      </c>
      <c r="P79">
        <v>96.200571428571394</v>
      </c>
      <c r="Q79">
        <v>96.217333333333301</v>
      </c>
      <c r="R79">
        <v>54.5073333333333</v>
      </c>
      <c r="S79">
        <v>50.628799999999998</v>
      </c>
      <c r="T79">
        <v>54.347000000000001</v>
      </c>
      <c r="U79">
        <v>50.184750000000001</v>
      </c>
    </row>
    <row r="80" spans="1:21" x14ac:dyDescent="0.2">
      <c r="A80" t="s">
        <v>53</v>
      </c>
      <c r="B80" t="s">
        <v>54</v>
      </c>
      <c r="C80">
        <v>80.662983193277299</v>
      </c>
      <c r="D80">
        <v>9</v>
      </c>
      <c r="E80">
        <v>99.787999999999997</v>
      </c>
      <c r="F80">
        <v>76.155500000000004</v>
      </c>
      <c r="G80">
        <v>94.505928571428598</v>
      </c>
      <c r="H80">
        <v>99.828666666666706</v>
      </c>
      <c r="I80">
        <v>76.410749999999993</v>
      </c>
      <c r="J80">
        <v>85.644599999999997</v>
      </c>
      <c r="K80">
        <v>74.744</v>
      </c>
      <c r="L80">
        <v>89.215333333333305</v>
      </c>
      <c r="M80">
        <v>83.291333333333299</v>
      </c>
      <c r="N80">
        <v>89.194500000000005</v>
      </c>
      <c r="O80">
        <v>89.971999999999994</v>
      </c>
      <c r="P80">
        <v>57.4312857142857</v>
      </c>
      <c r="Q80">
        <v>55.387999999999998</v>
      </c>
      <c r="R80">
        <v>72.364166666666705</v>
      </c>
      <c r="S80">
        <v>88.088200000000001</v>
      </c>
      <c r="T80">
        <v>88.517700000000005</v>
      </c>
      <c r="U80">
        <v>50.73075</v>
      </c>
    </row>
    <row r="81" spans="1:21" x14ac:dyDescent="0.2">
      <c r="A81" t="s">
        <v>191</v>
      </c>
      <c r="B81" t="s">
        <v>192</v>
      </c>
      <c r="C81">
        <v>68.587599579831902</v>
      </c>
      <c r="D81">
        <v>88</v>
      </c>
      <c r="E81">
        <v>97.418000000000006</v>
      </c>
      <c r="F81">
        <v>63.391624999999998</v>
      </c>
      <c r="G81">
        <v>80.293142857142897</v>
      </c>
      <c r="H81">
        <v>77.097999999999999</v>
      </c>
      <c r="I81">
        <v>42.322499999999998</v>
      </c>
      <c r="J81">
        <v>60.991199999999999</v>
      </c>
      <c r="K81">
        <v>64.319000000000003</v>
      </c>
      <c r="L81">
        <v>52.331499999999998</v>
      </c>
      <c r="M81">
        <v>66.410166666666697</v>
      </c>
      <c r="N81">
        <v>47.327500000000001</v>
      </c>
      <c r="O81">
        <v>74.262500000000003</v>
      </c>
      <c r="P81">
        <v>89.995000000000005</v>
      </c>
      <c r="Q81">
        <v>78.927666666666696</v>
      </c>
      <c r="R81">
        <v>80.765166666666701</v>
      </c>
      <c r="S81">
        <v>67.495599999999996</v>
      </c>
      <c r="T81">
        <v>62.622875000000001</v>
      </c>
      <c r="U81">
        <v>60.017749999999999</v>
      </c>
    </row>
    <row r="82" spans="1:21" x14ac:dyDescent="0.2">
      <c r="A82" t="s">
        <v>229</v>
      </c>
      <c r="B82" t="s">
        <v>230</v>
      </c>
      <c r="C82">
        <v>62.252572128851597</v>
      </c>
      <c r="D82">
        <v>115</v>
      </c>
      <c r="E82">
        <v>71.388000000000005</v>
      </c>
      <c r="F82">
        <v>47.319285714285698</v>
      </c>
      <c r="G82">
        <v>63.146214285714301</v>
      </c>
      <c r="H82">
        <v>52.405500000000004</v>
      </c>
      <c r="I82">
        <v>35.915500000000002</v>
      </c>
      <c r="J82">
        <v>73.936999999999998</v>
      </c>
      <c r="K82">
        <v>64.058499999999995</v>
      </c>
      <c r="L82">
        <v>49.597000000000001</v>
      </c>
      <c r="M82">
        <v>33.6011666666667</v>
      </c>
      <c r="N82">
        <v>91.495500000000007</v>
      </c>
      <c r="O82">
        <v>55.544750000000001</v>
      </c>
      <c r="P82">
        <v>88.671333333333294</v>
      </c>
      <c r="Q82">
        <v>81.676500000000004</v>
      </c>
      <c r="R82">
        <v>60.558</v>
      </c>
      <c r="S82">
        <v>52.533000000000001</v>
      </c>
      <c r="T82">
        <v>67.241142857142904</v>
      </c>
      <c r="U82">
        <v>69.2053333333333</v>
      </c>
    </row>
    <row r="83" spans="1:21" x14ac:dyDescent="0.2">
      <c r="A83" t="s">
        <v>77</v>
      </c>
      <c r="B83" t="s">
        <v>78</v>
      </c>
      <c r="C83">
        <v>78.868054575163399</v>
      </c>
      <c r="D83">
        <v>22</v>
      </c>
      <c r="E83">
        <v>99.831000000000003</v>
      </c>
      <c r="F83">
        <v>58.2358571428571</v>
      </c>
      <c r="G83">
        <v>96.904785714285694</v>
      </c>
      <c r="H83">
        <v>97.295000000000002</v>
      </c>
      <c r="I83">
        <v>85.415666666666695</v>
      </c>
      <c r="J83">
        <v>62.826599999999999</v>
      </c>
      <c r="K83">
        <v>99.555000000000007</v>
      </c>
      <c r="L83">
        <v>76.547250000000005</v>
      </c>
      <c r="M83">
        <v>85.955166666666699</v>
      </c>
      <c r="N83">
        <v>100</v>
      </c>
      <c r="O83">
        <v>90.421999999999997</v>
      </c>
      <c r="P83">
        <v>51.633857142857202</v>
      </c>
      <c r="Q83">
        <v>52.326666666666704</v>
      </c>
      <c r="R83">
        <v>62.928800000000003</v>
      </c>
      <c r="S83">
        <v>54.295749999999998</v>
      </c>
      <c r="T83">
        <v>94.469777777777793</v>
      </c>
      <c r="U83">
        <v>72.113749999999996</v>
      </c>
    </row>
    <row r="84" spans="1:21" x14ac:dyDescent="0.2">
      <c r="A84" t="s">
        <v>115</v>
      </c>
      <c r="B84" t="s">
        <v>116</v>
      </c>
      <c r="C84">
        <v>73.505148692810494</v>
      </c>
      <c r="D84">
        <v>49</v>
      </c>
      <c r="E84">
        <v>99.256500000000003</v>
      </c>
      <c r="F84">
        <v>61.954250000000002</v>
      </c>
      <c r="G84">
        <v>95.188000000000002</v>
      </c>
      <c r="H84">
        <v>99.516333333333293</v>
      </c>
      <c r="I84">
        <v>75.344250000000002</v>
      </c>
      <c r="J84">
        <v>69.782200000000003</v>
      </c>
      <c r="K84">
        <v>70.91</v>
      </c>
      <c r="L84">
        <v>82.382999999999996</v>
      </c>
      <c r="M84">
        <v>93.821666666666701</v>
      </c>
      <c r="N84">
        <v>68.802999999999997</v>
      </c>
      <c r="O84">
        <v>87.872749999999996</v>
      </c>
      <c r="P84">
        <v>70.882999999999996</v>
      </c>
      <c r="Q84">
        <v>57.447000000000003</v>
      </c>
      <c r="R84">
        <v>32.401000000000003</v>
      </c>
      <c r="S84">
        <v>49.729799999999997</v>
      </c>
      <c r="T84">
        <v>73.252777777777794</v>
      </c>
      <c r="U84">
        <v>61.042000000000002</v>
      </c>
    </row>
    <row r="85" spans="1:21" x14ac:dyDescent="0.2">
      <c r="A85" t="s">
        <v>67</v>
      </c>
      <c r="B85" t="s">
        <v>68</v>
      </c>
      <c r="C85">
        <v>78.337419047619093</v>
      </c>
      <c r="D85">
        <v>25</v>
      </c>
      <c r="E85">
        <v>98.112499999999997</v>
      </c>
      <c r="F85">
        <v>71.017750000000007</v>
      </c>
      <c r="G85">
        <v>94.088714285714303</v>
      </c>
      <c r="H85">
        <v>94.07</v>
      </c>
      <c r="I85">
        <v>73.406750000000002</v>
      </c>
      <c r="J85">
        <v>82.2684</v>
      </c>
      <c r="K85">
        <v>78.21275</v>
      </c>
      <c r="L85">
        <v>74.443833333333302</v>
      </c>
      <c r="M85">
        <v>83.254833333333295</v>
      </c>
      <c r="N85">
        <v>76.918999999999997</v>
      </c>
      <c r="O85">
        <v>73.558000000000007</v>
      </c>
      <c r="P85">
        <v>75.936142857142897</v>
      </c>
      <c r="Q85">
        <v>76.317999999999998</v>
      </c>
      <c r="R85">
        <v>56.697499999999998</v>
      </c>
      <c r="S85">
        <v>79.745000000000005</v>
      </c>
      <c r="T85">
        <v>78.655199999999994</v>
      </c>
      <c r="U85">
        <v>65.031750000000002</v>
      </c>
    </row>
    <row r="86" spans="1:21" x14ac:dyDescent="0.2">
      <c r="A86" t="s">
        <v>183</v>
      </c>
      <c r="B86" t="s">
        <v>184</v>
      </c>
      <c r="C86">
        <v>69.015958193277299</v>
      </c>
      <c r="D86">
        <v>83</v>
      </c>
      <c r="E86">
        <v>84.290999999999997</v>
      </c>
      <c r="F86">
        <v>55.550125000000001</v>
      </c>
      <c r="G86">
        <v>79.107428571428599</v>
      </c>
      <c r="H86">
        <v>81.116249999999994</v>
      </c>
      <c r="I86">
        <v>77.583250000000007</v>
      </c>
      <c r="J86">
        <v>70.688199999999995</v>
      </c>
      <c r="K86">
        <v>65.127750000000006</v>
      </c>
      <c r="L86">
        <v>72.284833333333296</v>
      </c>
      <c r="M86">
        <v>42.508666666666699</v>
      </c>
      <c r="N86">
        <v>49.295999999999999</v>
      </c>
      <c r="O86">
        <v>68.305999999999997</v>
      </c>
      <c r="P86">
        <v>87.555285714285702</v>
      </c>
      <c r="Q86">
        <v>89.5476666666667</v>
      </c>
      <c r="R86">
        <v>66.266333333333293</v>
      </c>
      <c r="S86">
        <v>50.045400000000001</v>
      </c>
      <c r="T86">
        <v>66.156099999999995</v>
      </c>
      <c r="U86">
        <v>67.840999999999994</v>
      </c>
    </row>
    <row r="87" spans="1:21" x14ac:dyDescent="0.2">
      <c r="A87" t="s">
        <v>173</v>
      </c>
      <c r="B87" t="s">
        <v>174</v>
      </c>
      <c r="C87">
        <v>69.411817997198895</v>
      </c>
      <c r="D87">
        <v>80</v>
      </c>
      <c r="E87">
        <v>98.9375</v>
      </c>
      <c r="F87">
        <v>59.259124999999997</v>
      </c>
      <c r="G87">
        <v>75.007785714285703</v>
      </c>
      <c r="H87">
        <v>59.204250000000002</v>
      </c>
      <c r="I87">
        <v>40.594999999999999</v>
      </c>
      <c r="J87">
        <v>58.089799999999997</v>
      </c>
      <c r="K87">
        <v>72.5</v>
      </c>
      <c r="L87">
        <v>57.594833333333298</v>
      </c>
      <c r="M87">
        <v>55.514166666666704</v>
      </c>
      <c r="N87">
        <v>77.049000000000007</v>
      </c>
      <c r="O87">
        <v>75.206999999999994</v>
      </c>
      <c r="P87">
        <v>91.510428571428605</v>
      </c>
      <c r="Q87">
        <v>89.127666666666698</v>
      </c>
      <c r="R87">
        <v>78.98</v>
      </c>
      <c r="S87">
        <v>55.186500000000002</v>
      </c>
      <c r="T87">
        <v>77.414599999999993</v>
      </c>
      <c r="U87">
        <v>58.823250000000002</v>
      </c>
    </row>
    <row r="88" spans="1:21" x14ac:dyDescent="0.2">
      <c r="A88" t="s">
        <v>61</v>
      </c>
      <c r="B88" t="s">
        <v>62</v>
      </c>
      <c r="C88">
        <v>79.581691176470599</v>
      </c>
      <c r="D88">
        <v>19</v>
      </c>
      <c r="E88">
        <v>99.229500000000002</v>
      </c>
      <c r="F88">
        <v>75.309250000000006</v>
      </c>
      <c r="G88">
        <v>94.756785714285698</v>
      </c>
      <c r="H88">
        <v>97.606999999999999</v>
      </c>
      <c r="I88">
        <v>61.607750000000003</v>
      </c>
      <c r="J88">
        <v>85.892799999999994</v>
      </c>
      <c r="K88">
        <v>72.055499999999995</v>
      </c>
      <c r="L88">
        <v>86.756833333333404</v>
      </c>
      <c r="M88">
        <v>93.738333333333301</v>
      </c>
      <c r="N88">
        <v>80.519499999999994</v>
      </c>
      <c r="O88">
        <v>86.915000000000006</v>
      </c>
      <c r="P88">
        <v>67.259714285714296</v>
      </c>
      <c r="Q88">
        <v>69.124666666666698</v>
      </c>
      <c r="R88">
        <v>55.108166666666698</v>
      </c>
      <c r="S88">
        <v>63.863</v>
      </c>
      <c r="T88">
        <v>90.359200000000001</v>
      </c>
      <c r="U88">
        <v>72.785749999999993</v>
      </c>
    </row>
    <row r="89" spans="1:21" x14ac:dyDescent="0.2">
      <c r="A89" t="s">
        <v>151</v>
      </c>
      <c r="B89" t="s">
        <v>152</v>
      </c>
      <c r="C89">
        <v>71.1359472901282</v>
      </c>
      <c r="D89">
        <v>65</v>
      </c>
      <c r="E89">
        <v>99.960999999999999</v>
      </c>
      <c r="F89">
        <v>59.170124999999999</v>
      </c>
      <c r="G89">
        <v>80.255428571428595</v>
      </c>
      <c r="H89">
        <v>86.190749999999994</v>
      </c>
      <c r="I89">
        <v>71.562250000000006</v>
      </c>
      <c r="J89">
        <v>75.132599999999996</v>
      </c>
      <c r="K89">
        <v>62.997999999999998</v>
      </c>
      <c r="L89">
        <v>71.113833333333304</v>
      </c>
      <c r="M89">
        <v>46.426000000000002</v>
      </c>
      <c r="N89">
        <v>96.983500000000006</v>
      </c>
      <c r="O89">
        <v>78.781999999999996</v>
      </c>
      <c r="P89">
        <v>85.343285714285699</v>
      </c>
      <c r="Q89">
        <v>52.645333333333298</v>
      </c>
      <c r="S89">
        <v>57.315600000000003</v>
      </c>
      <c r="T89">
        <v>68.726222222222205</v>
      </c>
      <c r="U89">
        <v>54.515500000000003</v>
      </c>
    </row>
    <row r="90" spans="1:21" x14ac:dyDescent="0.2">
      <c r="A90" t="s">
        <v>265</v>
      </c>
      <c r="B90" t="s">
        <v>266</v>
      </c>
      <c r="C90">
        <v>60.9574797385621</v>
      </c>
      <c r="D90">
        <v>118</v>
      </c>
      <c r="E90">
        <v>45.471499999999999</v>
      </c>
      <c r="F90">
        <v>56.941249999999997</v>
      </c>
      <c r="G90">
        <v>51.480357142857201</v>
      </c>
      <c r="H90">
        <v>57.286000000000001</v>
      </c>
      <c r="I90">
        <v>68.6995</v>
      </c>
      <c r="J90">
        <v>46.762</v>
      </c>
      <c r="K90">
        <v>64.637249999999995</v>
      </c>
      <c r="L90">
        <v>70.081000000000003</v>
      </c>
      <c r="M90">
        <v>36.332333333333303</v>
      </c>
      <c r="N90">
        <v>49.548999999999999</v>
      </c>
      <c r="O90">
        <v>57.335250000000002</v>
      </c>
      <c r="P90">
        <v>95.863142857142904</v>
      </c>
      <c r="Q90">
        <v>98.146000000000001</v>
      </c>
      <c r="R90">
        <v>71.675833333333301</v>
      </c>
      <c r="S90">
        <v>59.040599999999998</v>
      </c>
      <c r="T90">
        <v>57.104888888888901</v>
      </c>
      <c r="U90">
        <v>49.871250000000003</v>
      </c>
    </row>
    <row r="91" spans="1:21" x14ac:dyDescent="0.2">
      <c r="A91" t="s">
        <v>109</v>
      </c>
      <c r="B91" t="s">
        <v>110</v>
      </c>
      <c r="C91">
        <v>73.723342551566105</v>
      </c>
      <c r="D91">
        <v>48</v>
      </c>
      <c r="E91">
        <v>85.694000000000003</v>
      </c>
      <c r="F91">
        <v>61.6164285714286</v>
      </c>
      <c r="G91">
        <v>74.837500000000006</v>
      </c>
      <c r="H91">
        <v>94.858500000000006</v>
      </c>
      <c r="I91">
        <v>58.907249999999998</v>
      </c>
      <c r="J91">
        <v>66.467399999999998</v>
      </c>
      <c r="K91">
        <v>80.008750000000006</v>
      </c>
      <c r="L91">
        <v>61.195333333333302</v>
      </c>
      <c r="M91">
        <v>32.392499999999998</v>
      </c>
      <c r="N91">
        <v>93.495000000000005</v>
      </c>
      <c r="O91">
        <v>85.107249999999993</v>
      </c>
      <c r="P91">
        <v>94.878285714285695</v>
      </c>
      <c r="Q91">
        <v>93.186000000000007</v>
      </c>
      <c r="S91">
        <v>70.873000000000005</v>
      </c>
      <c r="T91">
        <v>67.526200000000003</v>
      </c>
      <c r="U91">
        <v>70.063749999999999</v>
      </c>
    </row>
    <row r="92" spans="1:21" x14ac:dyDescent="0.2">
      <c r="A92" t="s">
        <v>225</v>
      </c>
      <c r="B92" t="s">
        <v>226</v>
      </c>
      <c r="C92">
        <v>63.753397776610598</v>
      </c>
      <c r="D92">
        <v>107</v>
      </c>
      <c r="E92">
        <v>73.484499999999997</v>
      </c>
      <c r="F92">
        <v>66.332374999999999</v>
      </c>
      <c r="G92">
        <v>63.3698571428571</v>
      </c>
      <c r="H92">
        <v>66.464250000000007</v>
      </c>
      <c r="I92">
        <v>55.15</v>
      </c>
      <c r="J92">
        <v>62.851199999999999</v>
      </c>
      <c r="K92">
        <v>71.176000000000002</v>
      </c>
      <c r="L92">
        <v>55.488666666666703</v>
      </c>
      <c r="M92">
        <v>26.400833333333299</v>
      </c>
      <c r="O92">
        <v>71.103499999999997</v>
      </c>
      <c r="P92">
        <v>96.786857142857102</v>
      </c>
      <c r="Q92">
        <v>94.315333333333299</v>
      </c>
      <c r="R92">
        <v>54.986333333333299</v>
      </c>
      <c r="S92">
        <v>48.989600000000003</v>
      </c>
      <c r="T92">
        <v>60.074800000000003</v>
      </c>
      <c r="U92">
        <v>52.4985</v>
      </c>
    </row>
    <row r="93" spans="1:21" x14ac:dyDescent="0.2">
      <c r="A93" t="s">
        <v>369</v>
      </c>
      <c r="B93" t="s">
        <v>370</v>
      </c>
    </row>
    <row r="94" spans="1:21" x14ac:dyDescent="0.2">
      <c r="A94" t="s">
        <v>371</v>
      </c>
      <c r="B94" t="s">
        <v>372</v>
      </c>
    </row>
    <row r="95" spans="1:21" x14ac:dyDescent="0.2">
      <c r="A95" t="s">
        <v>81</v>
      </c>
      <c r="B95" t="s">
        <v>82</v>
      </c>
      <c r="C95">
        <v>77.895219164332403</v>
      </c>
      <c r="D95">
        <v>27</v>
      </c>
      <c r="E95">
        <v>99.3125</v>
      </c>
      <c r="F95">
        <v>82.463374999999999</v>
      </c>
      <c r="G95">
        <v>92.027928571428603</v>
      </c>
      <c r="H95">
        <v>94.869749999999996</v>
      </c>
      <c r="I95">
        <v>65.193250000000006</v>
      </c>
      <c r="J95">
        <v>74.840800000000002</v>
      </c>
      <c r="K95">
        <v>70.427999999999997</v>
      </c>
      <c r="L95">
        <v>83.1666666666667</v>
      </c>
      <c r="M95">
        <v>98.843666666666707</v>
      </c>
      <c r="N95">
        <v>80.132000000000005</v>
      </c>
      <c r="O95">
        <v>88.655666666666704</v>
      </c>
      <c r="P95">
        <v>78.888000000000005</v>
      </c>
      <c r="Q95">
        <v>65.885000000000005</v>
      </c>
      <c r="R95">
        <v>53.210166666666701</v>
      </c>
      <c r="S95">
        <v>54.601399999999998</v>
      </c>
      <c r="T95">
        <v>78.492555555555597</v>
      </c>
      <c r="U95">
        <v>63.207999999999998</v>
      </c>
    </row>
    <row r="96" spans="1:21" x14ac:dyDescent="0.2">
      <c r="A96" t="s">
        <v>235</v>
      </c>
      <c r="B96" t="s">
        <v>236</v>
      </c>
      <c r="C96">
        <v>64.5309470460912</v>
      </c>
      <c r="D96">
        <v>101</v>
      </c>
      <c r="F96">
        <v>70.010249999999999</v>
      </c>
      <c r="G96">
        <v>83.889785714285694</v>
      </c>
      <c r="H96">
        <v>84.024000000000001</v>
      </c>
      <c r="I96">
        <v>53.599499999999999</v>
      </c>
      <c r="J96">
        <v>57.019399999999997</v>
      </c>
      <c r="K96">
        <v>68.809250000000006</v>
      </c>
      <c r="L96">
        <v>55.648249999999997</v>
      </c>
      <c r="M96">
        <v>61.707999999999998</v>
      </c>
      <c r="O96">
        <v>48.753500000000003</v>
      </c>
      <c r="P96">
        <v>63.749285714285698</v>
      </c>
      <c r="Q96">
        <v>20.280666666666701</v>
      </c>
      <c r="R96">
        <v>51.447400000000002</v>
      </c>
      <c r="S96">
        <v>52.753333333333302</v>
      </c>
      <c r="T96">
        <v>79.944857142857103</v>
      </c>
      <c r="U96">
        <v>75.945666666666696</v>
      </c>
    </row>
    <row r="97" spans="1:21" x14ac:dyDescent="0.2">
      <c r="A97" t="s">
        <v>249</v>
      </c>
      <c r="B97" t="s">
        <v>250</v>
      </c>
      <c r="C97">
        <v>63.392735158730197</v>
      </c>
      <c r="D97">
        <v>111</v>
      </c>
      <c r="E97">
        <v>57.194499999999998</v>
      </c>
      <c r="F97">
        <v>61.336374999999997</v>
      </c>
      <c r="G97">
        <v>53.456214285714303</v>
      </c>
      <c r="H97">
        <v>69.187250000000006</v>
      </c>
      <c r="I97">
        <v>72.858500000000006</v>
      </c>
      <c r="J97">
        <v>69.163600000000002</v>
      </c>
      <c r="K97">
        <v>73.017750000000007</v>
      </c>
      <c r="L97">
        <v>69.4846</v>
      </c>
      <c r="M97">
        <v>20.483333333333299</v>
      </c>
      <c r="N97">
        <v>63.459499999999998</v>
      </c>
      <c r="O97">
        <v>77.328749999999999</v>
      </c>
      <c r="P97">
        <v>95.975714285714304</v>
      </c>
      <c r="Q97">
        <v>88.273666666666699</v>
      </c>
      <c r="S97">
        <v>45.462200000000003</v>
      </c>
      <c r="T97">
        <v>45.703428571428603</v>
      </c>
      <c r="U97">
        <v>54.934333333333299</v>
      </c>
    </row>
    <row r="98" spans="1:21" x14ac:dyDescent="0.2">
      <c r="A98" t="s">
        <v>209</v>
      </c>
      <c r="B98" t="s">
        <v>210</v>
      </c>
      <c r="C98">
        <v>66.299341526610704</v>
      </c>
      <c r="D98">
        <v>97</v>
      </c>
      <c r="E98">
        <v>99.506500000000003</v>
      </c>
      <c r="F98">
        <v>56.177124999999997</v>
      </c>
      <c r="G98">
        <v>75.0667857142857</v>
      </c>
      <c r="H98">
        <v>99.546999999999997</v>
      </c>
      <c r="I98">
        <v>41.794249999999998</v>
      </c>
      <c r="J98">
        <v>68.4422</v>
      </c>
      <c r="K98">
        <v>62.057333333333297</v>
      </c>
      <c r="L98">
        <v>52.119</v>
      </c>
      <c r="M98">
        <v>58.471600000000002</v>
      </c>
      <c r="N98">
        <v>84.4435</v>
      </c>
      <c r="O98">
        <v>40.625999999999998</v>
      </c>
      <c r="P98">
        <v>87.1284285714286</v>
      </c>
      <c r="Q98">
        <v>85.471000000000004</v>
      </c>
      <c r="R98">
        <v>59.242800000000003</v>
      </c>
      <c r="S98">
        <v>62.105200000000004</v>
      </c>
      <c r="T98">
        <v>55.565333333333299</v>
      </c>
      <c r="U98">
        <v>39.324750000000002</v>
      </c>
    </row>
    <row r="99" spans="1:21" x14ac:dyDescent="0.2">
      <c r="A99" t="s">
        <v>333</v>
      </c>
      <c r="B99" t="s">
        <v>334</v>
      </c>
      <c r="C99">
        <v>49.891075210083997</v>
      </c>
      <c r="D99">
        <v>158</v>
      </c>
      <c r="E99">
        <v>21.204999999999998</v>
      </c>
      <c r="F99">
        <v>45.977428571428597</v>
      </c>
      <c r="G99">
        <v>38.688499999999998</v>
      </c>
      <c r="H99">
        <v>42.932499999999997</v>
      </c>
      <c r="I99">
        <v>39.922249999999998</v>
      </c>
      <c r="J99">
        <v>53.002000000000002</v>
      </c>
      <c r="K99">
        <v>17.751000000000001</v>
      </c>
      <c r="L99">
        <v>58.054833333333299</v>
      </c>
      <c r="M99">
        <v>7.6971666666666696</v>
      </c>
      <c r="N99">
        <v>72.107500000000002</v>
      </c>
      <c r="O99">
        <v>28.239000000000001</v>
      </c>
      <c r="P99">
        <v>97.712000000000003</v>
      </c>
      <c r="Q99">
        <v>98.584999999999994</v>
      </c>
      <c r="R99">
        <v>83.066000000000003</v>
      </c>
      <c r="S99">
        <v>46.238199999999999</v>
      </c>
      <c r="T99">
        <v>49.5929</v>
      </c>
      <c r="U99">
        <v>47.377000000000002</v>
      </c>
    </row>
    <row r="100" spans="1:21" x14ac:dyDescent="0.2">
      <c r="A100" t="s">
        <v>373</v>
      </c>
      <c r="B100" t="s">
        <v>374</v>
      </c>
    </row>
    <row r="101" spans="1:21" x14ac:dyDescent="0.2">
      <c r="A101" t="s">
        <v>375</v>
      </c>
      <c r="B101" t="s">
        <v>376</v>
      </c>
    </row>
    <row r="102" spans="1:21" x14ac:dyDescent="0.2">
      <c r="A102" t="s">
        <v>377</v>
      </c>
      <c r="B102" t="s">
        <v>378</v>
      </c>
    </row>
    <row r="103" spans="1:21" x14ac:dyDescent="0.2">
      <c r="A103" t="s">
        <v>185</v>
      </c>
      <c r="B103" t="s">
        <v>186</v>
      </c>
      <c r="C103">
        <v>70.033275980392204</v>
      </c>
      <c r="D103">
        <v>76</v>
      </c>
      <c r="E103">
        <v>92.646000000000001</v>
      </c>
      <c r="F103">
        <v>62.431375000000003</v>
      </c>
      <c r="G103">
        <v>78.789500000000004</v>
      </c>
      <c r="H103">
        <v>98.155000000000001</v>
      </c>
      <c r="I103">
        <v>51.860999999999997</v>
      </c>
      <c r="J103">
        <v>50.194000000000003</v>
      </c>
      <c r="K103">
        <v>71.815749999999994</v>
      </c>
      <c r="L103">
        <v>76.108000000000004</v>
      </c>
      <c r="M103">
        <v>37.484666666666698</v>
      </c>
      <c r="N103">
        <v>53.411999999999999</v>
      </c>
      <c r="O103">
        <v>81.575999999999993</v>
      </c>
      <c r="P103">
        <v>93.864000000000004</v>
      </c>
      <c r="Q103">
        <v>94.763000000000005</v>
      </c>
      <c r="R103">
        <v>75.471999999999994</v>
      </c>
      <c r="S103">
        <v>56.253399999999999</v>
      </c>
      <c r="T103">
        <v>65.9465</v>
      </c>
      <c r="U103">
        <v>49.793500000000002</v>
      </c>
    </row>
    <row r="104" spans="1:21" x14ac:dyDescent="0.2">
      <c r="A104" t="s">
        <v>305</v>
      </c>
      <c r="B104" t="s">
        <v>306</v>
      </c>
      <c r="C104">
        <v>55.056224774354199</v>
      </c>
      <c r="D104">
        <v>135</v>
      </c>
      <c r="E104">
        <v>29.57</v>
      </c>
      <c r="F104">
        <v>53.372750000000003</v>
      </c>
      <c r="G104">
        <v>23.5539285714286</v>
      </c>
      <c r="H104">
        <v>54.226999999999997</v>
      </c>
      <c r="I104">
        <v>74.136250000000004</v>
      </c>
      <c r="J104">
        <v>49.726999999999997</v>
      </c>
      <c r="K104">
        <v>31.460333333333299</v>
      </c>
      <c r="L104">
        <v>50.226999999999997</v>
      </c>
      <c r="M104">
        <v>20.753166666666701</v>
      </c>
      <c r="N104">
        <v>27.462</v>
      </c>
      <c r="O104">
        <v>61.79325</v>
      </c>
      <c r="P104">
        <v>96.614599999999996</v>
      </c>
      <c r="Q104">
        <v>97.452500000000001</v>
      </c>
      <c r="S104">
        <v>74.212999999999994</v>
      </c>
      <c r="T104">
        <v>45.197555555555603</v>
      </c>
      <c r="U104">
        <v>78.197500000000005</v>
      </c>
    </row>
    <row r="105" spans="1:21" x14ac:dyDescent="0.2">
      <c r="A105" t="s">
        <v>93</v>
      </c>
      <c r="B105" t="s">
        <v>94</v>
      </c>
      <c r="C105">
        <v>75.424512324930006</v>
      </c>
      <c r="D105">
        <v>39</v>
      </c>
      <c r="E105">
        <v>98.964500000000001</v>
      </c>
      <c r="F105">
        <v>63.765500000000003</v>
      </c>
      <c r="G105">
        <v>84.969928571428596</v>
      </c>
      <c r="H105">
        <v>98.409000000000006</v>
      </c>
      <c r="I105">
        <v>74.363500000000002</v>
      </c>
      <c r="J105">
        <v>80.342200000000005</v>
      </c>
      <c r="K105">
        <v>63.959000000000003</v>
      </c>
      <c r="L105">
        <v>78.173000000000002</v>
      </c>
      <c r="M105">
        <v>69.832999999999998</v>
      </c>
      <c r="N105">
        <v>70.325500000000005</v>
      </c>
      <c r="O105">
        <v>84.03725</v>
      </c>
      <c r="P105">
        <v>61.922714285714299</v>
      </c>
      <c r="Q105">
        <v>58.186666666666703</v>
      </c>
      <c r="R105">
        <v>68.044799999999995</v>
      </c>
      <c r="S105">
        <v>95.136799999999994</v>
      </c>
      <c r="T105">
        <v>78.002600000000001</v>
      </c>
      <c r="U105">
        <v>53.780749999999998</v>
      </c>
    </row>
    <row r="106" spans="1:21" x14ac:dyDescent="0.2">
      <c r="A106" t="s">
        <v>85</v>
      </c>
      <c r="B106" t="s">
        <v>86</v>
      </c>
      <c r="C106">
        <v>75.744223468137307</v>
      </c>
      <c r="D106">
        <v>36</v>
      </c>
      <c r="E106">
        <v>99.493499999999997</v>
      </c>
      <c r="F106">
        <v>59.691375000000001</v>
      </c>
      <c r="G106">
        <v>95.570142857142898</v>
      </c>
      <c r="H106">
        <v>99.433999999999997</v>
      </c>
      <c r="I106">
        <v>78.651333333333298</v>
      </c>
      <c r="J106">
        <v>81.763000000000005</v>
      </c>
      <c r="K106">
        <v>52.639499999999998</v>
      </c>
      <c r="L106">
        <v>73.861999999999995</v>
      </c>
      <c r="M106">
        <v>87.040666666666695</v>
      </c>
      <c r="N106">
        <v>82.310500000000005</v>
      </c>
      <c r="O106">
        <v>97.553250000000006</v>
      </c>
      <c r="P106">
        <v>46.705857142857198</v>
      </c>
      <c r="Q106">
        <v>44.901666666666699</v>
      </c>
      <c r="S106">
        <v>66.4054</v>
      </c>
      <c r="T106">
        <v>90.261799999999994</v>
      </c>
      <c r="U106">
        <v>67.654499999999999</v>
      </c>
    </row>
    <row r="107" spans="1:21" x14ac:dyDescent="0.2">
      <c r="A107" t="s">
        <v>47</v>
      </c>
      <c r="B107" t="s">
        <v>48</v>
      </c>
      <c r="C107">
        <v>80.279020658263306</v>
      </c>
      <c r="D107">
        <v>14</v>
      </c>
      <c r="E107">
        <v>99.352500000000006</v>
      </c>
      <c r="F107">
        <v>65.087625000000003</v>
      </c>
      <c r="G107">
        <v>84.241714285714295</v>
      </c>
      <c r="H107">
        <v>97.478750000000005</v>
      </c>
      <c r="I107">
        <v>78.050749999999994</v>
      </c>
      <c r="J107">
        <v>89.5124</v>
      </c>
      <c r="K107">
        <v>89.927750000000003</v>
      </c>
      <c r="L107">
        <v>83.585333333333296</v>
      </c>
      <c r="M107">
        <v>72.489666666666693</v>
      </c>
      <c r="N107">
        <v>74.296000000000006</v>
      </c>
      <c r="O107">
        <v>87.908749999999998</v>
      </c>
      <c r="P107">
        <v>71.6284285714286</v>
      </c>
      <c r="Q107">
        <v>63.213333333333303</v>
      </c>
      <c r="R107">
        <v>80.545000000000002</v>
      </c>
      <c r="S107">
        <v>97.858400000000003</v>
      </c>
      <c r="T107">
        <v>82.359200000000001</v>
      </c>
      <c r="U107">
        <v>47.207749999999997</v>
      </c>
    </row>
    <row r="108" spans="1:21" x14ac:dyDescent="0.2">
      <c r="A108" t="s">
        <v>159</v>
      </c>
      <c r="B108" t="s">
        <v>160</v>
      </c>
      <c r="C108">
        <v>68.9807887254902</v>
      </c>
      <c r="D108">
        <v>84</v>
      </c>
      <c r="E108">
        <v>94.843000000000004</v>
      </c>
      <c r="F108">
        <v>62.530374999999999</v>
      </c>
      <c r="G108">
        <v>74.627857142857096</v>
      </c>
      <c r="H108">
        <v>78.530500000000004</v>
      </c>
      <c r="I108">
        <v>42.777000000000001</v>
      </c>
      <c r="J108">
        <v>64.547600000000003</v>
      </c>
      <c r="K108">
        <v>70.516999999999996</v>
      </c>
      <c r="L108">
        <v>61.002666666666698</v>
      </c>
      <c r="M108">
        <v>45.660333333333298</v>
      </c>
      <c r="N108">
        <v>53.942500000000003</v>
      </c>
      <c r="O108">
        <v>75.521249999999995</v>
      </c>
      <c r="P108">
        <v>93.384142857142805</v>
      </c>
      <c r="Q108">
        <v>93.451333333333395</v>
      </c>
      <c r="R108">
        <v>56.939</v>
      </c>
      <c r="S108">
        <v>69.233599999999996</v>
      </c>
      <c r="T108">
        <v>73.638999999999996</v>
      </c>
      <c r="U108">
        <v>61.526249999999997</v>
      </c>
    </row>
    <row r="109" spans="1:21" x14ac:dyDescent="0.2">
      <c r="A109" t="s">
        <v>379</v>
      </c>
      <c r="B109" t="s">
        <v>380</v>
      </c>
    </row>
    <row r="110" spans="1:21" x14ac:dyDescent="0.2">
      <c r="A110" t="s">
        <v>69</v>
      </c>
      <c r="B110" t="s">
        <v>70</v>
      </c>
      <c r="C110">
        <v>73.930670796197305</v>
      </c>
      <c r="D110">
        <v>46</v>
      </c>
      <c r="E110">
        <v>99.567499999999995</v>
      </c>
      <c r="F110">
        <v>58.847166666666702</v>
      </c>
      <c r="G110">
        <v>77.045785714285699</v>
      </c>
      <c r="H110">
        <v>99.361249999999998</v>
      </c>
      <c r="I110">
        <v>69.815749999999994</v>
      </c>
      <c r="J110">
        <v>72.185199999999995</v>
      </c>
      <c r="K110">
        <v>76.887249999999995</v>
      </c>
      <c r="L110">
        <v>67.698499999999996</v>
      </c>
      <c r="M110">
        <v>28.5215</v>
      </c>
      <c r="N110">
        <v>99.9375</v>
      </c>
      <c r="O110">
        <v>66.474000000000004</v>
      </c>
      <c r="P110">
        <v>85.288714285714306</v>
      </c>
      <c r="Q110">
        <v>88.894333333333293</v>
      </c>
      <c r="S110">
        <v>57.274000000000001</v>
      </c>
      <c r="T110">
        <v>72.954777777777807</v>
      </c>
      <c r="U110">
        <v>73.878500000000003</v>
      </c>
    </row>
    <row r="111" spans="1:21" x14ac:dyDescent="0.2">
      <c r="A111" t="s">
        <v>331</v>
      </c>
      <c r="B111" t="s">
        <v>332</v>
      </c>
      <c r="C111">
        <v>50.120448132586397</v>
      </c>
      <c r="D111">
        <v>156</v>
      </c>
      <c r="E111">
        <v>0</v>
      </c>
      <c r="F111">
        <v>56.932000000000002</v>
      </c>
      <c r="G111">
        <v>38.762</v>
      </c>
      <c r="H111">
        <v>54.226750000000003</v>
      </c>
      <c r="I111">
        <v>70.874750000000006</v>
      </c>
      <c r="J111">
        <v>44.8658</v>
      </c>
      <c r="K111">
        <v>27.5356666666667</v>
      </c>
      <c r="L111">
        <v>58.188000000000002</v>
      </c>
      <c r="M111">
        <v>9.6261666666666699</v>
      </c>
      <c r="N111">
        <v>40.17</v>
      </c>
      <c r="O111">
        <v>50.936</v>
      </c>
      <c r="P111">
        <v>97.477857142857204</v>
      </c>
      <c r="Q111">
        <v>99.215999999999994</v>
      </c>
      <c r="R111">
        <v>69.700833333333307</v>
      </c>
      <c r="S111">
        <v>47.9636</v>
      </c>
      <c r="T111">
        <v>43.385444444444403</v>
      </c>
      <c r="U111">
        <v>42.186750000000004</v>
      </c>
    </row>
    <row r="112" spans="1:21" x14ac:dyDescent="0.2">
      <c r="A112" t="s">
        <v>155</v>
      </c>
      <c r="B112" t="s">
        <v>156</v>
      </c>
      <c r="C112">
        <v>71.025625070027999</v>
      </c>
      <c r="D112">
        <v>67</v>
      </c>
      <c r="E112">
        <v>99.683000000000007</v>
      </c>
      <c r="F112">
        <v>42.774333333333303</v>
      </c>
      <c r="G112">
        <v>86.858142857142894</v>
      </c>
      <c r="H112">
        <v>95.740750000000006</v>
      </c>
      <c r="I112">
        <v>39.578249999999997</v>
      </c>
      <c r="J112">
        <v>74.825249999999997</v>
      </c>
      <c r="K112">
        <v>84.812666666666701</v>
      </c>
      <c r="L112">
        <v>58.48</v>
      </c>
      <c r="M112">
        <v>35.369399999999999</v>
      </c>
      <c r="N112">
        <v>85.617000000000004</v>
      </c>
      <c r="O112">
        <v>81.08475</v>
      </c>
      <c r="P112">
        <v>82.816999999999993</v>
      </c>
      <c r="Q112">
        <v>91.692499999999995</v>
      </c>
      <c r="R112">
        <v>64.926500000000004</v>
      </c>
      <c r="S112">
        <v>52.283333333333303</v>
      </c>
      <c r="T112">
        <v>72.691000000000003</v>
      </c>
      <c r="U112">
        <v>58.201749999999997</v>
      </c>
    </row>
    <row r="113" spans="1:21" x14ac:dyDescent="0.2">
      <c r="A113" t="s">
        <v>179</v>
      </c>
      <c r="B113" t="s">
        <v>180</v>
      </c>
      <c r="C113">
        <v>70.204482492997201</v>
      </c>
      <c r="D113">
        <v>74</v>
      </c>
      <c r="E113">
        <v>90.787999999999997</v>
      </c>
      <c r="F113">
        <v>60.469000000000001</v>
      </c>
      <c r="G113">
        <v>78.252642857142902</v>
      </c>
      <c r="H113">
        <v>95.948750000000004</v>
      </c>
      <c r="I113">
        <v>77.875</v>
      </c>
      <c r="J113">
        <v>77.491600000000005</v>
      </c>
      <c r="K113">
        <v>68.335999999999999</v>
      </c>
      <c r="L113">
        <v>63.742833333333301</v>
      </c>
      <c r="M113">
        <v>49.008499999999998</v>
      </c>
      <c r="N113">
        <v>39.163499999999999</v>
      </c>
      <c r="O113">
        <v>81.218249999999998</v>
      </c>
      <c r="P113">
        <v>86.000142857142805</v>
      </c>
      <c r="Q113">
        <v>84.856999999999999</v>
      </c>
      <c r="R113">
        <v>66.3958333333333</v>
      </c>
      <c r="S113">
        <v>55.032400000000003</v>
      </c>
      <c r="T113">
        <v>54.378500000000003</v>
      </c>
      <c r="U113">
        <v>64.518249999999995</v>
      </c>
    </row>
    <row r="114" spans="1:21" x14ac:dyDescent="0.2">
      <c r="A114" t="s">
        <v>381</v>
      </c>
      <c r="B114" t="s">
        <v>382</v>
      </c>
    </row>
    <row r="115" spans="1:21" x14ac:dyDescent="0.2">
      <c r="A115" t="s">
        <v>139</v>
      </c>
      <c r="B115" t="s">
        <v>140</v>
      </c>
      <c r="C115">
        <v>72.307508798064703</v>
      </c>
      <c r="D115">
        <v>57</v>
      </c>
      <c r="E115">
        <v>93.262</v>
      </c>
      <c r="F115">
        <v>63.333428571428598</v>
      </c>
      <c r="G115">
        <v>77.001499999999993</v>
      </c>
      <c r="H115">
        <v>75.260000000000005</v>
      </c>
      <c r="I115">
        <v>59.009250000000002</v>
      </c>
      <c r="J115">
        <v>72.018600000000006</v>
      </c>
      <c r="K115">
        <v>67.361999999999995</v>
      </c>
      <c r="L115">
        <v>64.526499999999999</v>
      </c>
      <c r="M115">
        <v>39.097333333333303</v>
      </c>
      <c r="N115">
        <v>78.816000000000003</v>
      </c>
      <c r="O115">
        <v>75.658000000000001</v>
      </c>
      <c r="P115">
        <v>85.645428571428596</v>
      </c>
      <c r="Q115">
        <v>89.001333333333307</v>
      </c>
      <c r="S115">
        <v>80.705399999999997</v>
      </c>
      <c r="T115">
        <v>77.753200000000007</v>
      </c>
      <c r="U115">
        <v>68.587999999999994</v>
      </c>
    </row>
    <row r="116" spans="1:21" x14ac:dyDescent="0.2">
      <c r="A116" t="s">
        <v>281</v>
      </c>
      <c r="B116" t="s">
        <v>282</v>
      </c>
      <c r="C116">
        <v>54.051311772486798</v>
      </c>
      <c r="D116">
        <v>142</v>
      </c>
      <c r="E116">
        <v>24.9725</v>
      </c>
      <c r="F116">
        <v>58.333750000000002</v>
      </c>
      <c r="G116">
        <v>38.285785714285701</v>
      </c>
      <c r="H116">
        <v>10.608750000000001</v>
      </c>
      <c r="I116">
        <v>43.493000000000002</v>
      </c>
      <c r="J116">
        <v>61.710599999999999</v>
      </c>
      <c r="K116">
        <v>41.848666666666702</v>
      </c>
      <c r="L116">
        <v>64.245833333333294</v>
      </c>
      <c r="M116">
        <v>16.849499999999999</v>
      </c>
      <c r="N116">
        <v>80.409499999999994</v>
      </c>
      <c r="O116">
        <v>55.581000000000003</v>
      </c>
      <c r="P116">
        <v>95.580285714285694</v>
      </c>
      <c r="Q116">
        <v>98.773666666666699</v>
      </c>
      <c r="S116">
        <v>57.3626</v>
      </c>
      <c r="T116">
        <v>56.399625</v>
      </c>
      <c r="U116">
        <v>46.419249999999998</v>
      </c>
    </row>
    <row r="117" spans="1:21" x14ac:dyDescent="0.2">
      <c r="A117" t="s">
        <v>101</v>
      </c>
      <c r="B117" t="s">
        <v>102</v>
      </c>
      <c r="C117">
        <v>76.769503944911307</v>
      </c>
      <c r="D117">
        <v>33</v>
      </c>
      <c r="E117">
        <v>99.847999999999999</v>
      </c>
      <c r="F117">
        <v>67.157375000000002</v>
      </c>
      <c r="G117">
        <v>90.807857142857202</v>
      </c>
      <c r="H117">
        <v>98.445250000000001</v>
      </c>
      <c r="I117">
        <v>63.760750000000002</v>
      </c>
      <c r="J117">
        <v>68.467600000000004</v>
      </c>
      <c r="K117">
        <v>70.992000000000004</v>
      </c>
      <c r="L117">
        <v>82.314599999999999</v>
      </c>
      <c r="M117">
        <v>68.004666666666694</v>
      </c>
      <c r="N117">
        <v>93.185000000000002</v>
      </c>
      <c r="O117">
        <v>88.663333333333298</v>
      </c>
      <c r="P117">
        <v>67.544857142857097</v>
      </c>
      <c r="Q117">
        <v>72.459333333333305</v>
      </c>
      <c r="R117">
        <v>62.406166666666699</v>
      </c>
      <c r="S117">
        <v>78.903666666666695</v>
      </c>
      <c r="T117">
        <v>79.821111111111094</v>
      </c>
      <c r="U117">
        <v>52.3</v>
      </c>
    </row>
    <row r="118" spans="1:21" x14ac:dyDescent="0.2">
      <c r="A118" t="s">
        <v>269</v>
      </c>
      <c r="B118" t="s">
        <v>270</v>
      </c>
      <c r="C118">
        <v>64.265061624649903</v>
      </c>
      <c r="D118">
        <v>103</v>
      </c>
      <c r="E118">
        <v>80.039000000000001</v>
      </c>
      <c r="F118">
        <v>63.727625000000003</v>
      </c>
      <c r="G118">
        <v>53.834785714285701</v>
      </c>
      <c r="H118">
        <v>61.115499999999997</v>
      </c>
      <c r="I118">
        <v>62.628749999999997</v>
      </c>
      <c r="J118">
        <v>68.4666</v>
      </c>
      <c r="K118">
        <v>67.267499999999998</v>
      </c>
      <c r="L118">
        <v>62.569666666666699</v>
      </c>
      <c r="M118">
        <v>25.6555</v>
      </c>
      <c r="N118">
        <v>87.242999999999995</v>
      </c>
      <c r="O118">
        <v>54.506999999999998</v>
      </c>
      <c r="P118">
        <v>96.850428571428594</v>
      </c>
      <c r="Q118">
        <v>97.349666666666707</v>
      </c>
      <c r="R118">
        <v>51.454000000000001</v>
      </c>
      <c r="S118">
        <v>53.577399999999997</v>
      </c>
      <c r="T118">
        <v>59.282874999999997</v>
      </c>
      <c r="U118">
        <v>46.936750000000004</v>
      </c>
    </row>
    <row r="119" spans="1:21" x14ac:dyDescent="0.2">
      <c r="A119" t="s">
        <v>153</v>
      </c>
      <c r="B119" t="s">
        <v>154</v>
      </c>
      <c r="C119">
        <v>68.807653781512599</v>
      </c>
      <c r="D119">
        <v>86</v>
      </c>
      <c r="E119">
        <v>94.756</v>
      </c>
      <c r="F119">
        <v>51.447285714285698</v>
      </c>
      <c r="G119">
        <v>76.5034285714286</v>
      </c>
      <c r="H119">
        <v>90.176749999999998</v>
      </c>
      <c r="I119">
        <v>53.088749999999997</v>
      </c>
      <c r="J119">
        <v>67.999333333333297</v>
      </c>
      <c r="K119">
        <v>75.764499999999998</v>
      </c>
      <c r="L119">
        <v>62.581000000000003</v>
      </c>
      <c r="M119">
        <v>54.550333333333299</v>
      </c>
      <c r="N119">
        <v>58.194499999999998</v>
      </c>
      <c r="O119">
        <v>68.009</v>
      </c>
      <c r="P119">
        <v>73.135599999999997</v>
      </c>
      <c r="Q119">
        <v>90.588999999999999</v>
      </c>
      <c r="R119">
        <v>44.894799999999996</v>
      </c>
      <c r="S119">
        <v>54.457999999999998</v>
      </c>
      <c r="T119">
        <v>75.569333333333304</v>
      </c>
      <c r="U119">
        <v>78.012500000000003</v>
      </c>
    </row>
    <row r="120" spans="1:21" x14ac:dyDescent="0.2">
      <c r="A120" t="s">
        <v>231</v>
      </c>
      <c r="B120" t="s">
        <v>232</v>
      </c>
      <c r="C120">
        <v>63.514302735760999</v>
      </c>
      <c r="D120">
        <v>109</v>
      </c>
      <c r="E120">
        <v>97.634500000000003</v>
      </c>
      <c r="F120">
        <v>47.292714285714297</v>
      </c>
      <c r="G120">
        <v>64.628071428571403</v>
      </c>
      <c r="H120">
        <v>96.162000000000006</v>
      </c>
      <c r="I120">
        <v>65.091750000000005</v>
      </c>
      <c r="J120">
        <v>65.517600000000002</v>
      </c>
      <c r="K120">
        <v>37.41225</v>
      </c>
      <c r="L120">
        <v>70.206166666666704</v>
      </c>
      <c r="M120">
        <v>33.965166666666697</v>
      </c>
      <c r="N120">
        <v>81.051000000000002</v>
      </c>
      <c r="O120">
        <v>42.598999999999997</v>
      </c>
      <c r="P120">
        <v>70.084428571428603</v>
      </c>
      <c r="Q120">
        <v>39.374666666666698</v>
      </c>
      <c r="S120">
        <v>75.077600000000004</v>
      </c>
      <c r="T120">
        <v>63.982700000000001</v>
      </c>
      <c r="U120">
        <v>69.306749999999994</v>
      </c>
    </row>
    <row r="121" spans="1:21" x14ac:dyDescent="0.2">
      <c r="A121" t="s">
        <v>317</v>
      </c>
      <c r="B121" t="s">
        <v>318</v>
      </c>
      <c r="C121">
        <v>53.574181512605001</v>
      </c>
      <c r="D121">
        <v>143</v>
      </c>
      <c r="E121">
        <v>8.7810000000000006</v>
      </c>
      <c r="F121">
        <v>45.790142857142897</v>
      </c>
      <c r="G121">
        <v>35.571428571428598</v>
      </c>
      <c r="H121">
        <v>50.881666666666703</v>
      </c>
      <c r="I121">
        <v>65.015000000000001</v>
      </c>
      <c r="J121">
        <v>53.566400000000002</v>
      </c>
      <c r="K121">
        <v>54.471249999999998</v>
      </c>
      <c r="L121">
        <v>60.8363333333333</v>
      </c>
      <c r="M121">
        <v>11.708166666666701</v>
      </c>
      <c r="N121">
        <v>12.676</v>
      </c>
      <c r="O121">
        <v>58.733499999999999</v>
      </c>
      <c r="P121">
        <v>98.6237142857143</v>
      </c>
      <c r="Q121">
        <v>97.983666666666693</v>
      </c>
      <c r="R121">
        <v>76.798500000000004</v>
      </c>
      <c r="S121">
        <v>61.793399999999998</v>
      </c>
      <c r="T121">
        <v>53.336666666666702</v>
      </c>
      <c r="U121">
        <v>64.194249999999997</v>
      </c>
    </row>
    <row r="122" spans="1:21" x14ac:dyDescent="0.2">
      <c r="A122" t="s">
        <v>285</v>
      </c>
      <c r="B122" t="s">
        <v>286</v>
      </c>
      <c r="C122">
        <v>55.826484803921602</v>
      </c>
      <c r="D122">
        <v>132</v>
      </c>
      <c r="E122">
        <v>76.695499999999996</v>
      </c>
      <c r="F122">
        <v>44.140142857142898</v>
      </c>
      <c r="G122">
        <v>43.939</v>
      </c>
      <c r="H122">
        <v>39.399000000000001</v>
      </c>
      <c r="I122">
        <v>32.067250000000001</v>
      </c>
      <c r="J122">
        <v>58.159799999999997</v>
      </c>
      <c r="K122">
        <v>49.871666666666698</v>
      </c>
      <c r="L122">
        <v>42.688833333333299</v>
      </c>
      <c r="M122">
        <v>21.05</v>
      </c>
      <c r="N122">
        <v>81.847999999999999</v>
      </c>
      <c r="O122">
        <v>38.610250000000001</v>
      </c>
      <c r="P122">
        <v>92.658857142857102</v>
      </c>
      <c r="Q122">
        <v>96.966999999999999</v>
      </c>
      <c r="R122">
        <v>69.624499999999998</v>
      </c>
      <c r="S122">
        <v>60.882399999999997</v>
      </c>
      <c r="T122">
        <v>49.917375</v>
      </c>
      <c r="U122">
        <v>50.530666666666697</v>
      </c>
    </row>
    <row r="123" spans="1:21" x14ac:dyDescent="0.2">
      <c r="A123" t="s">
        <v>205</v>
      </c>
      <c r="B123" t="s">
        <v>206</v>
      </c>
      <c r="C123">
        <v>68.395022198879502</v>
      </c>
      <c r="D123">
        <v>89</v>
      </c>
      <c r="E123">
        <v>98.144000000000005</v>
      </c>
      <c r="F123">
        <v>66.193666666666701</v>
      </c>
      <c r="G123">
        <v>76.862285714285704</v>
      </c>
      <c r="H123">
        <v>95.83775</v>
      </c>
      <c r="I123">
        <v>53.044499999999999</v>
      </c>
      <c r="J123">
        <v>71.759</v>
      </c>
      <c r="K123">
        <v>74.384500000000003</v>
      </c>
      <c r="L123">
        <v>68.659333333333393</v>
      </c>
      <c r="M123">
        <v>40.801166666666703</v>
      </c>
      <c r="N123">
        <v>65.338999999999999</v>
      </c>
      <c r="O123">
        <v>88.813000000000002</v>
      </c>
      <c r="P123">
        <v>74.808800000000005</v>
      </c>
      <c r="Q123">
        <v>92.177499999999995</v>
      </c>
      <c r="R123">
        <v>46.732999999999997</v>
      </c>
      <c r="S123">
        <v>27.409749999999999</v>
      </c>
      <c r="T123">
        <v>73.034125000000003</v>
      </c>
      <c r="U123">
        <v>48.713999999999999</v>
      </c>
    </row>
    <row r="124" spans="1:21" x14ac:dyDescent="0.2">
      <c r="A124" t="s">
        <v>289</v>
      </c>
      <c r="B124" t="s">
        <v>290</v>
      </c>
      <c r="C124">
        <v>53.252214643635199</v>
      </c>
      <c r="D124">
        <v>145</v>
      </c>
      <c r="E124">
        <v>1.9764999999999999</v>
      </c>
      <c r="F124">
        <v>59.440857142857098</v>
      </c>
      <c r="G124">
        <v>48.446857142857098</v>
      </c>
      <c r="H124">
        <v>51.319000000000003</v>
      </c>
      <c r="I124">
        <v>74.710250000000002</v>
      </c>
      <c r="J124">
        <v>52.4754</v>
      </c>
      <c r="K124">
        <v>29.193666666666701</v>
      </c>
      <c r="L124">
        <v>60.2605</v>
      </c>
      <c r="M124">
        <v>11.516666666666699</v>
      </c>
      <c r="N124">
        <v>30.3995</v>
      </c>
      <c r="O124">
        <v>55.054499999999997</v>
      </c>
      <c r="P124">
        <v>98.552714285714302</v>
      </c>
      <c r="Q124">
        <v>99.450999999999993</v>
      </c>
      <c r="S124">
        <v>62.613599999999998</v>
      </c>
      <c r="T124">
        <v>55.4619</v>
      </c>
      <c r="U124">
        <v>46.41675</v>
      </c>
    </row>
    <row r="125" spans="1:21" x14ac:dyDescent="0.2">
      <c r="A125" t="s">
        <v>175</v>
      </c>
      <c r="B125" t="s">
        <v>176</v>
      </c>
      <c r="C125">
        <v>70.383942577030794</v>
      </c>
      <c r="D125">
        <v>72</v>
      </c>
      <c r="E125">
        <v>99.980500000000006</v>
      </c>
      <c r="F125">
        <v>48.411000000000001</v>
      </c>
      <c r="G125">
        <v>80.493285714285705</v>
      </c>
      <c r="H125">
        <v>92.883250000000004</v>
      </c>
      <c r="I125">
        <v>57.534750000000003</v>
      </c>
      <c r="J125">
        <v>78.747600000000006</v>
      </c>
      <c r="K125">
        <v>67.6785</v>
      </c>
      <c r="L125">
        <v>74.908166666666702</v>
      </c>
      <c r="M125">
        <v>77.373166666666705</v>
      </c>
      <c r="N125">
        <v>47.438499999999998</v>
      </c>
      <c r="O125">
        <v>86.082999999999998</v>
      </c>
      <c r="P125">
        <v>82.103571428571399</v>
      </c>
      <c r="Q125">
        <v>73.690666666666701</v>
      </c>
      <c r="R125">
        <v>63.925166666666698</v>
      </c>
      <c r="S125">
        <v>37.891399999999997</v>
      </c>
      <c r="T125">
        <v>70.539500000000004</v>
      </c>
      <c r="U125">
        <v>56.844999999999999</v>
      </c>
    </row>
    <row r="126" spans="1:21" x14ac:dyDescent="0.2">
      <c r="A126" t="s">
        <v>237</v>
      </c>
      <c r="B126" t="s">
        <v>238</v>
      </c>
      <c r="C126">
        <v>62.716526867413599</v>
      </c>
      <c r="D126">
        <v>114</v>
      </c>
      <c r="E126">
        <v>47.1295</v>
      </c>
      <c r="F126">
        <v>48.156624999999998</v>
      </c>
      <c r="G126">
        <v>48.533142857142899</v>
      </c>
      <c r="H126">
        <v>81.734999999999999</v>
      </c>
      <c r="I126">
        <v>86.64725</v>
      </c>
      <c r="J126">
        <v>57.2622</v>
      </c>
      <c r="K126">
        <v>44.52825</v>
      </c>
      <c r="L126">
        <v>60.048000000000002</v>
      </c>
      <c r="M126">
        <v>30.838000000000001</v>
      </c>
      <c r="N126">
        <v>5.4930000000000003</v>
      </c>
      <c r="O126">
        <v>66.401499999999999</v>
      </c>
      <c r="P126">
        <v>87.654166666666697</v>
      </c>
      <c r="Q126">
        <v>88.811000000000007</v>
      </c>
      <c r="R126">
        <v>80.748166666666705</v>
      </c>
      <c r="S126">
        <v>87.139600000000002</v>
      </c>
      <c r="T126">
        <v>67.953555555555596</v>
      </c>
      <c r="U126">
        <v>77.102000000000004</v>
      </c>
    </row>
    <row r="127" spans="1:21" x14ac:dyDescent="0.2">
      <c r="A127" t="s">
        <v>341</v>
      </c>
      <c r="B127" t="s">
        <v>342</v>
      </c>
      <c r="C127">
        <v>52.200807920946197</v>
      </c>
      <c r="D127">
        <v>149</v>
      </c>
      <c r="E127">
        <v>28.367999999999999</v>
      </c>
      <c r="F127">
        <v>47.932428571428602</v>
      </c>
      <c r="G127">
        <v>40.3687857142857</v>
      </c>
      <c r="H127">
        <v>2.8002500000000001</v>
      </c>
      <c r="I127">
        <v>36.641750000000002</v>
      </c>
      <c r="J127">
        <v>43.306800000000003</v>
      </c>
      <c r="K127">
        <v>35.127499999999998</v>
      </c>
      <c r="L127">
        <v>64.076666666666696</v>
      </c>
      <c r="M127">
        <v>5.1303333333333301</v>
      </c>
      <c r="N127">
        <v>75.484999999999999</v>
      </c>
      <c r="O127">
        <v>49.997500000000002</v>
      </c>
      <c r="P127">
        <v>96.6756666666667</v>
      </c>
      <c r="Q127">
        <v>99.424999999999997</v>
      </c>
      <c r="S127">
        <v>79.183400000000006</v>
      </c>
      <c r="T127">
        <v>55.009666666666703</v>
      </c>
      <c r="U127">
        <v>59.887</v>
      </c>
    </row>
    <row r="128" spans="1:21" x14ac:dyDescent="0.2">
      <c r="A128" t="s">
        <v>311</v>
      </c>
      <c r="B128" t="s">
        <v>312</v>
      </c>
      <c r="C128">
        <v>54.233591129785196</v>
      </c>
      <c r="D128">
        <v>139</v>
      </c>
      <c r="E128">
        <v>34.319000000000003</v>
      </c>
      <c r="F128">
        <v>61.098999999999997</v>
      </c>
      <c r="G128">
        <v>31.500785714285701</v>
      </c>
      <c r="H128">
        <v>38.750666666666703</v>
      </c>
      <c r="I128">
        <v>41.161499999999997</v>
      </c>
      <c r="J128">
        <v>59.739600000000003</v>
      </c>
      <c r="K128">
        <v>46.9</v>
      </c>
      <c r="L128">
        <v>55.700600000000001</v>
      </c>
      <c r="M128">
        <v>33.246666666666698</v>
      </c>
      <c r="N128">
        <v>49.733499999999999</v>
      </c>
      <c r="O128">
        <v>26.2135</v>
      </c>
      <c r="P128">
        <v>95.947285714285698</v>
      </c>
      <c r="Q128">
        <v>96.212666666666706</v>
      </c>
      <c r="R128">
        <v>64.970833333333303</v>
      </c>
      <c r="S128">
        <v>76.025999999999996</v>
      </c>
      <c r="T128">
        <v>41.399444444444399</v>
      </c>
      <c r="U128">
        <v>69.05</v>
      </c>
    </row>
    <row r="129" spans="1:21" x14ac:dyDescent="0.2">
      <c r="A129" t="s">
        <v>227</v>
      </c>
      <c r="B129" t="s">
        <v>228</v>
      </c>
      <c r="C129">
        <v>67.144575910364196</v>
      </c>
      <c r="D129">
        <v>92</v>
      </c>
      <c r="E129">
        <v>86.858999999999995</v>
      </c>
      <c r="F129">
        <v>53.887</v>
      </c>
      <c r="G129">
        <v>75.44</v>
      </c>
      <c r="H129">
        <v>77.984499999999997</v>
      </c>
      <c r="I129">
        <v>81.929500000000004</v>
      </c>
      <c r="J129">
        <v>66.340599999999995</v>
      </c>
      <c r="K129">
        <v>79.991</v>
      </c>
      <c r="L129">
        <v>59.577666666666701</v>
      </c>
      <c r="M129">
        <v>17.713000000000001</v>
      </c>
      <c r="N129">
        <v>23.661999999999999</v>
      </c>
      <c r="O129">
        <v>78.995750000000001</v>
      </c>
      <c r="P129">
        <v>90.921857142857107</v>
      </c>
      <c r="Q129">
        <v>96.223333333333301</v>
      </c>
      <c r="R129">
        <v>67.928166666666698</v>
      </c>
      <c r="S129">
        <v>70.117999999999995</v>
      </c>
      <c r="T129">
        <v>58.248666666666701</v>
      </c>
      <c r="U129">
        <v>55.637749999999997</v>
      </c>
    </row>
    <row r="130" spans="1:21" x14ac:dyDescent="0.2">
      <c r="A130" t="s">
        <v>59</v>
      </c>
      <c r="B130" t="s">
        <v>60</v>
      </c>
      <c r="C130">
        <v>79.852798809523804</v>
      </c>
      <c r="D130">
        <v>17</v>
      </c>
      <c r="E130">
        <v>99.645499999999998</v>
      </c>
      <c r="F130">
        <v>67.683374999999998</v>
      </c>
      <c r="G130">
        <v>95.576499999999996</v>
      </c>
      <c r="H130">
        <v>98.340333333333305</v>
      </c>
      <c r="I130">
        <v>82.069500000000005</v>
      </c>
      <c r="J130">
        <v>87.560199999999995</v>
      </c>
      <c r="K130">
        <v>71.512500000000003</v>
      </c>
      <c r="L130">
        <v>86.951166666666694</v>
      </c>
      <c r="M130">
        <v>91.603999999999999</v>
      </c>
      <c r="N130">
        <v>93.217500000000001</v>
      </c>
      <c r="O130">
        <v>96.549750000000003</v>
      </c>
      <c r="P130">
        <v>55.035571428571401</v>
      </c>
      <c r="Q130">
        <v>53.180999999999997</v>
      </c>
      <c r="R130">
        <v>53.1323333333333</v>
      </c>
      <c r="S130">
        <v>78.259799999999998</v>
      </c>
      <c r="T130">
        <v>85.199799999999996</v>
      </c>
      <c r="U130">
        <v>61.978749999999998</v>
      </c>
    </row>
    <row r="131" spans="1:21" x14ac:dyDescent="0.2">
      <c r="A131" t="s">
        <v>33</v>
      </c>
      <c r="B131" t="s">
        <v>34</v>
      </c>
      <c r="C131">
        <v>82.349285784313693</v>
      </c>
      <c r="D131">
        <v>4</v>
      </c>
      <c r="E131">
        <v>99.513000000000005</v>
      </c>
      <c r="F131">
        <v>60.376375000000003</v>
      </c>
      <c r="G131">
        <v>97.2495714285714</v>
      </c>
      <c r="H131">
        <v>97.606999999999999</v>
      </c>
      <c r="I131">
        <v>90.395250000000004</v>
      </c>
      <c r="J131">
        <v>84.906999999999996</v>
      </c>
      <c r="K131">
        <v>96.760249999999999</v>
      </c>
      <c r="L131">
        <v>83.792500000000004</v>
      </c>
      <c r="M131">
        <v>91.334166666666704</v>
      </c>
      <c r="N131">
        <v>99.858999999999995</v>
      </c>
      <c r="O131">
        <v>94.005750000000006</v>
      </c>
      <c r="P131">
        <v>50.776428571428603</v>
      </c>
      <c r="Q131">
        <v>20.641666666666701</v>
      </c>
      <c r="R131">
        <v>73.902500000000003</v>
      </c>
      <c r="S131">
        <v>73.721400000000003</v>
      </c>
      <c r="T131">
        <v>90.453500000000005</v>
      </c>
      <c r="U131">
        <v>94.642499999999998</v>
      </c>
    </row>
    <row r="132" spans="1:21" x14ac:dyDescent="0.2">
      <c r="A132" t="s">
        <v>217</v>
      </c>
      <c r="B132" t="s">
        <v>218</v>
      </c>
      <c r="C132">
        <v>66.175832801120507</v>
      </c>
      <c r="D132">
        <v>98</v>
      </c>
      <c r="E132">
        <v>63.558500000000002</v>
      </c>
      <c r="F132">
        <v>58.737285714285697</v>
      </c>
      <c r="G132">
        <v>57.776928571428599</v>
      </c>
      <c r="H132">
        <v>89.350250000000003</v>
      </c>
      <c r="I132">
        <v>66.982500000000002</v>
      </c>
      <c r="J132">
        <v>70.801400000000001</v>
      </c>
      <c r="K132">
        <v>54.957000000000001</v>
      </c>
      <c r="L132">
        <v>67.479500000000002</v>
      </c>
      <c r="M132">
        <v>31.9746666666667</v>
      </c>
      <c r="N132">
        <v>80.222499999999997</v>
      </c>
      <c r="O132">
        <v>44.877499999999998</v>
      </c>
      <c r="P132">
        <v>97.87</v>
      </c>
      <c r="Q132">
        <v>96.915333333333294</v>
      </c>
      <c r="S132">
        <v>68.300399999999996</v>
      </c>
      <c r="T132">
        <v>60.744111111111103</v>
      </c>
      <c r="U132">
        <v>54.084499999999998</v>
      </c>
    </row>
    <row r="133" spans="1:21" x14ac:dyDescent="0.2">
      <c r="A133" t="s">
        <v>383</v>
      </c>
      <c r="B133" t="s">
        <v>384</v>
      </c>
    </row>
    <row r="134" spans="1:21" x14ac:dyDescent="0.2">
      <c r="A134" t="s">
        <v>73</v>
      </c>
      <c r="B134" t="s">
        <v>74</v>
      </c>
      <c r="C134">
        <v>78.304349719887895</v>
      </c>
      <c r="D134">
        <v>26</v>
      </c>
      <c r="E134">
        <v>99.973500000000001</v>
      </c>
      <c r="F134">
        <v>66.611428571428604</v>
      </c>
      <c r="G134">
        <v>92.817714285714302</v>
      </c>
      <c r="H134">
        <v>95.233999999999995</v>
      </c>
      <c r="I134">
        <v>89.781750000000002</v>
      </c>
      <c r="J134">
        <v>90.3262</v>
      </c>
      <c r="K134">
        <v>90.967749999999995</v>
      </c>
      <c r="L134">
        <v>87.885999999999996</v>
      </c>
      <c r="M134">
        <v>87.9523333333333</v>
      </c>
      <c r="N134">
        <v>66.875</v>
      </c>
      <c r="O134">
        <v>89.204499999999996</v>
      </c>
      <c r="P134">
        <v>52.4982857142857</v>
      </c>
      <c r="Q134">
        <v>56.525666666666702</v>
      </c>
      <c r="R134">
        <v>53.372166666666701</v>
      </c>
      <c r="S134">
        <v>49.585999999999999</v>
      </c>
      <c r="T134">
        <v>89.069900000000004</v>
      </c>
      <c r="U134">
        <v>72.491749999999996</v>
      </c>
    </row>
    <row r="135" spans="1:21" x14ac:dyDescent="0.2">
      <c r="A135" t="s">
        <v>199</v>
      </c>
      <c r="B135" t="s">
        <v>200</v>
      </c>
      <c r="C135">
        <v>69.194972186147197</v>
      </c>
      <c r="D135">
        <v>81</v>
      </c>
      <c r="F135">
        <v>61.967374999999997</v>
      </c>
      <c r="G135">
        <v>82.984999999999999</v>
      </c>
      <c r="H135">
        <v>93.21</v>
      </c>
      <c r="I135">
        <v>35.966999999999999</v>
      </c>
      <c r="J135">
        <v>53.148400000000002</v>
      </c>
      <c r="K135">
        <v>66.970249999999993</v>
      </c>
      <c r="L135">
        <v>72.992999999999995</v>
      </c>
      <c r="M135">
        <v>62.058500000000002</v>
      </c>
      <c r="O135">
        <v>77.795333333333303</v>
      </c>
      <c r="P135">
        <v>80.841714285714303</v>
      </c>
      <c r="Q135">
        <v>38.667666666666697</v>
      </c>
      <c r="R135">
        <v>73.670166666666702</v>
      </c>
      <c r="S135">
        <v>58.619333333333302</v>
      </c>
      <c r="T135">
        <v>79.888499999999993</v>
      </c>
      <c r="U135">
        <v>68.0893333333333</v>
      </c>
    </row>
    <row r="136" spans="1:21" x14ac:dyDescent="0.2">
      <c r="A136" t="s">
        <v>275</v>
      </c>
      <c r="B136" t="s">
        <v>276</v>
      </c>
      <c r="C136">
        <v>59.338261764705898</v>
      </c>
      <c r="D136">
        <v>125</v>
      </c>
      <c r="E136">
        <v>60.774999999999999</v>
      </c>
      <c r="F136">
        <v>50.85275</v>
      </c>
      <c r="G136">
        <v>48.296999999999997</v>
      </c>
      <c r="H136">
        <v>59.714666666666702</v>
      </c>
      <c r="I136">
        <v>28.696750000000002</v>
      </c>
      <c r="J136">
        <v>49.449399999999997</v>
      </c>
      <c r="K136">
        <v>63.838000000000001</v>
      </c>
      <c r="L136">
        <v>51.792200000000001</v>
      </c>
      <c r="M136">
        <v>29.1033333333333</v>
      </c>
      <c r="N136">
        <v>79.537999999999997</v>
      </c>
      <c r="O136">
        <v>51.311250000000001</v>
      </c>
      <c r="P136">
        <v>95.9</v>
      </c>
      <c r="Q136">
        <v>97.390666666666704</v>
      </c>
      <c r="R136">
        <v>67.034166666666707</v>
      </c>
      <c r="S136">
        <v>66.644400000000005</v>
      </c>
      <c r="T136">
        <v>51.248199999999997</v>
      </c>
      <c r="U136">
        <v>57.164666666666697</v>
      </c>
    </row>
    <row r="137" spans="1:21" x14ac:dyDescent="0.2">
      <c r="A137" t="s">
        <v>213</v>
      </c>
      <c r="B137" t="s">
        <v>214</v>
      </c>
      <c r="C137">
        <v>63.999157492997199</v>
      </c>
      <c r="D137">
        <v>105</v>
      </c>
      <c r="E137">
        <v>94.277000000000001</v>
      </c>
      <c r="F137">
        <v>49.009124999999997</v>
      </c>
      <c r="G137">
        <v>80.414714285714297</v>
      </c>
      <c r="H137">
        <v>59.711500000000001</v>
      </c>
      <c r="I137">
        <v>65.018749999999997</v>
      </c>
      <c r="J137">
        <v>73.935400000000001</v>
      </c>
      <c r="K137">
        <v>77.159000000000006</v>
      </c>
      <c r="L137">
        <v>64.531666666666695</v>
      </c>
      <c r="M137">
        <v>39.633000000000003</v>
      </c>
      <c r="N137">
        <v>18.5915</v>
      </c>
      <c r="O137">
        <v>84.887</v>
      </c>
      <c r="P137">
        <v>84.983571428571395</v>
      </c>
      <c r="Q137">
        <v>63.118000000000002</v>
      </c>
      <c r="R137">
        <v>67.363500000000002</v>
      </c>
      <c r="S137">
        <v>57.733199999999997</v>
      </c>
      <c r="T137">
        <v>67.705500000000001</v>
      </c>
      <c r="U137">
        <v>39.913249999999998</v>
      </c>
    </row>
    <row r="138" spans="1:21" x14ac:dyDescent="0.2">
      <c r="A138" t="s">
        <v>149</v>
      </c>
      <c r="B138" t="s">
        <v>150</v>
      </c>
      <c r="C138">
        <v>71.928091386554598</v>
      </c>
      <c r="D138">
        <v>58</v>
      </c>
      <c r="E138">
        <v>92.044499999999999</v>
      </c>
      <c r="F138">
        <v>69.512874999999994</v>
      </c>
      <c r="G138">
        <v>79.437357142857195</v>
      </c>
      <c r="H138">
        <v>98.657499999999999</v>
      </c>
      <c r="I138">
        <v>65.392250000000004</v>
      </c>
      <c r="J138">
        <v>81.148799999999994</v>
      </c>
      <c r="K138">
        <v>77.567750000000004</v>
      </c>
      <c r="L138">
        <v>65.454499999999996</v>
      </c>
      <c r="M138">
        <v>39.588333333333303</v>
      </c>
      <c r="N138">
        <v>40.625</v>
      </c>
      <c r="O138">
        <v>72.456999999999994</v>
      </c>
      <c r="P138">
        <v>90.905571428571406</v>
      </c>
      <c r="Q138">
        <v>92.653000000000006</v>
      </c>
      <c r="R138">
        <v>78.082666666666697</v>
      </c>
      <c r="S138">
        <v>58.405000000000001</v>
      </c>
      <c r="T138">
        <v>60.7652</v>
      </c>
      <c r="U138">
        <v>60.080249999999999</v>
      </c>
    </row>
    <row r="139" spans="1:21" x14ac:dyDescent="0.2">
      <c r="A139" t="s">
        <v>215</v>
      </c>
      <c r="B139" t="s">
        <v>216</v>
      </c>
      <c r="C139">
        <v>66.638341129785204</v>
      </c>
      <c r="D139">
        <v>95</v>
      </c>
      <c r="E139">
        <v>72.393000000000001</v>
      </c>
      <c r="F139">
        <v>65.54325</v>
      </c>
      <c r="G139">
        <v>60.097214285714301</v>
      </c>
      <c r="H139">
        <v>87.182000000000002</v>
      </c>
      <c r="I139">
        <v>63.79025</v>
      </c>
      <c r="J139">
        <v>69.961600000000004</v>
      </c>
      <c r="K139">
        <v>70.78</v>
      </c>
      <c r="L139">
        <v>60.793333333333301</v>
      </c>
      <c r="M139">
        <v>37.745333333333299</v>
      </c>
      <c r="N139">
        <v>34.78</v>
      </c>
      <c r="O139">
        <v>71.345749999999995</v>
      </c>
      <c r="P139">
        <v>94.565857142857098</v>
      </c>
      <c r="Q139">
        <v>94.450333333333305</v>
      </c>
      <c r="R139">
        <v>75.242333333333306</v>
      </c>
      <c r="S139">
        <v>57.390599999999999</v>
      </c>
      <c r="T139">
        <v>61.677444444444497</v>
      </c>
      <c r="U139">
        <v>55.113500000000002</v>
      </c>
    </row>
    <row r="140" spans="1:21" x14ac:dyDescent="0.2">
      <c r="A140" t="s">
        <v>385</v>
      </c>
      <c r="B140" t="s">
        <v>386</v>
      </c>
    </row>
    <row r="141" spans="1:21" x14ac:dyDescent="0.2">
      <c r="A141" t="s">
        <v>315</v>
      </c>
      <c r="B141" t="s">
        <v>316</v>
      </c>
      <c r="C141">
        <v>53.561595098039199</v>
      </c>
      <c r="D141">
        <v>144</v>
      </c>
      <c r="E141">
        <v>29.490500000000001</v>
      </c>
      <c r="F141">
        <v>31.605</v>
      </c>
      <c r="G141">
        <v>44.16</v>
      </c>
      <c r="H141">
        <v>53.883000000000003</v>
      </c>
      <c r="I141">
        <v>47.985999999999997</v>
      </c>
      <c r="J141">
        <v>42.488199999999999</v>
      </c>
      <c r="K141">
        <v>43.141666666666701</v>
      </c>
      <c r="L141">
        <v>72.281000000000006</v>
      </c>
      <c r="M141">
        <v>6.6081666666666701</v>
      </c>
      <c r="N141">
        <v>43.6875</v>
      </c>
      <c r="O141">
        <v>71.810500000000005</v>
      </c>
      <c r="P141">
        <v>97.626833333333295</v>
      </c>
      <c r="Q141">
        <v>94.358999999999995</v>
      </c>
      <c r="R141">
        <v>72.165333333333294</v>
      </c>
      <c r="S141">
        <v>64.444249999999997</v>
      </c>
      <c r="T141">
        <v>55.692166666666701</v>
      </c>
      <c r="U141">
        <v>39.118000000000002</v>
      </c>
    </row>
    <row r="142" spans="1:21" x14ac:dyDescent="0.2">
      <c r="A142" t="s">
        <v>37</v>
      </c>
      <c r="B142" t="s">
        <v>38</v>
      </c>
      <c r="C142">
        <v>80.536741316526602</v>
      </c>
      <c r="D142">
        <v>12</v>
      </c>
      <c r="E142">
        <v>99.908500000000004</v>
      </c>
      <c r="F142">
        <v>68.14425</v>
      </c>
      <c r="G142">
        <v>83.8000714285714</v>
      </c>
      <c r="H142">
        <v>98.84675</v>
      </c>
      <c r="I142">
        <v>72.473749999999995</v>
      </c>
      <c r="J142">
        <v>85.152799999999999</v>
      </c>
      <c r="K142">
        <v>70.210999999999999</v>
      </c>
      <c r="L142">
        <v>83.744666666666703</v>
      </c>
      <c r="M142">
        <v>75.790999999999997</v>
      </c>
      <c r="N142">
        <v>93.384500000000003</v>
      </c>
      <c r="O142">
        <v>85.770499999999998</v>
      </c>
      <c r="P142">
        <v>78.740714285714304</v>
      </c>
      <c r="Q142">
        <v>72.216999999999999</v>
      </c>
      <c r="R142">
        <v>64.239500000000007</v>
      </c>
      <c r="S142">
        <v>92.348600000000005</v>
      </c>
      <c r="T142">
        <v>81.484499999999997</v>
      </c>
      <c r="U142">
        <v>62.866500000000002</v>
      </c>
    </row>
    <row r="143" spans="1:21" x14ac:dyDescent="0.2">
      <c r="A143" t="s">
        <v>387</v>
      </c>
      <c r="B143" t="s">
        <v>388</v>
      </c>
    </row>
    <row r="144" spans="1:21" x14ac:dyDescent="0.2">
      <c r="A144" t="s">
        <v>55</v>
      </c>
      <c r="B144" t="s">
        <v>56</v>
      </c>
      <c r="C144">
        <v>79.226426890756301</v>
      </c>
      <c r="D144">
        <v>20</v>
      </c>
      <c r="E144">
        <v>99.360500000000002</v>
      </c>
      <c r="F144">
        <v>64.005250000000004</v>
      </c>
      <c r="G144">
        <v>92.556285714285707</v>
      </c>
      <c r="H144">
        <v>94.952500000000001</v>
      </c>
      <c r="I144">
        <v>83.737250000000003</v>
      </c>
      <c r="J144">
        <v>80.876400000000004</v>
      </c>
      <c r="K144">
        <v>82.636750000000006</v>
      </c>
      <c r="L144">
        <v>80.273333333333298</v>
      </c>
      <c r="M144">
        <v>75.744833333333304</v>
      </c>
      <c r="N144">
        <v>83.424499999999995</v>
      </c>
      <c r="O144">
        <v>89.639499999999998</v>
      </c>
      <c r="P144">
        <v>71.983571428571395</v>
      </c>
      <c r="Q144">
        <v>80.335999999999999</v>
      </c>
      <c r="R144">
        <v>42.994833333333297</v>
      </c>
      <c r="S144">
        <v>73.581000000000003</v>
      </c>
      <c r="T144">
        <v>88.261499999999998</v>
      </c>
      <c r="U144">
        <v>62.485250000000001</v>
      </c>
    </row>
    <row r="145" spans="1:21" x14ac:dyDescent="0.2">
      <c r="A145" t="s">
        <v>195</v>
      </c>
      <c r="B145" t="s">
        <v>196</v>
      </c>
      <c r="C145">
        <v>67.434815042016794</v>
      </c>
      <c r="D145">
        <v>91</v>
      </c>
      <c r="E145">
        <v>95.522999999999996</v>
      </c>
      <c r="F145">
        <v>73.634375000000006</v>
      </c>
      <c r="G145">
        <v>71.849500000000006</v>
      </c>
      <c r="H145">
        <v>69.637500000000003</v>
      </c>
      <c r="I145">
        <v>66.326250000000002</v>
      </c>
      <c r="J145">
        <v>76.664199999999994</v>
      </c>
      <c r="K145">
        <v>91.32</v>
      </c>
      <c r="L145">
        <v>67.425333333333299</v>
      </c>
      <c r="M145">
        <v>30.966166666666702</v>
      </c>
      <c r="N145">
        <v>24.366</v>
      </c>
      <c r="O145">
        <v>75.686666666666696</v>
      </c>
      <c r="P145">
        <v>84.847285714285704</v>
      </c>
      <c r="Q145">
        <v>90.581999999999994</v>
      </c>
      <c r="S145">
        <v>52.973599999999998</v>
      </c>
      <c r="T145">
        <v>52.941499999999998</v>
      </c>
      <c r="U145">
        <v>54.596249999999998</v>
      </c>
    </row>
    <row r="146" spans="1:21" x14ac:dyDescent="0.2">
      <c r="A146" t="s">
        <v>219</v>
      </c>
      <c r="B146" t="s">
        <v>220</v>
      </c>
      <c r="C146">
        <v>66.784738012477703</v>
      </c>
      <c r="D146">
        <v>94</v>
      </c>
      <c r="F146">
        <v>71.828714285714298</v>
      </c>
      <c r="G146">
        <v>87.607571428571504</v>
      </c>
      <c r="H146">
        <v>92.659000000000006</v>
      </c>
      <c r="I146">
        <v>57.247</v>
      </c>
      <c r="J146">
        <v>53.970399999999998</v>
      </c>
      <c r="K146">
        <v>66.661000000000001</v>
      </c>
      <c r="L146">
        <v>76.509249999999994</v>
      </c>
      <c r="M146">
        <v>81.364000000000004</v>
      </c>
      <c r="O146">
        <v>35.714500000000001</v>
      </c>
      <c r="P146">
        <v>75.292714285714297</v>
      </c>
      <c r="Q146">
        <v>0</v>
      </c>
      <c r="R146">
        <v>76.0364</v>
      </c>
      <c r="S146">
        <v>68.095666666666702</v>
      </c>
      <c r="T146">
        <v>79.876374999999996</v>
      </c>
      <c r="U146">
        <v>43.034999999999997</v>
      </c>
    </row>
    <row r="147" spans="1:21" x14ac:dyDescent="0.2">
      <c r="A147" t="s">
        <v>89</v>
      </c>
      <c r="B147" t="s">
        <v>90</v>
      </c>
      <c r="C147">
        <v>77.721153851540606</v>
      </c>
      <c r="D147">
        <v>30</v>
      </c>
      <c r="E147">
        <v>95.975999999999999</v>
      </c>
      <c r="F147">
        <v>70.689625000000007</v>
      </c>
      <c r="G147">
        <v>81.054214285714295</v>
      </c>
      <c r="H147">
        <v>83.422499999999999</v>
      </c>
      <c r="I147">
        <v>57.343499999999999</v>
      </c>
      <c r="J147">
        <v>79.813999999999993</v>
      </c>
      <c r="K147">
        <v>77.678250000000006</v>
      </c>
      <c r="L147">
        <v>80.037666666666695</v>
      </c>
      <c r="M147">
        <v>61.377333333333297</v>
      </c>
      <c r="N147">
        <v>75.81</v>
      </c>
      <c r="O147">
        <v>80.864500000000007</v>
      </c>
      <c r="P147">
        <v>83.613142857142805</v>
      </c>
      <c r="Q147">
        <v>85.436000000000007</v>
      </c>
      <c r="R147">
        <v>85.441599999999994</v>
      </c>
      <c r="S147">
        <v>79.533199999999994</v>
      </c>
      <c r="T147">
        <v>77.479333333333301</v>
      </c>
      <c r="U147">
        <v>65.688749999999999</v>
      </c>
    </row>
    <row r="148" spans="1:21" x14ac:dyDescent="0.2">
      <c r="A148" t="s">
        <v>117</v>
      </c>
      <c r="B148" t="s">
        <v>118</v>
      </c>
      <c r="C148">
        <v>74.074165406162507</v>
      </c>
      <c r="D148">
        <v>45</v>
      </c>
      <c r="E148">
        <v>99.896000000000001</v>
      </c>
      <c r="F148">
        <v>57.520166666666697</v>
      </c>
      <c r="G148">
        <v>79.370999999999995</v>
      </c>
      <c r="H148">
        <v>97.117500000000007</v>
      </c>
      <c r="I148">
        <v>66.606999999999999</v>
      </c>
      <c r="J148">
        <v>77.991799999999998</v>
      </c>
      <c r="K148">
        <v>65.283749999999998</v>
      </c>
      <c r="L148">
        <v>76.917500000000004</v>
      </c>
      <c r="M148">
        <v>71.678166666666698</v>
      </c>
      <c r="N148">
        <v>76.852999999999994</v>
      </c>
      <c r="O148">
        <v>85.520333333333298</v>
      </c>
      <c r="P148">
        <v>84.665428571428606</v>
      </c>
      <c r="Q148">
        <v>70.760333333333307</v>
      </c>
      <c r="R148">
        <v>55.506666666666703</v>
      </c>
      <c r="S148">
        <v>66.084999999999994</v>
      </c>
      <c r="T148">
        <v>56.559666666666701</v>
      </c>
      <c r="U148">
        <v>70.927499999999995</v>
      </c>
    </row>
    <row r="149" spans="1:21" x14ac:dyDescent="0.2">
      <c r="A149" t="s">
        <v>271</v>
      </c>
      <c r="B149" t="s">
        <v>272</v>
      </c>
      <c r="C149">
        <v>59.415672836912499</v>
      </c>
      <c r="D149">
        <v>124</v>
      </c>
      <c r="E149">
        <v>17.272500000000001</v>
      </c>
      <c r="F149">
        <v>59.852125000000001</v>
      </c>
      <c r="G149">
        <v>59.501214285714298</v>
      </c>
      <c r="H149">
        <v>54.694249999999997</v>
      </c>
      <c r="I149">
        <v>80.867999999999995</v>
      </c>
      <c r="J149">
        <v>59.511400000000002</v>
      </c>
      <c r="K149">
        <v>38.573999999999998</v>
      </c>
      <c r="L149">
        <v>69.015333333333402</v>
      </c>
      <c r="M149">
        <v>23.483499999999999</v>
      </c>
      <c r="N149">
        <v>34.901499999999999</v>
      </c>
      <c r="O149">
        <v>55.695500000000003</v>
      </c>
      <c r="P149">
        <v>95.373428571428605</v>
      </c>
      <c r="Q149">
        <v>99.147999999999996</v>
      </c>
      <c r="S149">
        <v>65.341200000000001</v>
      </c>
      <c r="T149">
        <v>70.855000000000004</v>
      </c>
      <c r="U149">
        <v>57.981499999999997</v>
      </c>
    </row>
    <row r="150" spans="1:21" x14ac:dyDescent="0.2">
      <c r="A150" t="s">
        <v>207</v>
      </c>
      <c r="B150" t="s">
        <v>208</v>
      </c>
      <c r="C150">
        <v>66.562038712757797</v>
      </c>
      <c r="D150">
        <v>96</v>
      </c>
      <c r="F150">
        <v>58.815874999999998</v>
      </c>
      <c r="G150">
        <v>78.194857142857103</v>
      </c>
      <c r="H150">
        <v>78.898750000000007</v>
      </c>
      <c r="I150">
        <v>46.02075</v>
      </c>
      <c r="J150">
        <v>56.0944</v>
      </c>
      <c r="K150">
        <v>68.652500000000003</v>
      </c>
      <c r="L150">
        <v>71.751249999999999</v>
      </c>
      <c r="M150">
        <v>79.209333333333305</v>
      </c>
      <c r="O150">
        <v>47.889499999999998</v>
      </c>
      <c r="P150">
        <v>74.187571428571403</v>
      </c>
      <c r="Q150">
        <v>50.6176666666667</v>
      </c>
      <c r="R150">
        <v>63.691499999999998</v>
      </c>
      <c r="S150">
        <v>49.264000000000003</v>
      </c>
      <c r="T150">
        <v>80.434749999999994</v>
      </c>
      <c r="U150">
        <v>58.389000000000003</v>
      </c>
    </row>
    <row r="151" spans="1:21" x14ac:dyDescent="0.2">
      <c r="A151" t="s">
        <v>339</v>
      </c>
      <c r="B151" t="s">
        <v>340</v>
      </c>
      <c r="C151">
        <v>49.6261396358544</v>
      </c>
      <c r="D151">
        <v>159</v>
      </c>
      <c r="E151">
        <v>40.756</v>
      </c>
      <c r="F151">
        <v>24.655200000000001</v>
      </c>
      <c r="G151">
        <v>51.330142857142803</v>
      </c>
      <c r="H151">
        <v>31.793749999999999</v>
      </c>
      <c r="I151">
        <v>41.107250000000001</v>
      </c>
      <c r="J151">
        <v>32.6</v>
      </c>
      <c r="K151">
        <v>68.773499999999999</v>
      </c>
      <c r="L151">
        <v>34.405166666666702</v>
      </c>
      <c r="M151">
        <v>16.766999999999999</v>
      </c>
      <c r="N151">
        <v>75.032499999999999</v>
      </c>
      <c r="O151">
        <v>30.280249999999999</v>
      </c>
      <c r="P151">
        <v>95.067142857142898</v>
      </c>
      <c r="Q151">
        <v>99.18</v>
      </c>
      <c r="R151">
        <v>64.303399999999996</v>
      </c>
      <c r="S151">
        <v>49.357500000000002</v>
      </c>
      <c r="T151">
        <v>53.088571428571399</v>
      </c>
      <c r="U151">
        <v>35.146999999999998</v>
      </c>
    </row>
    <row r="152" spans="1:21" x14ac:dyDescent="0.2">
      <c r="A152" t="s">
        <v>261</v>
      </c>
      <c r="B152" t="s">
        <v>262</v>
      </c>
      <c r="C152">
        <v>58.703389495798298</v>
      </c>
      <c r="D152">
        <v>126</v>
      </c>
      <c r="E152">
        <v>28.85</v>
      </c>
      <c r="F152">
        <v>62.197249999999997</v>
      </c>
      <c r="G152">
        <v>57.656142857142903</v>
      </c>
      <c r="H152">
        <v>28.56175</v>
      </c>
      <c r="I152">
        <v>44.134500000000003</v>
      </c>
      <c r="J152">
        <v>64.911000000000001</v>
      </c>
      <c r="K152">
        <v>58.083500000000001</v>
      </c>
      <c r="L152">
        <v>72.349999999999994</v>
      </c>
      <c r="M152">
        <v>23.9218333333333</v>
      </c>
      <c r="N152">
        <v>51.034500000000001</v>
      </c>
      <c r="O152">
        <v>64.055750000000003</v>
      </c>
      <c r="P152">
        <v>96.227428571428604</v>
      </c>
      <c r="Q152">
        <v>97.46</v>
      </c>
      <c r="R152">
        <v>65.721166666666704</v>
      </c>
      <c r="S152">
        <v>62.328400000000002</v>
      </c>
      <c r="T152">
        <v>63.926400000000001</v>
      </c>
      <c r="U152">
        <v>56.537999999999997</v>
      </c>
    </row>
    <row r="153" spans="1:21" x14ac:dyDescent="0.2">
      <c r="A153" t="s">
        <v>147</v>
      </c>
      <c r="B153" t="s">
        <v>148</v>
      </c>
      <c r="C153">
        <v>71.719216660830995</v>
      </c>
      <c r="D153">
        <v>60</v>
      </c>
      <c r="E153">
        <v>98.460499999999996</v>
      </c>
      <c r="F153">
        <v>76.097666666666697</v>
      </c>
      <c r="G153">
        <v>94.883214285714303</v>
      </c>
      <c r="H153">
        <v>97.681749999999994</v>
      </c>
      <c r="I153">
        <v>72.238500000000002</v>
      </c>
      <c r="J153">
        <v>74.186000000000007</v>
      </c>
      <c r="K153">
        <v>71.936499999999995</v>
      </c>
      <c r="L153">
        <v>70.028499999999994</v>
      </c>
      <c r="M153">
        <v>90.641833333333295</v>
      </c>
      <c r="O153">
        <v>94.736999999999995</v>
      </c>
      <c r="P153">
        <v>56.963857142857101</v>
      </c>
      <c r="Q153">
        <v>53.703333333333298</v>
      </c>
      <c r="R153">
        <v>43.499400000000001</v>
      </c>
      <c r="S153">
        <v>30.148250000000001</v>
      </c>
      <c r="T153">
        <v>86.935555555555595</v>
      </c>
      <c r="U153">
        <v>42.749666666666698</v>
      </c>
    </row>
    <row r="154" spans="1:21" x14ac:dyDescent="0.2">
      <c r="A154" t="s">
        <v>389</v>
      </c>
      <c r="B154" t="s">
        <v>390</v>
      </c>
    </row>
    <row r="155" spans="1:21" x14ac:dyDescent="0.2">
      <c r="A155" t="s">
        <v>293</v>
      </c>
      <c r="B155" t="s">
        <v>294</v>
      </c>
      <c r="C155">
        <v>52.9814285014006</v>
      </c>
      <c r="D155">
        <v>146</v>
      </c>
      <c r="E155">
        <v>25.165500000000002</v>
      </c>
      <c r="F155">
        <v>56.005875000000003</v>
      </c>
      <c r="G155">
        <v>31.7205714285714</v>
      </c>
      <c r="H155">
        <v>54.661999999999999</v>
      </c>
      <c r="I155">
        <v>51.185499999999998</v>
      </c>
      <c r="J155">
        <v>49.09</v>
      </c>
      <c r="K155">
        <v>6.2243333333333304</v>
      </c>
      <c r="L155">
        <v>59.256</v>
      </c>
      <c r="M155">
        <v>6.9608333333333299</v>
      </c>
      <c r="N155">
        <v>69.700500000000005</v>
      </c>
      <c r="O155">
        <v>35.890500000000003</v>
      </c>
      <c r="P155">
        <v>98.268571428571505</v>
      </c>
      <c r="Q155">
        <v>99.254333333333307</v>
      </c>
      <c r="R155">
        <v>72.799833333333297</v>
      </c>
      <c r="S155">
        <v>56.590600000000002</v>
      </c>
      <c r="T155">
        <v>58.926000000000002</v>
      </c>
      <c r="U155">
        <v>68.983333333333306</v>
      </c>
    </row>
    <row r="156" spans="1:21" x14ac:dyDescent="0.2">
      <c r="A156" t="s">
        <v>165</v>
      </c>
      <c r="B156" t="s">
        <v>166</v>
      </c>
      <c r="C156">
        <v>69.6031923669468</v>
      </c>
      <c r="D156">
        <v>79</v>
      </c>
      <c r="E156">
        <v>93.608000000000004</v>
      </c>
      <c r="F156">
        <v>54.137625</v>
      </c>
      <c r="G156">
        <v>78.080642857142905</v>
      </c>
      <c r="H156">
        <v>76.139499999999998</v>
      </c>
      <c r="I156">
        <v>68.416749999999993</v>
      </c>
      <c r="J156">
        <v>72.444400000000002</v>
      </c>
      <c r="K156">
        <v>87.523250000000004</v>
      </c>
      <c r="L156">
        <v>62.338333333333303</v>
      </c>
      <c r="M156">
        <v>24.822666666666699</v>
      </c>
      <c r="N156">
        <v>58.490499999999997</v>
      </c>
      <c r="O156">
        <v>82.939499999999995</v>
      </c>
      <c r="P156">
        <v>89.869285714285695</v>
      </c>
      <c r="Q156">
        <v>93.853666666666697</v>
      </c>
      <c r="R156">
        <v>47.587000000000003</v>
      </c>
      <c r="S156">
        <v>69.986000000000004</v>
      </c>
      <c r="T156">
        <v>58.4529</v>
      </c>
      <c r="U156">
        <v>64.564250000000001</v>
      </c>
    </row>
    <row r="157" spans="1:21" x14ac:dyDescent="0.2">
      <c r="A157" t="s">
        <v>391</v>
      </c>
      <c r="B157" t="s">
        <v>392</v>
      </c>
    </row>
    <row r="158" spans="1:21" x14ac:dyDescent="0.2">
      <c r="A158" t="s">
        <v>343</v>
      </c>
      <c r="B158" t="s">
        <v>344</v>
      </c>
      <c r="C158">
        <v>45.567349976657297</v>
      </c>
      <c r="D158">
        <v>160</v>
      </c>
      <c r="E158">
        <v>11.756</v>
      </c>
      <c r="F158">
        <v>26.902000000000001</v>
      </c>
      <c r="G158">
        <v>21.234500000000001</v>
      </c>
      <c r="I158">
        <v>25.5676666666667</v>
      </c>
      <c r="J158">
        <v>49.3</v>
      </c>
      <c r="K158">
        <v>32.470666666666702</v>
      </c>
      <c r="L158">
        <v>49.348999999999997</v>
      </c>
      <c r="M158">
        <v>1.9135</v>
      </c>
      <c r="N158">
        <v>73.802999999999997</v>
      </c>
      <c r="O158">
        <v>56.618749999999999</v>
      </c>
      <c r="P158">
        <v>94.421400000000006</v>
      </c>
      <c r="Q158">
        <v>99.921000000000006</v>
      </c>
      <c r="R158">
        <v>51.324800000000003</v>
      </c>
      <c r="S158">
        <v>53.997999999999998</v>
      </c>
      <c r="T158">
        <v>45.254199999999997</v>
      </c>
      <c r="U158">
        <v>33.3333333333333</v>
      </c>
    </row>
    <row r="159" spans="1:21" x14ac:dyDescent="0.2">
      <c r="A159" t="s">
        <v>91</v>
      </c>
      <c r="B159" t="s">
        <v>92</v>
      </c>
      <c r="C159">
        <v>75.887967691622094</v>
      </c>
      <c r="D159">
        <v>35</v>
      </c>
      <c r="E159">
        <v>99.787999999999997</v>
      </c>
      <c r="F159">
        <v>72.609375</v>
      </c>
      <c r="G159">
        <v>81.996714285714305</v>
      </c>
      <c r="H159">
        <v>94.176500000000004</v>
      </c>
      <c r="I159">
        <v>64.699250000000006</v>
      </c>
      <c r="J159">
        <v>75.391999999999996</v>
      </c>
      <c r="K159">
        <v>64.478999999999999</v>
      </c>
      <c r="L159">
        <v>74.141666666666694</v>
      </c>
      <c r="M159">
        <v>62.200666666666699</v>
      </c>
      <c r="N159">
        <v>69.621499999999997</v>
      </c>
      <c r="O159">
        <v>81.350999999999999</v>
      </c>
      <c r="P159">
        <v>85.9952857142857</v>
      </c>
      <c r="Q159">
        <v>85.513666666666694</v>
      </c>
      <c r="S159">
        <v>59.8874</v>
      </c>
      <c r="T159">
        <v>74.656000000000006</v>
      </c>
      <c r="U159">
        <v>81.397750000000002</v>
      </c>
    </row>
    <row r="160" spans="1:21" x14ac:dyDescent="0.2">
      <c r="A160" t="s">
        <v>351</v>
      </c>
      <c r="B160" t="s">
        <v>352</v>
      </c>
      <c r="C160">
        <v>39.045153159041398</v>
      </c>
      <c r="D160">
        <v>163</v>
      </c>
      <c r="E160">
        <v>0</v>
      </c>
      <c r="F160">
        <v>23.323499999999999</v>
      </c>
      <c r="G160">
        <v>23.108000000000001</v>
      </c>
      <c r="H160">
        <v>1.23325</v>
      </c>
      <c r="I160">
        <v>51.517249999999997</v>
      </c>
      <c r="J160">
        <v>41.040599999999998</v>
      </c>
      <c r="K160">
        <v>14.9943333333333</v>
      </c>
      <c r="L160">
        <v>50.0536666666667</v>
      </c>
      <c r="M160">
        <v>1.869</v>
      </c>
      <c r="N160">
        <v>26.619499999999999</v>
      </c>
      <c r="O160">
        <v>13.82625</v>
      </c>
      <c r="P160">
        <v>90.375399999999999</v>
      </c>
      <c r="Q160">
        <v>99.424999999999997</v>
      </c>
      <c r="S160">
        <v>74.750200000000007</v>
      </c>
      <c r="T160">
        <v>42.240666666666698</v>
      </c>
      <c r="U160">
        <v>41.393000000000001</v>
      </c>
    </row>
    <row r="161" spans="1:21" x14ac:dyDescent="0.2">
      <c r="A161" t="s">
        <v>257</v>
      </c>
      <c r="B161" t="s">
        <v>258</v>
      </c>
      <c r="C161">
        <v>59.422842986425302</v>
      </c>
      <c r="D161">
        <v>123</v>
      </c>
      <c r="E161">
        <v>26.735499999999998</v>
      </c>
      <c r="F161">
        <v>58.716999999999999</v>
      </c>
      <c r="G161">
        <v>65.484230769230805</v>
      </c>
      <c r="H161">
        <v>69.341499999999996</v>
      </c>
      <c r="I161">
        <v>50.778750000000002</v>
      </c>
      <c r="J161">
        <v>51.464750000000002</v>
      </c>
      <c r="K161">
        <v>51.188333333333297</v>
      </c>
      <c r="L161">
        <v>64.726333333333301</v>
      </c>
      <c r="M161">
        <v>20.300799999999999</v>
      </c>
      <c r="N161">
        <v>9.4365000000000006</v>
      </c>
      <c r="O161">
        <v>58.537999999999997</v>
      </c>
      <c r="P161">
        <v>95.683800000000005</v>
      </c>
      <c r="Q161">
        <v>98.715000000000003</v>
      </c>
      <c r="R161">
        <v>80.909499999999994</v>
      </c>
      <c r="S161">
        <v>74.459500000000006</v>
      </c>
      <c r="T161">
        <v>74.795166666666702</v>
      </c>
      <c r="U161">
        <v>58.9136666666667</v>
      </c>
    </row>
    <row r="162" spans="1:21" x14ac:dyDescent="0.2">
      <c r="A162" t="s">
        <v>203</v>
      </c>
      <c r="B162" t="s">
        <v>204</v>
      </c>
      <c r="C162">
        <v>71.590953338001896</v>
      </c>
      <c r="D162">
        <v>62</v>
      </c>
      <c r="E162">
        <v>75.331999999999994</v>
      </c>
      <c r="F162">
        <v>62.374857142857103</v>
      </c>
      <c r="G162">
        <v>68.897285714285701</v>
      </c>
      <c r="H162">
        <v>72.436999999999998</v>
      </c>
      <c r="I162">
        <v>65.798249999999996</v>
      </c>
      <c r="J162">
        <v>71.383750000000006</v>
      </c>
      <c r="K162">
        <v>90.195666666666696</v>
      </c>
      <c r="L162">
        <v>63.215000000000003</v>
      </c>
      <c r="M162">
        <v>42.239750000000001</v>
      </c>
      <c r="O162">
        <v>86.217749999999995</v>
      </c>
      <c r="P162">
        <v>84.914000000000001</v>
      </c>
      <c r="Q162">
        <v>81.045000000000002</v>
      </c>
      <c r="R162">
        <v>84.455500000000001</v>
      </c>
      <c r="S162">
        <v>78.200800000000001</v>
      </c>
      <c r="T162">
        <v>78.129555555555598</v>
      </c>
      <c r="U162">
        <v>76.465666666666706</v>
      </c>
    </row>
    <row r="163" spans="1:21" x14ac:dyDescent="0.2">
      <c r="A163" t="s">
        <v>65</v>
      </c>
      <c r="B163" t="s">
        <v>66</v>
      </c>
      <c r="C163">
        <v>78.661754140406202</v>
      </c>
      <c r="D163">
        <v>24</v>
      </c>
      <c r="E163">
        <v>98.893000000000001</v>
      </c>
      <c r="F163">
        <v>72.639875000000004</v>
      </c>
      <c r="G163">
        <v>87.017428571428596</v>
      </c>
      <c r="H163">
        <v>83.054000000000002</v>
      </c>
      <c r="I163">
        <v>71.893249999999995</v>
      </c>
      <c r="J163">
        <v>83.527199999999993</v>
      </c>
      <c r="K163">
        <v>75.285250000000005</v>
      </c>
      <c r="L163">
        <v>80.366</v>
      </c>
      <c r="M163">
        <v>69.078999999999994</v>
      </c>
      <c r="N163">
        <v>100</v>
      </c>
      <c r="O163">
        <v>85.174999999999997</v>
      </c>
      <c r="P163">
        <v>75.704142857142898</v>
      </c>
      <c r="Q163">
        <v>64.414666666666704</v>
      </c>
      <c r="S163">
        <v>89.162800000000004</v>
      </c>
      <c r="T163">
        <v>80.838899999999995</v>
      </c>
      <c r="U163">
        <v>56.485999999999997</v>
      </c>
    </row>
    <row r="164" spans="1:21" x14ac:dyDescent="0.2">
      <c r="A164" t="s">
        <v>45</v>
      </c>
      <c r="B164" t="s">
        <v>46</v>
      </c>
      <c r="C164">
        <v>79.950296148459401</v>
      </c>
      <c r="D164">
        <v>15</v>
      </c>
      <c r="E164">
        <v>99.864500000000007</v>
      </c>
      <c r="F164">
        <v>66.905625000000001</v>
      </c>
      <c r="G164">
        <v>93.441714285714298</v>
      </c>
      <c r="H164">
        <v>95.447000000000003</v>
      </c>
      <c r="I164">
        <v>77.161249999999995</v>
      </c>
      <c r="J164">
        <v>87.476200000000006</v>
      </c>
      <c r="K164">
        <v>78.435000000000002</v>
      </c>
      <c r="L164">
        <v>86.472166666666695</v>
      </c>
      <c r="M164">
        <v>75.182166666666703</v>
      </c>
      <c r="N164">
        <v>100</v>
      </c>
      <c r="O164">
        <v>84.023333333333298</v>
      </c>
      <c r="P164">
        <v>63.004428571428598</v>
      </c>
      <c r="Q164">
        <v>60.383000000000003</v>
      </c>
      <c r="R164">
        <v>58.4816</v>
      </c>
      <c r="S164">
        <v>83.549000000000007</v>
      </c>
      <c r="T164">
        <v>86.053299999999993</v>
      </c>
      <c r="U164">
        <v>63.274749999999997</v>
      </c>
    </row>
    <row r="165" spans="1:21" x14ac:dyDescent="0.2">
      <c r="A165" t="s">
        <v>23</v>
      </c>
      <c r="B165" t="s">
        <v>24</v>
      </c>
      <c r="C165">
        <v>85.189279438698605</v>
      </c>
      <c r="D165">
        <v>3</v>
      </c>
      <c r="E165">
        <v>98.881</v>
      </c>
      <c r="F165">
        <v>63.410874999999997</v>
      </c>
      <c r="G165">
        <v>95.718923076923105</v>
      </c>
      <c r="H165">
        <v>99.875666666666703</v>
      </c>
      <c r="I165">
        <v>90.918999999999997</v>
      </c>
      <c r="J165">
        <v>95.057599999999994</v>
      </c>
      <c r="K165">
        <v>93.289749999999998</v>
      </c>
      <c r="L165">
        <v>83.8631666666667</v>
      </c>
      <c r="M165">
        <v>97.326166666666694</v>
      </c>
      <c r="N165">
        <v>93.353999999999999</v>
      </c>
      <c r="O165">
        <v>92.012500000000003</v>
      </c>
      <c r="P165">
        <v>63.091285714285704</v>
      </c>
      <c r="Q165">
        <v>60.238999999999997</v>
      </c>
      <c r="R165">
        <v>67.264666666666699</v>
      </c>
      <c r="S165">
        <v>80.122600000000006</v>
      </c>
      <c r="T165">
        <v>86.577799999999996</v>
      </c>
      <c r="U165">
        <v>87.213750000000005</v>
      </c>
    </row>
    <row r="166" spans="1:21" x14ac:dyDescent="0.2">
      <c r="A166" t="s">
        <v>283</v>
      </c>
      <c r="B166" t="s">
        <v>284</v>
      </c>
      <c r="C166">
        <v>54.633173537192697</v>
      </c>
      <c r="D166">
        <v>137</v>
      </c>
      <c r="E166">
        <v>29.795999999999999</v>
      </c>
      <c r="F166">
        <v>51.995375000000003</v>
      </c>
      <c r="G166">
        <v>37.563071428571398</v>
      </c>
      <c r="H166">
        <v>55.472250000000003</v>
      </c>
      <c r="I166">
        <v>63.736750000000001</v>
      </c>
      <c r="J166">
        <v>35.66075</v>
      </c>
      <c r="K166">
        <v>68.055999999999997</v>
      </c>
      <c r="L166">
        <v>46.745199999999997</v>
      </c>
      <c r="M166">
        <v>12.5556</v>
      </c>
      <c r="N166">
        <v>11.831</v>
      </c>
      <c r="O166">
        <v>78.293499999999995</v>
      </c>
      <c r="P166">
        <v>86.338800000000006</v>
      </c>
      <c r="Q166">
        <v>97.715500000000006</v>
      </c>
      <c r="S166">
        <v>65.652500000000003</v>
      </c>
      <c r="T166">
        <v>56.643666666666697</v>
      </c>
      <c r="U166">
        <v>62.71</v>
      </c>
    </row>
    <row r="167" spans="1:21" x14ac:dyDescent="0.2">
      <c r="A167" t="s">
        <v>393</v>
      </c>
      <c r="B167" t="s">
        <v>394</v>
      </c>
    </row>
    <row r="168" spans="1:21" x14ac:dyDescent="0.2">
      <c r="A168" t="s">
        <v>279</v>
      </c>
      <c r="B168" t="s">
        <v>280</v>
      </c>
      <c r="C168">
        <v>57.373427731092399</v>
      </c>
      <c r="D168">
        <v>129</v>
      </c>
      <c r="F168">
        <v>34.123833333333302</v>
      </c>
      <c r="G168">
        <v>66.232142857142904</v>
      </c>
      <c r="H168">
        <v>44.302750000000003</v>
      </c>
      <c r="I168">
        <v>33.441249999999997</v>
      </c>
      <c r="J168">
        <v>64.72</v>
      </c>
      <c r="K168">
        <v>62.21</v>
      </c>
      <c r="L168">
        <v>59.159666666666702</v>
      </c>
      <c r="M168">
        <v>15.032166666666701</v>
      </c>
      <c r="N168">
        <v>71.831000000000003</v>
      </c>
      <c r="O168">
        <v>50.975000000000001</v>
      </c>
      <c r="P168">
        <v>92.829666666666697</v>
      </c>
      <c r="Q168">
        <v>95.090500000000006</v>
      </c>
      <c r="R168">
        <v>49.1068</v>
      </c>
      <c r="S168">
        <v>52.831400000000002</v>
      </c>
      <c r="T168">
        <v>41.918428571428599</v>
      </c>
      <c r="U168">
        <v>48.968666666666699</v>
      </c>
    </row>
    <row r="169" spans="1:21" x14ac:dyDescent="0.2">
      <c r="A169" t="s">
        <v>347</v>
      </c>
      <c r="B169" t="s">
        <v>348</v>
      </c>
      <c r="C169">
        <v>41.289431870526002</v>
      </c>
      <c r="D169">
        <v>161</v>
      </c>
      <c r="E169">
        <v>19.311499999999999</v>
      </c>
      <c r="F169">
        <v>34.927571428571397</v>
      </c>
      <c r="G169">
        <v>23.1913571428571</v>
      </c>
      <c r="H169">
        <v>10.8485</v>
      </c>
      <c r="I169">
        <v>21.74475</v>
      </c>
      <c r="J169">
        <v>42.403599999999997</v>
      </c>
      <c r="K169">
        <v>9.0416666666666696</v>
      </c>
      <c r="L169">
        <v>58.866199999999999</v>
      </c>
      <c r="M169">
        <v>8.9248333333333303</v>
      </c>
      <c r="N169">
        <v>36.527999999999999</v>
      </c>
      <c r="O169">
        <v>26.674499999999998</v>
      </c>
      <c r="P169">
        <v>90.059833333333401</v>
      </c>
      <c r="Q169">
        <v>98.969499999999996</v>
      </c>
      <c r="S169">
        <v>75.604399999999998</v>
      </c>
      <c r="T169">
        <v>30.527142857142898</v>
      </c>
      <c r="U169">
        <v>46.298999999999999</v>
      </c>
    </row>
    <row r="170" spans="1:21" x14ac:dyDescent="0.2">
      <c r="A170" t="s">
        <v>291</v>
      </c>
      <c r="B170" t="s">
        <v>292</v>
      </c>
      <c r="C170">
        <v>55.565387114845898</v>
      </c>
      <c r="D170">
        <v>133</v>
      </c>
      <c r="E170">
        <v>19.449000000000002</v>
      </c>
      <c r="F170">
        <v>60.100749999999998</v>
      </c>
      <c r="G170">
        <v>44.467071428571401</v>
      </c>
      <c r="H170">
        <v>78.926749999999998</v>
      </c>
      <c r="I170">
        <v>43.140749999999997</v>
      </c>
      <c r="J170">
        <v>50.8932</v>
      </c>
      <c r="K170">
        <v>42.871250000000003</v>
      </c>
      <c r="L170">
        <v>65.890166666666701</v>
      </c>
      <c r="M170">
        <v>16.791833333333301</v>
      </c>
      <c r="N170">
        <v>38.0595</v>
      </c>
      <c r="O170">
        <v>37.178249999999998</v>
      </c>
      <c r="P170">
        <v>97.241142857142904</v>
      </c>
      <c r="Q170">
        <v>98.693666666666701</v>
      </c>
      <c r="R170">
        <v>71.957999999999998</v>
      </c>
      <c r="S170">
        <v>77.364249999999998</v>
      </c>
      <c r="T170">
        <v>50.936</v>
      </c>
      <c r="U170">
        <v>50.65</v>
      </c>
    </row>
    <row r="171" spans="1:21" x14ac:dyDescent="0.2">
      <c r="A171" t="s">
        <v>105</v>
      </c>
      <c r="B171" t="s">
        <v>106</v>
      </c>
      <c r="C171">
        <v>74.125647992530403</v>
      </c>
      <c r="D171">
        <v>44</v>
      </c>
      <c r="E171">
        <v>99.990499999999997</v>
      </c>
      <c r="F171">
        <v>57.296750000000003</v>
      </c>
      <c r="G171">
        <v>78.957214285714301</v>
      </c>
      <c r="H171">
        <v>93.593999999999994</v>
      </c>
      <c r="I171">
        <v>69.399749999999997</v>
      </c>
      <c r="J171">
        <v>76.407600000000002</v>
      </c>
      <c r="K171">
        <v>72.673500000000004</v>
      </c>
      <c r="L171">
        <v>72.450333333333305</v>
      </c>
      <c r="M171">
        <v>58.6591666666667</v>
      </c>
      <c r="N171">
        <v>69.702500000000001</v>
      </c>
      <c r="O171">
        <v>77.186499999999995</v>
      </c>
      <c r="P171">
        <v>83.749857142857195</v>
      </c>
      <c r="Q171">
        <v>85.687333333333299</v>
      </c>
      <c r="R171">
        <v>69.526166666666697</v>
      </c>
      <c r="S171">
        <v>65.359399999999994</v>
      </c>
      <c r="T171">
        <v>70.264444444444507</v>
      </c>
      <c r="U171">
        <v>59.231000000000002</v>
      </c>
    </row>
    <row r="172" spans="1:21" x14ac:dyDescent="0.2">
      <c r="A172" t="s">
        <v>189</v>
      </c>
      <c r="B172" t="s">
        <v>190</v>
      </c>
      <c r="C172">
        <v>69.683866221033895</v>
      </c>
      <c r="D172">
        <v>78</v>
      </c>
      <c r="E172">
        <v>90.939499999999995</v>
      </c>
      <c r="F172">
        <v>59.594999999999999</v>
      </c>
      <c r="G172">
        <v>68.339571428571404</v>
      </c>
      <c r="H172">
        <v>73.494500000000002</v>
      </c>
      <c r="I172">
        <v>55.156500000000001</v>
      </c>
      <c r="J172">
        <v>61.8874</v>
      </c>
      <c r="K172">
        <v>90.052000000000007</v>
      </c>
      <c r="L172">
        <v>72.864599999999996</v>
      </c>
      <c r="M172">
        <v>12.407999999999999</v>
      </c>
      <c r="N172">
        <v>76.438500000000005</v>
      </c>
      <c r="O172">
        <v>76.640500000000003</v>
      </c>
      <c r="P172">
        <v>95.918666666666695</v>
      </c>
      <c r="Q172">
        <v>96.950333333333305</v>
      </c>
      <c r="S172">
        <v>68.7928</v>
      </c>
      <c r="T172">
        <v>72.072428571428603</v>
      </c>
      <c r="U172">
        <v>50.885750000000002</v>
      </c>
    </row>
    <row r="173" spans="1:21" x14ac:dyDescent="0.2">
      <c r="A173" t="s">
        <v>201</v>
      </c>
      <c r="B173" t="s">
        <v>202</v>
      </c>
      <c r="C173">
        <v>66.052119512350401</v>
      </c>
      <c r="D173">
        <v>99</v>
      </c>
      <c r="E173">
        <v>91.119500000000002</v>
      </c>
      <c r="F173">
        <v>55.24</v>
      </c>
      <c r="G173">
        <v>70.607500000000002</v>
      </c>
      <c r="H173">
        <v>99.635000000000005</v>
      </c>
      <c r="I173">
        <v>60.270333333333298</v>
      </c>
      <c r="J173">
        <v>59.236600000000003</v>
      </c>
      <c r="K173">
        <v>57.823999999999998</v>
      </c>
      <c r="L173">
        <v>66.084199999999996</v>
      </c>
      <c r="M173">
        <v>12.371</v>
      </c>
      <c r="O173">
        <v>80.085666666666697</v>
      </c>
      <c r="P173">
        <v>87.275666666666694</v>
      </c>
      <c r="Q173">
        <v>57.912999999999997</v>
      </c>
      <c r="S173">
        <v>63.893799999999999</v>
      </c>
      <c r="T173">
        <v>73.876874999999998</v>
      </c>
      <c r="U173">
        <v>42.893333333333302</v>
      </c>
    </row>
    <row r="174" spans="1:21" x14ac:dyDescent="0.2">
      <c r="A174" t="s">
        <v>395</v>
      </c>
      <c r="B174" t="s">
        <v>396</v>
      </c>
    </row>
    <row r="175" spans="1:21" x14ac:dyDescent="0.2">
      <c r="A175" t="s">
        <v>397</v>
      </c>
      <c r="B175" t="s">
        <v>398</v>
      </c>
    </row>
    <row r="176" spans="1:21" x14ac:dyDescent="0.2">
      <c r="A176" t="s">
        <v>247</v>
      </c>
      <c r="B176" t="s">
        <v>248</v>
      </c>
      <c r="C176">
        <v>60.408157072829198</v>
      </c>
      <c r="D176">
        <v>119</v>
      </c>
      <c r="E176">
        <v>98.456500000000005</v>
      </c>
      <c r="F176">
        <v>54.997500000000002</v>
      </c>
      <c r="G176">
        <v>82.282928571428599</v>
      </c>
      <c r="H176">
        <v>90.194500000000005</v>
      </c>
      <c r="I176">
        <v>65.101749999999996</v>
      </c>
      <c r="J176">
        <v>71.414000000000001</v>
      </c>
      <c r="K176">
        <v>56.211750000000002</v>
      </c>
      <c r="L176">
        <v>77.078999999999994</v>
      </c>
      <c r="M176">
        <v>28.420999999999999</v>
      </c>
      <c r="O176">
        <v>78.043666666666695</v>
      </c>
      <c r="P176">
        <v>70.108999999999995</v>
      </c>
      <c r="Q176">
        <v>0</v>
      </c>
      <c r="R176">
        <v>49.9493333333333</v>
      </c>
      <c r="S176">
        <v>53.999200000000002</v>
      </c>
      <c r="T176">
        <v>58.936500000000002</v>
      </c>
      <c r="U176">
        <v>55.997666666666703</v>
      </c>
    </row>
    <row r="177" spans="1:21" x14ac:dyDescent="0.2">
      <c r="A177" t="s">
        <v>135</v>
      </c>
      <c r="B177" t="s">
        <v>136</v>
      </c>
      <c r="C177">
        <v>70.687606302521004</v>
      </c>
      <c r="D177">
        <v>69</v>
      </c>
      <c r="E177">
        <v>97.117500000000007</v>
      </c>
      <c r="F177">
        <v>54.935857142857202</v>
      </c>
      <c r="G177">
        <v>78.741714285714295</v>
      </c>
      <c r="H177">
        <v>68.674250000000001</v>
      </c>
      <c r="I177">
        <v>47.992249999999999</v>
      </c>
      <c r="J177">
        <v>65.947599999999994</v>
      </c>
      <c r="K177">
        <v>74.312749999999994</v>
      </c>
      <c r="L177">
        <v>56.417000000000002</v>
      </c>
      <c r="M177">
        <v>48.3898333333333</v>
      </c>
      <c r="N177">
        <v>80.847499999999997</v>
      </c>
      <c r="O177">
        <v>68.954499999999996</v>
      </c>
      <c r="P177">
        <v>89.103285714285704</v>
      </c>
      <c r="Q177">
        <v>92.477666666666707</v>
      </c>
      <c r="R177">
        <v>61.616500000000002</v>
      </c>
      <c r="S177">
        <v>71.826599999999999</v>
      </c>
      <c r="T177">
        <v>70.913499999999999</v>
      </c>
      <c r="U177">
        <v>73.421000000000006</v>
      </c>
    </row>
    <row r="178" spans="1:21" x14ac:dyDescent="0.2">
      <c r="A178" t="s">
        <v>436</v>
      </c>
      <c r="B178" t="s">
        <v>164</v>
      </c>
      <c r="C178">
        <v>70.409502754435096</v>
      </c>
      <c r="D178">
        <v>71</v>
      </c>
      <c r="E178">
        <v>99.439499999999995</v>
      </c>
      <c r="F178">
        <v>65.245999999999995</v>
      </c>
      <c r="G178">
        <v>82.990357142857206</v>
      </c>
      <c r="H178">
        <v>84.6845</v>
      </c>
      <c r="I178">
        <v>45.614750000000001</v>
      </c>
      <c r="J178">
        <v>75.793599999999998</v>
      </c>
      <c r="K178">
        <v>75.15925</v>
      </c>
      <c r="L178">
        <v>60.062833333333302</v>
      </c>
      <c r="M178">
        <v>64.134666666666703</v>
      </c>
      <c r="N178">
        <v>50.343499999999999</v>
      </c>
      <c r="O178">
        <v>73.118750000000006</v>
      </c>
      <c r="P178">
        <v>85.505428571428595</v>
      </c>
      <c r="Q178">
        <v>85.894000000000005</v>
      </c>
      <c r="R178">
        <v>52.5833333333333</v>
      </c>
      <c r="S178">
        <v>53.678800000000003</v>
      </c>
      <c r="T178">
        <v>68.049777777777805</v>
      </c>
      <c r="U178">
        <v>74.662499999999994</v>
      </c>
    </row>
    <row r="179" spans="1:21" x14ac:dyDescent="0.2">
      <c r="A179" t="s">
        <v>399</v>
      </c>
      <c r="B179" t="s">
        <v>400</v>
      </c>
    </row>
    <row r="180" spans="1:21" x14ac:dyDescent="0.2">
      <c r="A180" t="s">
        <v>287</v>
      </c>
      <c r="B180" t="s">
        <v>288</v>
      </c>
      <c r="C180">
        <v>57.367620798319301</v>
      </c>
      <c r="D180">
        <v>130</v>
      </c>
      <c r="E180">
        <v>17.954499999999999</v>
      </c>
      <c r="F180">
        <v>59.748874999999998</v>
      </c>
      <c r="G180">
        <v>43.9289285714286</v>
      </c>
      <c r="H180">
        <v>47.627000000000002</v>
      </c>
      <c r="I180">
        <v>72.833749999999995</v>
      </c>
      <c r="J180">
        <v>51.953400000000002</v>
      </c>
      <c r="K180">
        <v>52.253250000000001</v>
      </c>
      <c r="L180">
        <v>67.676333333333304</v>
      </c>
      <c r="M180">
        <v>22.291499999999999</v>
      </c>
      <c r="N180">
        <v>50.377499999999998</v>
      </c>
      <c r="O180">
        <v>62.017749999999999</v>
      </c>
      <c r="P180">
        <v>95.92</v>
      </c>
      <c r="Q180">
        <v>98.901333333333397</v>
      </c>
      <c r="R180">
        <v>74.584333333333305</v>
      </c>
      <c r="S180">
        <v>59.799399999999999</v>
      </c>
      <c r="T180">
        <v>52.856200000000001</v>
      </c>
      <c r="U180">
        <v>44.525500000000001</v>
      </c>
    </row>
    <row r="181" spans="1:21" x14ac:dyDescent="0.2">
      <c r="A181" t="s">
        <v>301</v>
      </c>
      <c r="B181" t="s">
        <v>302</v>
      </c>
      <c r="C181">
        <v>54.857514923747303</v>
      </c>
      <c r="D181">
        <v>136</v>
      </c>
      <c r="E181">
        <v>26.301500000000001</v>
      </c>
      <c r="F181">
        <v>64.419714285714306</v>
      </c>
      <c r="G181">
        <v>49.216642857142901</v>
      </c>
      <c r="H181">
        <v>45.374250000000004</v>
      </c>
      <c r="I181">
        <v>59.905250000000002</v>
      </c>
      <c r="J181">
        <v>47.476999999999997</v>
      </c>
      <c r="K181">
        <v>39.977333333333299</v>
      </c>
      <c r="L181">
        <v>64.118499999999997</v>
      </c>
      <c r="M181">
        <v>26.739000000000001</v>
      </c>
      <c r="N181">
        <v>39.356499999999997</v>
      </c>
      <c r="O181">
        <v>48.392000000000003</v>
      </c>
      <c r="P181">
        <v>96.468142857142894</v>
      </c>
      <c r="Q181">
        <v>99.259333333333402</v>
      </c>
      <c r="S181">
        <v>63.270200000000003</v>
      </c>
      <c r="T181">
        <v>46.547400000000003</v>
      </c>
      <c r="U181">
        <v>47.756999999999998</v>
      </c>
    </row>
    <row r="182" spans="1:21" x14ac:dyDescent="0.2">
      <c r="A182" t="s">
        <v>95</v>
      </c>
      <c r="B182" t="s">
        <v>96</v>
      </c>
      <c r="C182">
        <v>75.693983123249296</v>
      </c>
      <c r="D182">
        <v>37</v>
      </c>
      <c r="E182">
        <v>99.836500000000001</v>
      </c>
      <c r="F182">
        <v>64.117374999999996</v>
      </c>
      <c r="G182">
        <v>76.797571428571402</v>
      </c>
      <c r="H182">
        <v>80.165999999999997</v>
      </c>
      <c r="I182">
        <v>67.668000000000006</v>
      </c>
      <c r="J182">
        <v>78.849199999999996</v>
      </c>
      <c r="K182">
        <v>69.6845</v>
      </c>
      <c r="L182">
        <v>71.454499999999996</v>
      </c>
      <c r="M182">
        <v>48.765500000000003</v>
      </c>
      <c r="N182">
        <v>99.468500000000006</v>
      </c>
      <c r="O182">
        <v>75.491249999999994</v>
      </c>
      <c r="P182">
        <v>88.126000000000005</v>
      </c>
      <c r="Q182">
        <v>89.337999999999994</v>
      </c>
      <c r="R182">
        <v>73.379166666666706</v>
      </c>
      <c r="S182">
        <v>63.747399999999999</v>
      </c>
      <c r="T182">
        <v>66.493499999999997</v>
      </c>
      <c r="U182">
        <v>73.414749999999998</v>
      </c>
    </row>
    <row r="183" spans="1:21" x14ac:dyDescent="0.2">
      <c r="A183" t="s">
        <v>83</v>
      </c>
      <c r="B183" t="s">
        <v>84</v>
      </c>
      <c r="C183">
        <v>77.003330392156897</v>
      </c>
      <c r="D183">
        <v>31</v>
      </c>
      <c r="E183">
        <v>99.932000000000002</v>
      </c>
      <c r="F183">
        <v>68.410250000000005</v>
      </c>
      <c r="G183">
        <v>84.640642857142893</v>
      </c>
      <c r="H183">
        <v>95.891000000000005</v>
      </c>
      <c r="I183">
        <v>71.415333333333294</v>
      </c>
      <c r="J183">
        <v>76.222999999999999</v>
      </c>
      <c r="K183">
        <v>97.697000000000003</v>
      </c>
      <c r="L183">
        <v>77.011333333333297</v>
      </c>
      <c r="M183">
        <v>50.773666666666699</v>
      </c>
      <c r="N183">
        <v>54.0045</v>
      </c>
      <c r="O183">
        <v>91.129000000000005</v>
      </c>
      <c r="P183">
        <v>75.097857142857094</v>
      </c>
      <c r="Q183">
        <v>91.188000000000002</v>
      </c>
      <c r="R183">
        <v>57.878166666666701</v>
      </c>
      <c r="S183">
        <v>60.2102</v>
      </c>
      <c r="T183">
        <v>81.39</v>
      </c>
      <c r="U183">
        <v>76.164666666666704</v>
      </c>
    </row>
    <row r="184" spans="1:21" x14ac:dyDescent="0.2">
      <c r="A184" t="s">
        <v>97</v>
      </c>
      <c r="B184" t="s">
        <v>98</v>
      </c>
      <c r="C184">
        <v>74.551987605042001</v>
      </c>
      <c r="D184">
        <v>41</v>
      </c>
      <c r="E184">
        <v>99.134</v>
      </c>
      <c r="F184">
        <v>69.528125000000003</v>
      </c>
      <c r="G184">
        <v>88.009214285714293</v>
      </c>
      <c r="H184">
        <v>94.099000000000004</v>
      </c>
      <c r="I184">
        <v>76.5625</v>
      </c>
      <c r="J184">
        <v>85.068399999999997</v>
      </c>
      <c r="K184">
        <v>72.503</v>
      </c>
      <c r="L184">
        <v>79.105666666666707</v>
      </c>
      <c r="M184">
        <v>94.543833333333296</v>
      </c>
      <c r="N184">
        <v>51.984999999999999</v>
      </c>
      <c r="O184">
        <v>90.563749999999999</v>
      </c>
      <c r="P184">
        <v>67.822999999999993</v>
      </c>
      <c r="Q184">
        <v>45.090666666666699</v>
      </c>
      <c r="R184">
        <v>62.289166666666702</v>
      </c>
      <c r="S184">
        <v>56.040599999999998</v>
      </c>
      <c r="T184">
        <v>71.967200000000005</v>
      </c>
      <c r="U184">
        <v>63.070666666666703</v>
      </c>
    </row>
    <row r="185" spans="1:21" x14ac:dyDescent="0.2">
      <c r="A185" t="s">
        <v>157</v>
      </c>
      <c r="B185" t="s">
        <v>158</v>
      </c>
      <c r="C185">
        <v>69.934752775655696</v>
      </c>
      <c r="D185">
        <v>77</v>
      </c>
      <c r="E185">
        <v>74.605999999999995</v>
      </c>
      <c r="F185">
        <v>65.415714285714301</v>
      </c>
      <c r="G185">
        <v>78.575142857142893</v>
      </c>
      <c r="H185">
        <v>84.447500000000005</v>
      </c>
      <c r="I185">
        <v>70.225666666666697</v>
      </c>
      <c r="J185">
        <v>58.805199999999999</v>
      </c>
      <c r="K185">
        <v>63.393500000000003</v>
      </c>
      <c r="L185">
        <v>64.263499999999993</v>
      </c>
      <c r="M185">
        <v>34.300833333333301</v>
      </c>
      <c r="N185">
        <v>78.028000000000006</v>
      </c>
      <c r="O185">
        <v>74.194000000000003</v>
      </c>
      <c r="P185">
        <v>96.1101666666667</v>
      </c>
      <c r="Q185">
        <v>92.788333333333398</v>
      </c>
      <c r="S185">
        <v>64.736599999999996</v>
      </c>
      <c r="T185">
        <v>70.856714285714304</v>
      </c>
      <c r="U185">
        <v>55.954250000000002</v>
      </c>
    </row>
    <row r="186" spans="1:21" x14ac:dyDescent="0.2">
      <c r="A186" t="s">
        <v>401</v>
      </c>
      <c r="B186" t="s">
        <v>402</v>
      </c>
    </row>
    <row r="187" spans="1:21" x14ac:dyDescent="0.2">
      <c r="A187" t="s">
        <v>253</v>
      </c>
      <c r="B187" t="s">
        <v>254</v>
      </c>
      <c r="C187">
        <v>60.3375829598506</v>
      </c>
      <c r="D187">
        <v>120</v>
      </c>
      <c r="E187">
        <v>13.188499999999999</v>
      </c>
      <c r="F187">
        <v>44.5768571428572</v>
      </c>
      <c r="G187">
        <v>64.591714285714303</v>
      </c>
      <c r="H187">
        <v>81.22</v>
      </c>
      <c r="I187">
        <v>60.103666666666697</v>
      </c>
      <c r="J187">
        <v>77.574399999999997</v>
      </c>
      <c r="K187">
        <v>76.232249999999993</v>
      </c>
      <c r="L187">
        <v>73.267200000000003</v>
      </c>
      <c r="M187">
        <v>30.467833333333299</v>
      </c>
      <c r="N187">
        <v>51.268000000000001</v>
      </c>
      <c r="O187">
        <v>49.5713333333333</v>
      </c>
      <c r="P187">
        <v>85.456833333333293</v>
      </c>
      <c r="Q187">
        <v>92.421999999999997</v>
      </c>
      <c r="R187">
        <v>75.456833333333293</v>
      </c>
      <c r="S187">
        <v>67.007599999999996</v>
      </c>
      <c r="T187">
        <v>33.138555555555598</v>
      </c>
      <c r="U187">
        <v>50.195333333333302</v>
      </c>
    </row>
    <row r="188" spans="1:21" x14ac:dyDescent="0.2">
      <c r="A188" t="s">
        <v>129</v>
      </c>
      <c r="B188" t="s">
        <v>130</v>
      </c>
      <c r="C188">
        <v>72.763492857142893</v>
      </c>
      <c r="D188">
        <v>55</v>
      </c>
      <c r="E188">
        <v>95.625</v>
      </c>
      <c r="F188">
        <v>71.390749999999997</v>
      </c>
      <c r="G188">
        <v>70.850785714285706</v>
      </c>
      <c r="H188">
        <v>97.828999999999994</v>
      </c>
      <c r="I188">
        <v>71.740499999999997</v>
      </c>
      <c r="J188">
        <v>74.315799999999996</v>
      </c>
      <c r="K188">
        <v>67.895250000000004</v>
      </c>
      <c r="L188">
        <v>72.771000000000001</v>
      </c>
      <c r="M188">
        <v>51.317666666666703</v>
      </c>
      <c r="N188">
        <v>70.388000000000005</v>
      </c>
      <c r="O188">
        <v>78.926749999999998</v>
      </c>
      <c r="P188">
        <v>93.8831428571429</v>
      </c>
      <c r="Q188">
        <v>92.642666666666699</v>
      </c>
      <c r="R188">
        <v>48.789166666666702</v>
      </c>
      <c r="S188">
        <v>46.492199999999997</v>
      </c>
      <c r="T188">
        <v>66.448700000000002</v>
      </c>
      <c r="U188">
        <v>65.673000000000002</v>
      </c>
    </row>
    <row r="189" spans="1:21" x14ac:dyDescent="0.2">
      <c r="A189" t="s">
        <v>403</v>
      </c>
      <c r="B189" t="s">
        <v>404</v>
      </c>
    </row>
    <row r="190" spans="1:21" x14ac:dyDescent="0.2">
      <c r="A190" t="s">
        <v>405</v>
      </c>
      <c r="B190" t="s">
        <v>406</v>
      </c>
    </row>
    <row r="191" spans="1:21" x14ac:dyDescent="0.2">
      <c r="A191" t="s">
        <v>345</v>
      </c>
      <c r="B191" t="s">
        <v>346</v>
      </c>
      <c r="C191">
        <v>52.0844671568628</v>
      </c>
      <c r="D191">
        <v>150</v>
      </c>
      <c r="F191">
        <v>35.615625000000001</v>
      </c>
      <c r="G191">
        <v>45.278142857142903</v>
      </c>
      <c r="H191">
        <v>41.766750000000002</v>
      </c>
      <c r="I191">
        <v>13.44</v>
      </c>
      <c r="J191">
        <v>36.231400000000001</v>
      </c>
      <c r="K191">
        <v>37.1175</v>
      </c>
      <c r="L191">
        <v>49.423333333333296</v>
      </c>
      <c r="M191">
        <v>9.3171666666666706</v>
      </c>
      <c r="N191">
        <v>66.292500000000004</v>
      </c>
      <c r="O191">
        <v>45.616500000000002</v>
      </c>
      <c r="P191">
        <v>96.797857142857197</v>
      </c>
      <c r="Q191">
        <v>98.649000000000001</v>
      </c>
      <c r="R191">
        <v>75.456166666666704</v>
      </c>
      <c r="S191">
        <v>48.7455</v>
      </c>
      <c r="T191">
        <v>42.139499999999998</v>
      </c>
      <c r="U191">
        <v>50.973999999999997</v>
      </c>
    </row>
    <row r="192" spans="1:21" x14ac:dyDescent="0.2">
      <c r="A192" t="s">
        <v>239</v>
      </c>
      <c r="B192" t="s">
        <v>240</v>
      </c>
      <c r="C192">
        <v>63.722764005602201</v>
      </c>
      <c r="D192">
        <v>108</v>
      </c>
      <c r="E192">
        <v>45.552</v>
      </c>
      <c r="F192">
        <v>59.571249999999999</v>
      </c>
      <c r="G192">
        <v>55.764000000000003</v>
      </c>
      <c r="H192">
        <v>76.6755</v>
      </c>
      <c r="I192">
        <v>83.524500000000003</v>
      </c>
      <c r="J192">
        <v>65.203800000000001</v>
      </c>
      <c r="K192">
        <v>60.311250000000001</v>
      </c>
      <c r="L192">
        <v>60.8706666666667</v>
      </c>
      <c r="M192">
        <v>67.296666666666695</v>
      </c>
      <c r="N192">
        <v>0</v>
      </c>
      <c r="O192">
        <v>79.862250000000003</v>
      </c>
      <c r="P192">
        <v>88.655571428571406</v>
      </c>
      <c r="Q192">
        <v>81.690666666666701</v>
      </c>
      <c r="R192">
        <v>66.967666666666702</v>
      </c>
      <c r="S192">
        <v>57.656999999999996</v>
      </c>
      <c r="T192">
        <v>59.049700000000001</v>
      </c>
      <c r="U192">
        <v>74.634500000000003</v>
      </c>
    </row>
    <row r="193" spans="1:21" x14ac:dyDescent="0.2">
      <c r="A193" t="s">
        <v>309</v>
      </c>
      <c r="B193" t="s">
        <v>310</v>
      </c>
      <c r="C193">
        <v>54.159856240273903</v>
      </c>
      <c r="D193">
        <v>140</v>
      </c>
      <c r="E193">
        <v>9.4420000000000002</v>
      </c>
      <c r="F193">
        <v>60.977714285714299</v>
      </c>
      <c r="G193">
        <v>42.241071428571402</v>
      </c>
      <c r="H193">
        <v>66.055666666666696</v>
      </c>
      <c r="I193">
        <v>59.21275</v>
      </c>
      <c r="J193">
        <v>53.767200000000003</v>
      </c>
      <c r="K193">
        <v>61.276249999999997</v>
      </c>
      <c r="L193">
        <v>55.136333333333297</v>
      </c>
      <c r="M193">
        <v>18.5848333333333</v>
      </c>
      <c r="N193">
        <v>8.31</v>
      </c>
      <c r="O193">
        <v>50.3095</v>
      </c>
      <c r="P193">
        <v>96.078000000000003</v>
      </c>
      <c r="Q193">
        <v>97.465000000000003</v>
      </c>
      <c r="S193">
        <v>69.022000000000006</v>
      </c>
      <c r="T193">
        <v>49.516500000000001</v>
      </c>
      <c r="U193">
        <v>55.324750000000002</v>
      </c>
    </row>
    <row r="194" spans="1:21" x14ac:dyDescent="0.2">
      <c r="A194" t="s">
        <v>295</v>
      </c>
      <c r="B194" t="s">
        <v>296</v>
      </c>
      <c r="C194">
        <v>56.766306240273899</v>
      </c>
      <c r="D194">
        <v>131</v>
      </c>
      <c r="F194">
        <v>47.881</v>
      </c>
      <c r="G194">
        <v>41.399214285714301</v>
      </c>
      <c r="H194">
        <v>61.059750000000001</v>
      </c>
      <c r="I194">
        <v>78.746750000000006</v>
      </c>
      <c r="J194">
        <v>45.851999999999997</v>
      </c>
      <c r="K194">
        <v>61.97025</v>
      </c>
      <c r="L194">
        <v>61.101500000000001</v>
      </c>
      <c r="M194">
        <v>19.110399999999998</v>
      </c>
      <c r="N194">
        <v>23.981000000000002</v>
      </c>
      <c r="O194">
        <v>59.125500000000002</v>
      </c>
      <c r="P194">
        <v>95.990571428571499</v>
      </c>
      <c r="Q194">
        <v>92.429333333333304</v>
      </c>
      <c r="S194">
        <v>78.609399999999994</v>
      </c>
      <c r="T194">
        <v>48.123800000000003</v>
      </c>
      <c r="U194">
        <v>49.881</v>
      </c>
    </row>
    <row r="195" spans="1:21" x14ac:dyDescent="0.2">
      <c r="A195" t="s">
        <v>409</v>
      </c>
      <c r="B195" t="s">
        <v>410</v>
      </c>
      <c r="C195">
        <v>65.917795798319304</v>
      </c>
      <c r="E195">
        <v>79.319500000000005</v>
      </c>
      <c r="F195">
        <v>65.469250000000002</v>
      </c>
      <c r="G195">
        <v>69.62</v>
      </c>
      <c r="H195">
        <v>86.306250000000006</v>
      </c>
      <c r="I195">
        <v>55.941249999999997</v>
      </c>
      <c r="J195">
        <v>65.090800000000002</v>
      </c>
      <c r="K195">
        <v>66.120999999999995</v>
      </c>
      <c r="L195">
        <v>69.661833333333306</v>
      </c>
      <c r="M195">
        <v>57.802500000000002</v>
      </c>
      <c r="N195">
        <v>37.079000000000001</v>
      </c>
      <c r="O195">
        <v>63.231499999999997</v>
      </c>
      <c r="P195">
        <v>93.409428571428606</v>
      </c>
      <c r="Q195">
        <v>91.444333333333304</v>
      </c>
      <c r="R195">
        <v>56.235833333333296</v>
      </c>
      <c r="S195">
        <v>51.445999999999998</v>
      </c>
      <c r="T195">
        <v>61.653799999999997</v>
      </c>
      <c r="U195">
        <v>50.770249999999997</v>
      </c>
    </row>
    <row r="196" spans="1:21" x14ac:dyDescent="0.2">
      <c r="A196" t="s">
        <v>407</v>
      </c>
      <c r="B196" t="s">
        <v>408</v>
      </c>
      <c r="C196">
        <v>71.645183581349201</v>
      </c>
      <c r="E196">
        <v>96.17</v>
      </c>
      <c r="F196">
        <v>58.095142857142903</v>
      </c>
      <c r="G196">
        <v>74.057714285714297</v>
      </c>
      <c r="H196">
        <v>86.927999999999997</v>
      </c>
      <c r="I196">
        <v>60.509500000000003</v>
      </c>
      <c r="J196">
        <v>71.262600000000006</v>
      </c>
      <c r="K196">
        <v>63.181249999999999</v>
      </c>
      <c r="L196">
        <v>68.692999999999998</v>
      </c>
      <c r="M196">
        <v>51.110500000000002</v>
      </c>
      <c r="N196">
        <v>82.662000000000006</v>
      </c>
      <c r="O196">
        <v>72.753500000000003</v>
      </c>
      <c r="P196">
        <v>87.398285714285706</v>
      </c>
      <c r="Q196">
        <v>80.140333333333302</v>
      </c>
      <c r="S196">
        <v>65.784999999999997</v>
      </c>
      <c r="T196">
        <v>61.8641111111111</v>
      </c>
      <c r="U196">
        <v>65.712000000000003</v>
      </c>
    </row>
    <row r="197" spans="1:21" x14ac:dyDescent="0.2">
      <c r="A197" t="s">
        <v>411</v>
      </c>
      <c r="B197" t="s">
        <v>412</v>
      </c>
      <c r="C197">
        <v>69.530163585434195</v>
      </c>
      <c r="E197">
        <v>80.257999999999996</v>
      </c>
      <c r="F197">
        <v>63.817250000000001</v>
      </c>
      <c r="G197">
        <v>75.226642857142906</v>
      </c>
      <c r="H197">
        <v>88.645250000000004</v>
      </c>
      <c r="I197">
        <v>70.258250000000004</v>
      </c>
      <c r="J197">
        <v>80.7958</v>
      </c>
      <c r="K197">
        <v>84.471500000000006</v>
      </c>
      <c r="L197">
        <v>65.606666666666698</v>
      </c>
      <c r="M197">
        <v>48.054000000000002</v>
      </c>
      <c r="N197">
        <v>20.341000000000001</v>
      </c>
      <c r="O197">
        <v>75.992750000000001</v>
      </c>
      <c r="P197">
        <v>86.463571428571399</v>
      </c>
      <c r="Q197">
        <v>92.474999999999994</v>
      </c>
      <c r="R197">
        <v>61.125</v>
      </c>
      <c r="S197">
        <v>61.610199999999999</v>
      </c>
      <c r="T197">
        <v>59.999400000000001</v>
      </c>
      <c r="U197">
        <v>66.872500000000002</v>
      </c>
    </row>
    <row r="198" spans="1:21" x14ac:dyDescent="0.2">
      <c r="A198" t="s">
        <v>413</v>
      </c>
      <c r="B198" t="s">
        <v>414</v>
      </c>
      <c r="C198">
        <v>66.695639495798304</v>
      </c>
      <c r="E198">
        <v>88.163499999999999</v>
      </c>
      <c r="F198">
        <v>60.379874999999998</v>
      </c>
      <c r="G198">
        <v>72.506142857142905</v>
      </c>
      <c r="H198">
        <v>68.822999999999993</v>
      </c>
      <c r="I198">
        <v>43.579749999999997</v>
      </c>
      <c r="J198">
        <v>58.163400000000003</v>
      </c>
      <c r="K198">
        <v>64.748000000000005</v>
      </c>
      <c r="L198">
        <v>62.519750000000002</v>
      </c>
      <c r="M198">
        <v>51.183333333333302</v>
      </c>
      <c r="N198">
        <v>73.558000000000007</v>
      </c>
      <c r="O198">
        <v>61.248666666666701</v>
      </c>
      <c r="P198">
        <v>89.326428571428593</v>
      </c>
      <c r="Q198">
        <v>80.988</v>
      </c>
      <c r="R198">
        <v>63.3215</v>
      </c>
      <c r="S198">
        <v>64.150400000000005</v>
      </c>
      <c r="T198">
        <v>68.008125000000007</v>
      </c>
      <c r="U198">
        <v>63.158000000000001</v>
      </c>
    </row>
    <row r="199" spans="1:21" x14ac:dyDescent="0.2">
      <c r="A199" t="s">
        <v>415</v>
      </c>
      <c r="B199" t="s">
        <v>416</v>
      </c>
      <c r="C199">
        <v>52.347074509803903</v>
      </c>
      <c r="E199">
        <v>35.1755</v>
      </c>
      <c r="F199">
        <v>28.595600000000001</v>
      </c>
      <c r="G199">
        <v>44.6949166666667</v>
      </c>
      <c r="H199">
        <v>58.723500000000001</v>
      </c>
      <c r="I199">
        <v>43.44</v>
      </c>
      <c r="J199">
        <v>15.7596666666667</v>
      </c>
      <c r="K199">
        <v>45.685666666666698</v>
      </c>
      <c r="L199">
        <v>67.566999999999993</v>
      </c>
      <c r="M199">
        <v>12.292</v>
      </c>
      <c r="N199">
        <v>47.856999999999999</v>
      </c>
      <c r="O199">
        <v>75.293000000000006</v>
      </c>
      <c r="P199">
        <v>92.720500000000001</v>
      </c>
      <c r="Q199">
        <v>97.94</v>
      </c>
      <c r="R199">
        <v>65.728999999999999</v>
      </c>
      <c r="S199">
        <v>51.0446666666667</v>
      </c>
      <c r="T199">
        <v>62.140749999999997</v>
      </c>
      <c r="U199">
        <v>45.241500000000002</v>
      </c>
    </row>
    <row r="200" spans="1:21" x14ac:dyDescent="0.2">
      <c r="A200" t="s">
        <v>417</v>
      </c>
      <c r="B200" t="s">
        <v>418</v>
      </c>
      <c r="C200">
        <v>77.175648459383694</v>
      </c>
      <c r="E200">
        <v>97.869</v>
      </c>
      <c r="F200">
        <v>69.471000000000004</v>
      </c>
      <c r="G200">
        <v>89.365714285714304</v>
      </c>
      <c r="H200">
        <v>94.635333333333307</v>
      </c>
      <c r="I200">
        <v>74.644750000000002</v>
      </c>
      <c r="J200">
        <v>84.79</v>
      </c>
      <c r="K200">
        <v>74.341999999999999</v>
      </c>
      <c r="L200">
        <v>77.435500000000005</v>
      </c>
      <c r="M200">
        <v>90.061166666666693</v>
      </c>
      <c r="N200">
        <v>65.137</v>
      </c>
      <c r="O200">
        <v>87.725999999999999</v>
      </c>
      <c r="P200">
        <v>70.833142857142903</v>
      </c>
      <c r="Q200">
        <v>62.222666666666697</v>
      </c>
      <c r="R200">
        <v>61.982999999999997</v>
      </c>
      <c r="S200">
        <v>65.388000000000005</v>
      </c>
      <c r="T200">
        <v>76.098500000000001</v>
      </c>
      <c r="U200">
        <v>69.983249999999998</v>
      </c>
    </row>
    <row r="201" spans="1:21" x14ac:dyDescent="0.2">
      <c r="A201" t="s">
        <v>419</v>
      </c>
      <c r="B201" t="s">
        <v>420</v>
      </c>
      <c r="C201">
        <v>65.255233624218903</v>
      </c>
      <c r="E201">
        <v>62.6995</v>
      </c>
      <c r="F201">
        <v>50.905285714285696</v>
      </c>
      <c r="G201">
        <v>64.801769230769196</v>
      </c>
      <c r="H201">
        <v>80.195499999999996</v>
      </c>
      <c r="I201">
        <v>62.402000000000001</v>
      </c>
      <c r="J201">
        <v>57.606749999999998</v>
      </c>
      <c r="K201">
        <v>67.235666666666702</v>
      </c>
      <c r="L201">
        <v>70.407333333333298</v>
      </c>
      <c r="M201">
        <v>41.883499999999998</v>
      </c>
      <c r="N201">
        <v>42.945999999999998</v>
      </c>
      <c r="O201">
        <v>76.454999999999998</v>
      </c>
      <c r="P201">
        <v>82.561000000000007</v>
      </c>
      <c r="Q201">
        <v>92.376499999999993</v>
      </c>
      <c r="R201">
        <v>70.226500000000001</v>
      </c>
      <c r="S201">
        <v>57.866999999999997</v>
      </c>
      <c r="T201">
        <v>65.249666666666698</v>
      </c>
      <c r="U201">
        <v>63.52</v>
      </c>
    </row>
    <row r="202" spans="1:21" x14ac:dyDescent="0.2">
      <c r="A202" t="s">
        <v>421</v>
      </c>
      <c r="B202" t="s">
        <v>422</v>
      </c>
      <c r="C202">
        <v>53.594166736694703</v>
      </c>
      <c r="E202">
        <v>24.800999999999998</v>
      </c>
      <c r="F202">
        <v>57.297375000000002</v>
      </c>
      <c r="G202">
        <v>40.531714285714301</v>
      </c>
      <c r="H202">
        <v>42.363</v>
      </c>
      <c r="I202">
        <v>52.331249999999997</v>
      </c>
      <c r="J202">
        <v>51.8324</v>
      </c>
      <c r="K202">
        <v>54.085250000000002</v>
      </c>
      <c r="L202">
        <v>58.683833333333297</v>
      </c>
      <c r="M202">
        <v>24.3378333333333</v>
      </c>
      <c r="N202">
        <v>33.892499999999998</v>
      </c>
      <c r="O202">
        <v>46.723500000000001</v>
      </c>
      <c r="P202">
        <v>95.8664285714286</v>
      </c>
      <c r="Q202">
        <v>96.962999999999994</v>
      </c>
      <c r="R202">
        <v>67.719499999999996</v>
      </c>
      <c r="S202">
        <v>66.212800000000001</v>
      </c>
      <c r="T202">
        <v>49.565199999999997</v>
      </c>
      <c r="U202">
        <v>47.89425</v>
      </c>
    </row>
    <row r="203" spans="1:21" x14ac:dyDescent="0.2">
      <c r="A203" t="s">
        <v>423</v>
      </c>
      <c r="B203" t="s">
        <v>424</v>
      </c>
      <c r="C203">
        <v>51.612505602240901</v>
      </c>
      <c r="E203">
        <v>21.297999999999998</v>
      </c>
      <c r="F203">
        <v>53.672750000000001</v>
      </c>
      <c r="G203">
        <v>41.735571428571397</v>
      </c>
      <c r="H203">
        <v>35.8005</v>
      </c>
      <c r="I203">
        <v>45.9315</v>
      </c>
      <c r="J203">
        <v>46.13</v>
      </c>
      <c r="K203">
        <v>52.951250000000002</v>
      </c>
      <c r="L203">
        <v>51.296999999999997</v>
      </c>
      <c r="M203">
        <v>14.571666666666699</v>
      </c>
      <c r="N203">
        <v>51.662500000000001</v>
      </c>
      <c r="O203">
        <v>45.709000000000003</v>
      </c>
      <c r="P203">
        <v>96.730857142857204</v>
      </c>
      <c r="Q203">
        <v>98.754666666666694</v>
      </c>
      <c r="R203">
        <v>69.209333333333305</v>
      </c>
      <c r="S203">
        <v>62.438600000000001</v>
      </c>
      <c r="T203">
        <v>47.193399999999997</v>
      </c>
      <c r="U203">
        <v>42.326000000000001</v>
      </c>
    </row>
    <row r="204" spans="1:21" x14ac:dyDescent="0.2">
      <c r="A204" t="s">
        <v>425</v>
      </c>
      <c r="B204" t="s">
        <v>426</v>
      </c>
      <c r="C204">
        <v>61.760293907563003</v>
      </c>
      <c r="E204">
        <v>63.380499999999998</v>
      </c>
      <c r="F204">
        <v>57.712874999999997</v>
      </c>
      <c r="G204">
        <v>59.427999999999997</v>
      </c>
      <c r="H204">
        <v>76.536749999999998</v>
      </c>
      <c r="I204">
        <v>45.33625</v>
      </c>
      <c r="J204">
        <v>60.434800000000003</v>
      </c>
      <c r="K204">
        <v>66.919250000000005</v>
      </c>
      <c r="L204">
        <v>66.346000000000004</v>
      </c>
      <c r="M204">
        <v>39.919333333333299</v>
      </c>
      <c r="N204">
        <v>42.904000000000003</v>
      </c>
      <c r="O204">
        <v>54.953000000000003</v>
      </c>
      <c r="P204">
        <v>95.194571428571393</v>
      </c>
      <c r="Q204">
        <v>95.076333333333295</v>
      </c>
      <c r="R204">
        <v>60.5893333333333</v>
      </c>
      <c r="S204">
        <v>57.135599999999997</v>
      </c>
      <c r="T204">
        <v>57.401400000000002</v>
      </c>
      <c r="U204">
        <v>50.656999999999996</v>
      </c>
    </row>
    <row r="205" spans="1:21" x14ac:dyDescent="0.2">
      <c r="A205" t="s">
        <v>427</v>
      </c>
      <c r="B205" t="s">
        <v>428</v>
      </c>
      <c r="C205">
        <v>71.5184018207283</v>
      </c>
      <c r="E205">
        <v>93.650499999999994</v>
      </c>
      <c r="F205">
        <v>73.0715</v>
      </c>
      <c r="G205">
        <v>79.868214285714302</v>
      </c>
      <c r="H205">
        <v>91.425250000000005</v>
      </c>
      <c r="I205">
        <v>72.861500000000007</v>
      </c>
      <c r="J205">
        <v>73.8994</v>
      </c>
      <c r="K205">
        <v>68.5625</v>
      </c>
      <c r="L205">
        <v>69.838499999999996</v>
      </c>
      <c r="M205">
        <v>70.081000000000003</v>
      </c>
      <c r="N205">
        <v>31.123999999999999</v>
      </c>
      <c r="O205">
        <v>78.908249999999995</v>
      </c>
      <c r="P205">
        <v>88.593999999999994</v>
      </c>
      <c r="Q205">
        <v>85.168666666666695</v>
      </c>
      <c r="R205">
        <v>55.698</v>
      </c>
      <c r="S205">
        <v>54.212000000000003</v>
      </c>
      <c r="T205">
        <v>69.740300000000005</v>
      </c>
      <c r="U205">
        <v>59.109250000000003</v>
      </c>
    </row>
    <row r="206" spans="1:21" x14ac:dyDescent="0.2">
      <c r="A206" t="s">
        <v>429</v>
      </c>
      <c r="B206" t="s">
        <v>430</v>
      </c>
      <c r="C206">
        <v>77.453010644257702</v>
      </c>
      <c r="E206">
        <v>99.265500000000003</v>
      </c>
      <c r="F206">
        <v>71.114249999999998</v>
      </c>
      <c r="G206">
        <v>90.974999999999994</v>
      </c>
      <c r="H206">
        <v>96.097999999999999</v>
      </c>
      <c r="I206">
        <v>75.370999999999995</v>
      </c>
      <c r="J206">
        <v>71.957999999999998</v>
      </c>
      <c r="K206">
        <v>74.377250000000004</v>
      </c>
      <c r="L206">
        <v>80.623999999999995</v>
      </c>
      <c r="M206">
        <v>92.340333333333305</v>
      </c>
      <c r="N206">
        <v>73.254999999999995</v>
      </c>
      <c r="O206">
        <v>89.388000000000005</v>
      </c>
      <c r="P206">
        <v>67.256714285714295</v>
      </c>
      <c r="Q206">
        <v>54.923000000000002</v>
      </c>
      <c r="R206">
        <v>61.708833333333303</v>
      </c>
      <c r="S206">
        <v>67.236999999999995</v>
      </c>
      <c r="T206">
        <v>79.9208</v>
      </c>
      <c r="U206">
        <v>70.888499999999993</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U206"/>
  <sheetViews>
    <sheetView workbookViewId="0">
      <selection activeCell="C1" sqref="C1"/>
    </sheetView>
  </sheetViews>
  <sheetFormatPr defaultRowHeight="12.75" x14ac:dyDescent="0.2"/>
  <sheetData>
    <row r="1" spans="1:21" s="1" customFormat="1" ht="37.5" customHeight="1" x14ac:dyDescent="0.2">
      <c r="A1" s="1" t="s">
        <v>0</v>
      </c>
      <c r="B1" s="1" t="s">
        <v>1</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2">
      <c r="A2" t="s">
        <v>335</v>
      </c>
      <c r="B2" t="s">
        <v>336</v>
      </c>
      <c r="F2">
        <v>50.131</v>
      </c>
      <c r="G2">
        <v>37.098357142857097</v>
      </c>
      <c r="H2">
        <v>57.851216666666701</v>
      </c>
      <c r="I2">
        <v>23.162500000000001</v>
      </c>
      <c r="J2">
        <v>46.313800000000001</v>
      </c>
      <c r="K2">
        <v>64.822500000000005</v>
      </c>
      <c r="L2">
        <v>37.753166666666701</v>
      </c>
      <c r="M2">
        <v>6.5468333333333302</v>
      </c>
      <c r="O2">
        <v>31.76125</v>
      </c>
      <c r="P2">
        <v>90.816833333333307</v>
      </c>
      <c r="Q2">
        <v>99.064666666666696</v>
      </c>
      <c r="S2">
        <v>52.984000000000002</v>
      </c>
      <c r="T2">
        <v>52.026666666666699</v>
      </c>
      <c r="U2">
        <v>43.359499999999997</v>
      </c>
    </row>
    <row r="3" spans="1:21" x14ac:dyDescent="0.2">
      <c r="A3" t="s">
        <v>329</v>
      </c>
      <c r="B3" t="s">
        <v>330</v>
      </c>
      <c r="E3">
        <v>12.913</v>
      </c>
      <c r="F3">
        <v>55.424124999999997</v>
      </c>
      <c r="G3">
        <v>37.443571428571403</v>
      </c>
      <c r="H3">
        <v>40.775666666666702</v>
      </c>
      <c r="I3">
        <v>51.277999999999999</v>
      </c>
      <c r="J3">
        <v>53.960999999999999</v>
      </c>
      <c r="K3">
        <v>52.432666666666698</v>
      </c>
      <c r="L3">
        <v>52.485500000000002</v>
      </c>
      <c r="M3">
        <v>7.5170000000000003</v>
      </c>
      <c r="N3">
        <v>25.246500000000001</v>
      </c>
      <c r="O3">
        <v>46.711750000000002</v>
      </c>
      <c r="P3">
        <v>92.220166666666699</v>
      </c>
      <c r="Q3">
        <v>96.520333333333298</v>
      </c>
      <c r="R3">
        <v>66.932000000000002</v>
      </c>
      <c r="S3">
        <v>64.753399999999999</v>
      </c>
      <c r="T3">
        <v>50.653599999999997</v>
      </c>
      <c r="U3">
        <v>47.765999999999998</v>
      </c>
    </row>
    <row r="4" spans="1:21" x14ac:dyDescent="0.2">
      <c r="A4" t="s">
        <v>127</v>
      </c>
      <c r="B4" t="s">
        <v>128</v>
      </c>
      <c r="E4">
        <v>91.637500000000003</v>
      </c>
      <c r="F4">
        <v>60.004857142857098</v>
      </c>
      <c r="G4">
        <v>81.092714285714294</v>
      </c>
      <c r="H4">
        <v>95.155000000000001</v>
      </c>
      <c r="I4">
        <v>53.574249999999999</v>
      </c>
      <c r="J4">
        <v>75.907600000000002</v>
      </c>
      <c r="K4">
        <v>89.449666666666701</v>
      </c>
      <c r="L4">
        <v>61.095333333333301</v>
      </c>
      <c r="M4">
        <v>28.580500000000001</v>
      </c>
      <c r="N4">
        <v>68.400499999999994</v>
      </c>
      <c r="O4">
        <v>72.838333333333296</v>
      </c>
      <c r="P4">
        <v>79.617333333333306</v>
      </c>
      <c r="Q4">
        <v>92.126000000000005</v>
      </c>
      <c r="R4">
        <v>43.878399999999999</v>
      </c>
      <c r="S4">
        <v>80.586799999999997</v>
      </c>
      <c r="T4">
        <v>68.091800000000006</v>
      </c>
      <c r="U4">
        <v>65.334999999999994</v>
      </c>
    </row>
    <row r="5" spans="1:21" x14ac:dyDescent="0.2">
      <c r="A5" t="s">
        <v>353</v>
      </c>
      <c r="B5" t="s">
        <v>354</v>
      </c>
    </row>
    <row r="6" spans="1:21" x14ac:dyDescent="0.2">
      <c r="A6" t="s">
        <v>177</v>
      </c>
      <c r="B6" t="s">
        <v>178</v>
      </c>
      <c r="E6">
        <v>99.569500000000005</v>
      </c>
      <c r="F6">
        <v>67.268000000000001</v>
      </c>
      <c r="G6">
        <v>86.388076923076895</v>
      </c>
      <c r="H6">
        <v>92.059333333333299</v>
      </c>
      <c r="I6">
        <v>71.199250000000006</v>
      </c>
      <c r="J6">
        <v>56.111600000000003</v>
      </c>
      <c r="K6">
        <v>90.990666666666698</v>
      </c>
      <c r="L6">
        <v>60.130600000000001</v>
      </c>
      <c r="M6">
        <v>74.105166666666705</v>
      </c>
      <c r="N6">
        <v>91.375</v>
      </c>
      <c r="O6">
        <v>75.975499999999997</v>
      </c>
      <c r="P6">
        <v>51.127499999999998</v>
      </c>
      <c r="Q6">
        <v>29.15</v>
      </c>
      <c r="R6">
        <v>76.600200000000001</v>
      </c>
      <c r="S6">
        <v>58.625</v>
      </c>
      <c r="T6">
        <v>79.212444444444401</v>
      </c>
      <c r="U6">
        <v>33.000999999999998</v>
      </c>
    </row>
    <row r="7" spans="1:21" x14ac:dyDescent="0.2">
      <c r="A7" t="s">
        <v>121</v>
      </c>
      <c r="B7" t="s">
        <v>122</v>
      </c>
      <c r="E7">
        <v>95.99</v>
      </c>
      <c r="F7">
        <v>67.543125000000003</v>
      </c>
      <c r="G7">
        <v>80.599999999999994</v>
      </c>
      <c r="H7">
        <v>95.269666666666694</v>
      </c>
      <c r="I7">
        <v>80.985500000000002</v>
      </c>
      <c r="J7">
        <v>79.063599999999994</v>
      </c>
      <c r="K7">
        <v>92.506666666666703</v>
      </c>
      <c r="L7">
        <v>70.275499999999994</v>
      </c>
      <c r="M7">
        <v>45.664999999999999</v>
      </c>
      <c r="N7">
        <v>38.402000000000001</v>
      </c>
      <c r="O7">
        <v>81.004499999999993</v>
      </c>
      <c r="P7">
        <v>76.391666666666694</v>
      </c>
      <c r="Q7">
        <v>86.248666666666693</v>
      </c>
      <c r="R7">
        <v>57.280999999999999</v>
      </c>
      <c r="S7">
        <v>60.666200000000003</v>
      </c>
      <c r="T7">
        <v>65.167666666666705</v>
      </c>
      <c r="U7">
        <v>64.512749999999997</v>
      </c>
    </row>
    <row r="8" spans="1:21" x14ac:dyDescent="0.2">
      <c r="A8" t="s">
        <v>131</v>
      </c>
      <c r="B8" t="s">
        <v>132</v>
      </c>
      <c r="E8">
        <v>93.438000000000002</v>
      </c>
      <c r="F8">
        <v>60.728142857142899</v>
      </c>
      <c r="G8">
        <v>77.907214285714304</v>
      </c>
      <c r="H8">
        <v>90.328999999999994</v>
      </c>
      <c r="I8">
        <v>57.488250000000001</v>
      </c>
      <c r="J8">
        <v>68.9572</v>
      </c>
      <c r="K8">
        <v>94.8213333333333</v>
      </c>
      <c r="L8">
        <v>66.279399999999995</v>
      </c>
      <c r="M8">
        <v>34.402666666666697</v>
      </c>
      <c r="N8">
        <v>55.069000000000003</v>
      </c>
      <c r="O8">
        <v>76.444749999999999</v>
      </c>
      <c r="P8">
        <v>88.684666666666701</v>
      </c>
      <c r="Q8">
        <v>93.073333333333295</v>
      </c>
      <c r="S8">
        <v>61.792000000000002</v>
      </c>
      <c r="T8">
        <v>80.0247777777778</v>
      </c>
      <c r="U8">
        <v>62.190750000000001</v>
      </c>
    </row>
    <row r="9" spans="1:21" x14ac:dyDescent="0.2">
      <c r="A9" t="s">
        <v>355</v>
      </c>
      <c r="B9" t="s">
        <v>356</v>
      </c>
    </row>
    <row r="10" spans="1:21" x14ac:dyDescent="0.2">
      <c r="A10" t="s">
        <v>99</v>
      </c>
      <c r="B10" t="s">
        <v>100</v>
      </c>
      <c r="E10">
        <v>99.61</v>
      </c>
      <c r="F10">
        <v>58.740124999999999</v>
      </c>
      <c r="G10">
        <v>95.583571428571403</v>
      </c>
      <c r="H10">
        <v>99.405375000000006</v>
      </c>
      <c r="I10">
        <v>81.000249999999994</v>
      </c>
      <c r="J10">
        <v>94.953199999999995</v>
      </c>
      <c r="K10">
        <v>91.338999999999999</v>
      </c>
      <c r="L10">
        <v>81.036000000000001</v>
      </c>
      <c r="M10">
        <v>89.481833333333299</v>
      </c>
      <c r="N10">
        <v>74.225499999999997</v>
      </c>
      <c r="O10">
        <v>89.043499999999995</v>
      </c>
      <c r="P10">
        <v>44.0966666666667</v>
      </c>
      <c r="Q10">
        <v>10.024333333333299</v>
      </c>
      <c r="R10">
        <v>58.997666666666703</v>
      </c>
      <c r="S10">
        <v>63.767400000000002</v>
      </c>
      <c r="T10">
        <v>85.118200000000002</v>
      </c>
      <c r="U10">
        <v>68.364500000000007</v>
      </c>
    </row>
    <row r="11" spans="1:21" x14ac:dyDescent="0.2">
      <c r="A11" t="s">
        <v>29</v>
      </c>
      <c r="B11" t="s">
        <v>30</v>
      </c>
      <c r="E11">
        <v>99.466999999999999</v>
      </c>
      <c r="F11">
        <v>73.767124999999993</v>
      </c>
      <c r="G11">
        <v>92.108307692307704</v>
      </c>
      <c r="H11">
        <v>99.205041666666702</v>
      </c>
      <c r="I11">
        <v>83.083749999999995</v>
      </c>
      <c r="J11">
        <v>89.599400000000003</v>
      </c>
      <c r="K11">
        <v>94.712000000000003</v>
      </c>
      <c r="L11">
        <v>85.492666666666693</v>
      </c>
      <c r="M11">
        <v>95.534333333333294</v>
      </c>
      <c r="N11">
        <v>91.208500000000001</v>
      </c>
      <c r="O11">
        <v>90.85</v>
      </c>
      <c r="P11">
        <v>48.213833333333298</v>
      </c>
      <c r="Q11">
        <v>53.703333333333298</v>
      </c>
      <c r="S11">
        <v>73.4328</v>
      </c>
      <c r="T11">
        <v>93.569599999999994</v>
      </c>
      <c r="U11">
        <v>68.053250000000006</v>
      </c>
    </row>
    <row r="12" spans="1:21" x14ac:dyDescent="0.2">
      <c r="A12" t="s">
        <v>125</v>
      </c>
      <c r="B12" t="s">
        <v>126</v>
      </c>
      <c r="E12">
        <v>100</v>
      </c>
      <c r="F12">
        <v>61.880285714285698</v>
      </c>
      <c r="G12">
        <v>75.395571428571401</v>
      </c>
      <c r="H12">
        <v>87.651333333333397</v>
      </c>
      <c r="I12">
        <v>53.695749999999997</v>
      </c>
      <c r="J12">
        <v>65.561199999999999</v>
      </c>
      <c r="K12">
        <v>91.144000000000005</v>
      </c>
      <c r="L12">
        <v>65.787599999999998</v>
      </c>
      <c r="M12">
        <v>35.119333333333302</v>
      </c>
      <c r="N12">
        <v>68.596999999999994</v>
      </c>
      <c r="O12">
        <v>85.689666666666696</v>
      </c>
      <c r="P12">
        <v>83.867000000000004</v>
      </c>
      <c r="Q12">
        <v>89.214666666666702</v>
      </c>
      <c r="S12">
        <v>65.595799999999997</v>
      </c>
      <c r="T12">
        <v>72.813874999999996</v>
      </c>
      <c r="U12">
        <v>70.027000000000001</v>
      </c>
    </row>
    <row r="13" spans="1:21" x14ac:dyDescent="0.2">
      <c r="A13" t="s">
        <v>313</v>
      </c>
      <c r="B13" t="s">
        <v>314</v>
      </c>
      <c r="E13">
        <v>0</v>
      </c>
      <c r="F13">
        <v>50.5401666666667</v>
      </c>
      <c r="G13">
        <v>48.999714285714298</v>
      </c>
      <c r="H13">
        <v>58.822000000000003</v>
      </c>
      <c r="I13">
        <v>59.942250000000001</v>
      </c>
      <c r="J13">
        <v>54.904000000000003</v>
      </c>
      <c r="K13">
        <v>1.0585</v>
      </c>
      <c r="L13">
        <v>43.473799999999997</v>
      </c>
      <c r="M13">
        <v>5.3733333333333304</v>
      </c>
      <c r="N13">
        <v>58.362000000000002</v>
      </c>
      <c r="O13">
        <v>56.584000000000003</v>
      </c>
      <c r="P13">
        <v>82.798500000000004</v>
      </c>
      <c r="Q13">
        <v>99.802000000000007</v>
      </c>
      <c r="S13">
        <v>77.239199999999997</v>
      </c>
      <c r="T13">
        <v>54.324777777777797</v>
      </c>
      <c r="U13">
        <v>60.363666666666703</v>
      </c>
    </row>
    <row r="14" spans="1:21" x14ac:dyDescent="0.2">
      <c r="A14" t="s">
        <v>57</v>
      </c>
      <c r="B14" t="s">
        <v>58</v>
      </c>
      <c r="E14">
        <v>99.527000000000001</v>
      </c>
      <c r="F14">
        <v>70.878874999999994</v>
      </c>
      <c r="G14">
        <v>92.882833333333295</v>
      </c>
      <c r="H14">
        <v>98.882708333333298</v>
      </c>
      <c r="I14">
        <v>85.715249999999997</v>
      </c>
      <c r="J14">
        <v>77.377799999999993</v>
      </c>
      <c r="K14">
        <v>94.152666666666704</v>
      </c>
      <c r="L14">
        <v>85.491500000000002</v>
      </c>
      <c r="M14">
        <v>92.199166666666699</v>
      </c>
      <c r="N14">
        <v>97.385999999999996</v>
      </c>
      <c r="O14">
        <v>90.174999999999997</v>
      </c>
      <c r="P14">
        <v>56.335333333333303</v>
      </c>
      <c r="Q14">
        <v>60.7336666666667</v>
      </c>
      <c r="R14">
        <v>61.767600000000002</v>
      </c>
      <c r="S14">
        <v>85.184600000000003</v>
      </c>
      <c r="T14">
        <v>83.674199999999999</v>
      </c>
      <c r="U14">
        <v>64.868750000000006</v>
      </c>
    </row>
    <row r="15" spans="1:21" x14ac:dyDescent="0.2">
      <c r="A15" t="s">
        <v>299</v>
      </c>
      <c r="B15" t="s">
        <v>300</v>
      </c>
      <c r="E15">
        <v>16.866499999999998</v>
      </c>
      <c r="F15">
        <v>62.465375000000002</v>
      </c>
      <c r="G15">
        <v>46.300928571428599</v>
      </c>
      <c r="H15">
        <v>49.561333333333302</v>
      </c>
      <c r="I15">
        <v>30.27525</v>
      </c>
      <c r="J15">
        <v>50.217399999999998</v>
      </c>
      <c r="K15">
        <v>13.401999999999999</v>
      </c>
      <c r="L15">
        <v>67.171333333333294</v>
      </c>
      <c r="M15">
        <v>16.1966</v>
      </c>
      <c r="N15">
        <v>17.6465</v>
      </c>
      <c r="O15">
        <v>46.793750000000003</v>
      </c>
      <c r="P15">
        <v>96.036000000000001</v>
      </c>
      <c r="Q15">
        <v>98.463666666666697</v>
      </c>
      <c r="R15">
        <v>59.9694</v>
      </c>
      <c r="S15">
        <v>66.239000000000004</v>
      </c>
      <c r="T15">
        <v>58.988500000000002</v>
      </c>
      <c r="U15">
        <v>51.185000000000002</v>
      </c>
    </row>
    <row r="16" spans="1:21" x14ac:dyDescent="0.2">
      <c r="A16" t="s">
        <v>325</v>
      </c>
      <c r="B16" t="s">
        <v>326</v>
      </c>
      <c r="E16">
        <v>21.15</v>
      </c>
      <c r="F16">
        <v>59.282625000000003</v>
      </c>
      <c r="G16">
        <v>47.230357142857102</v>
      </c>
      <c r="H16">
        <v>35.012999999999998</v>
      </c>
      <c r="I16">
        <v>37.549999999999997</v>
      </c>
      <c r="J16">
        <v>44.662799999999997</v>
      </c>
      <c r="K16">
        <v>6.4509999999999996</v>
      </c>
      <c r="L16">
        <v>66.441500000000005</v>
      </c>
      <c r="M16">
        <v>17.1065</v>
      </c>
      <c r="N16">
        <v>70.914500000000004</v>
      </c>
      <c r="O16">
        <v>53.839500000000001</v>
      </c>
      <c r="P16">
        <v>89.840833333333293</v>
      </c>
      <c r="Q16">
        <v>99.198666666666696</v>
      </c>
      <c r="S16">
        <v>82.712800000000001</v>
      </c>
      <c r="T16">
        <v>57.171799999999998</v>
      </c>
      <c r="U16">
        <v>53.038499999999999</v>
      </c>
    </row>
    <row r="17" spans="1:21" x14ac:dyDescent="0.2">
      <c r="A17" t="s">
        <v>221</v>
      </c>
      <c r="B17" t="s">
        <v>222</v>
      </c>
      <c r="E17">
        <v>64.256</v>
      </c>
      <c r="F17">
        <v>63.341285714285704</v>
      </c>
      <c r="G17">
        <v>56.384384615384597</v>
      </c>
      <c r="H17">
        <v>88.364999999999995</v>
      </c>
      <c r="I17">
        <v>53.145249999999997</v>
      </c>
      <c r="J17">
        <v>67.333399999999997</v>
      </c>
      <c r="K17">
        <v>60.311666666666703</v>
      </c>
      <c r="L17">
        <v>68.3185</v>
      </c>
      <c r="M17">
        <v>27.160799999999998</v>
      </c>
      <c r="N17">
        <v>72.501999999999995</v>
      </c>
      <c r="O17">
        <v>53.427250000000001</v>
      </c>
      <c r="P17">
        <v>95.231499999999997</v>
      </c>
      <c r="Q17">
        <v>97.385499999999993</v>
      </c>
      <c r="R17">
        <v>65.089500000000001</v>
      </c>
      <c r="S17">
        <v>52.876800000000003</v>
      </c>
      <c r="T17">
        <v>54.522300000000001</v>
      </c>
      <c r="U17">
        <v>39.0715</v>
      </c>
    </row>
    <row r="18" spans="1:21" x14ac:dyDescent="0.2">
      <c r="A18" t="s">
        <v>107</v>
      </c>
      <c r="B18" t="s">
        <v>108</v>
      </c>
      <c r="E18">
        <v>97.507000000000005</v>
      </c>
      <c r="F18">
        <v>66.347250000000003</v>
      </c>
      <c r="G18">
        <v>79.552999999999997</v>
      </c>
      <c r="H18">
        <v>67.552999999999997</v>
      </c>
      <c r="I18">
        <v>72.471999999999994</v>
      </c>
      <c r="J18">
        <v>70.814800000000005</v>
      </c>
      <c r="K18">
        <v>91.049000000000007</v>
      </c>
      <c r="L18">
        <v>78.137333333333302</v>
      </c>
      <c r="M18">
        <v>52.552333333333301</v>
      </c>
      <c r="N18">
        <v>48.271999999999998</v>
      </c>
      <c r="O18">
        <v>79.304333333333304</v>
      </c>
      <c r="P18">
        <v>74.508499999999998</v>
      </c>
      <c r="Q18">
        <v>79.682000000000002</v>
      </c>
      <c r="R18">
        <v>60.422600000000003</v>
      </c>
      <c r="S18">
        <v>90.651200000000003</v>
      </c>
      <c r="T18">
        <v>73.964555555555606</v>
      </c>
      <c r="U18">
        <v>72.062250000000006</v>
      </c>
    </row>
    <row r="19" spans="1:21" x14ac:dyDescent="0.2">
      <c r="A19" t="s">
        <v>241</v>
      </c>
      <c r="B19" t="s">
        <v>242</v>
      </c>
      <c r="F19">
        <v>71.483999999999995</v>
      </c>
      <c r="G19">
        <v>89.037923076923093</v>
      </c>
      <c r="H19">
        <v>95.457333333333295</v>
      </c>
      <c r="I19">
        <v>51.6325</v>
      </c>
      <c r="J19">
        <v>71.344399999999993</v>
      </c>
      <c r="K19">
        <v>93.858666666666693</v>
      </c>
      <c r="L19">
        <v>77.614999999999995</v>
      </c>
      <c r="M19">
        <v>46.640666666666696</v>
      </c>
      <c r="O19">
        <v>48.55</v>
      </c>
      <c r="P19">
        <v>67.2678333333333</v>
      </c>
      <c r="Q19">
        <v>51.343666666666699</v>
      </c>
      <c r="R19">
        <v>47.569000000000003</v>
      </c>
      <c r="S19">
        <v>45.526666666666699</v>
      </c>
      <c r="T19">
        <v>71.627499999999998</v>
      </c>
      <c r="U19">
        <v>35.511000000000003</v>
      </c>
    </row>
    <row r="20" spans="1:21" x14ac:dyDescent="0.2">
      <c r="A20" t="s">
        <v>267</v>
      </c>
      <c r="B20" t="s">
        <v>268</v>
      </c>
    </row>
    <row r="21" spans="1:21" x14ac:dyDescent="0.2">
      <c r="A21" t="s">
        <v>113</v>
      </c>
      <c r="B21" t="s">
        <v>114</v>
      </c>
      <c r="E21">
        <v>99.774000000000001</v>
      </c>
      <c r="F21">
        <v>65.569428571428602</v>
      </c>
      <c r="G21">
        <v>77.538692307692301</v>
      </c>
      <c r="H21">
        <v>92.638534848484795</v>
      </c>
      <c r="I21">
        <v>42.507750000000001</v>
      </c>
      <c r="J21">
        <v>77.333200000000005</v>
      </c>
      <c r="K21">
        <v>80.651666666666699</v>
      </c>
      <c r="L21">
        <v>69.522999999999996</v>
      </c>
      <c r="M21">
        <v>31.692499999999999</v>
      </c>
      <c r="N21">
        <v>79.138000000000005</v>
      </c>
      <c r="O21">
        <v>74.448750000000004</v>
      </c>
      <c r="P21">
        <v>78.373000000000005</v>
      </c>
      <c r="Q21">
        <v>82.331333333333404</v>
      </c>
      <c r="R21">
        <v>77.751499999999993</v>
      </c>
      <c r="S21">
        <v>70.910399999999996</v>
      </c>
      <c r="T21">
        <v>72.0525555555556</v>
      </c>
      <c r="U21">
        <v>80.718000000000004</v>
      </c>
    </row>
    <row r="22" spans="1:21" x14ac:dyDescent="0.2">
      <c r="A22" t="s">
        <v>87</v>
      </c>
      <c r="B22" t="s">
        <v>88</v>
      </c>
      <c r="E22">
        <v>99.894999999999996</v>
      </c>
      <c r="F22">
        <v>64.997375000000005</v>
      </c>
      <c r="G22">
        <v>83.729714285714294</v>
      </c>
      <c r="H22">
        <v>98.090999999999994</v>
      </c>
      <c r="I22">
        <v>79.753749999999997</v>
      </c>
      <c r="J22">
        <v>79.721400000000003</v>
      </c>
      <c r="K22">
        <v>90.59</v>
      </c>
      <c r="L22">
        <v>67.808666666666696</v>
      </c>
      <c r="M22">
        <v>45.350166666666702</v>
      </c>
      <c r="N22">
        <v>92.686000000000007</v>
      </c>
      <c r="O22">
        <v>76.083500000000001</v>
      </c>
      <c r="P22">
        <v>86.432500000000005</v>
      </c>
      <c r="Q22">
        <v>88.837666666666706</v>
      </c>
      <c r="S22">
        <v>78.601399999999998</v>
      </c>
      <c r="T22">
        <v>74.67</v>
      </c>
      <c r="U22">
        <v>73.847499999999997</v>
      </c>
    </row>
    <row r="23" spans="1:21" x14ac:dyDescent="0.2">
      <c r="A23" t="s">
        <v>233</v>
      </c>
      <c r="B23" t="s">
        <v>234</v>
      </c>
      <c r="E23">
        <v>55.345999999999997</v>
      </c>
      <c r="F23">
        <v>59.3625714285714</v>
      </c>
      <c r="G23">
        <v>72.339307692307699</v>
      </c>
      <c r="H23">
        <v>77.694333333333304</v>
      </c>
      <c r="I23">
        <v>56.378250000000001</v>
      </c>
      <c r="J23">
        <v>75.873800000000003</v>
      </c>
      <c r="K23">
        <v>92.313500000000005</v>
      </c>
      <c r="L23">
        <v>58.470199999999998</v>
      </c>
      <c r="M23">
        <v>22.748000000000001</v>
      </c>
      <c r="O23">
        <v>79.085999999999999</v>
      </c>
      <c r="P23">
        <v>72.233000000000004</v>
      </c>
      <c r="Q23">
        <v>91.131666666666703</v>
      </c>
      <c r="R23">
        <v>67.917599999999993</v>
      </c>
      <c r="S23">
        <v>54.174399999999999</v>
      </c>
      <c r="T23">
        <v>60.812125000000002</v>
      </c>
      <c r="U23">
        <v>71.504999999999995</v>
      </c>
    </row>
    <row r="24" spans="1:21" x14ac:dyDescent="0.2">
      <c r="A24" t="s">
        <v>193</v>
      </c>
      <c r="B24" t="s">
        <v>194</v>
      </c>
      <c r="E24">
        <v>85.899000000000001</v>
      </c>
      <c r="F24">
        <v>57.896142857142898</v>
      </c>
      <c r="G24">
        <v>68.497714285714295</v>
      </c>
      <c r="H24">
        <v>88.923666666666705</v>
      </c>
      <c r="I24">
        <v>71.6935</v>
      </c>
      <c r="J24">
        <v>69.405600000000007</v>
      </c>
      <c r="K24">
        <v>73.548333333333304</v>
      </c>
      <c r="L24">
        <v>72.1933333333333</v>
      </c>
      <c r="M24">
        <v>25.906166666666699</v>
      </c>
      <c r="N24">
        <v>40.2575</v>
      </c>
      <c r="O24">
        <v>68.766000000000005</v>
      </c>
      <c r="P24">
        <v>85.475333333333296</v>
      </c>
      <c r="Q24">
        <v>92.646000000000001</v>
      </c>
      <c r="S24">
        <v>67.122799999999998</v>
      </c>
      <c r="T24">
        <v>53.369900000000001</v>
      </c>
      <c r="U24">
        <v>64.809333333333299</v>
      </c>
    </row>
    <row r="25" spans="1:21" x14ac:dyDescent="0.2">
      <c r="A25" t="s">
        <v>119</v>
      </c>
      <c r="B25" t="s">
        <v>120</v>
      </c>
      <c r="E25">
        <v>86.985500000000002</v>
      </c>
      <c r="F25">
        <v>69.899249999999995</v>
      </c>
      <c r="G25">
        <v>77.836571428571403</v>
      </c>
      <c r="H25">
        <v>87.657666666666699</v>
      </c>
      <c r="I25">
        <v>70.291749999999993</v>
      </c>
      <c r="J25">
        <v>86.245599999999996</v>
      </c>
      <c r="K25">
        <v>94.765666666666704</v>
      </c>
      <c r="L25">
        <v>65.279333333333298</v>
      </c>
      <c r="M25">
        <v>59.661333333333303</v>
      </c>
      <c r="N25">
        <v>12.404</v>
      </c>
      <c r="O25">
        <v>75.935500000000005</v>
      </c>
      <c r="P25">
        <v>77.411333333333303</v>
      </c>
      <c r="Q25">
        <v>93.872</v>
      </c>
      <c r="R25">
        <v>57.692833333333297</v>
      </c>
      <c r="S25">
        <v>59.517200000000003</v>
      </c>
      <c r="T25">
        <v>61.483899999999998</v>
      </c>
      <c r="U25">
        <v>75.825500000000005</v>
      </c>
    </row>
    <row r="26" spans="1:21" x14ac:dyDescent="0.2">
      <c r="A26" t="s">
        <v>187</v>
      </c>
      <c r="B26" t="s">
        <v>188</v>
      </c>
      <c r="E26">
        <v>91.891499999999994</v>
      </c>
      <c r="F26">
        <v>48.91</v>
      </c>
      <c r="G26">
        <v>85.393384615384605</v>
      </c>
      <c r="H26">
        <v>99.168666666666695</v>
      </c>
      <c r="I26">
        <v>72.102249999999998</v>
      </c>
      <c r="J26">
        <v>59.290599999999998</v>
      </c>
      <c r="K26">
        <v>99.714500000000001</v>
      </c>
      <c r="L26">
        <v>70.026799999999994</v>
      </c>
      <c r="M26">
        <v>33.441000000000003</v>
      </c>
      <c r="O26">
        <v>80.995000000000005</v>
      </c>
      <c r="P26">
        <v>45.382166666666699</v>
      </c>
      <c r="Q26">
        <v>70.537000000000006</v>
      </c>
      <c r="R26">
        <v>61.0863333333333</v>
      </c>
      <c r="S26">
        <v>65.652249999999995</v>
      </c>
      <c r="T26">
        <v>77.789000000000001</v>
      </c>
      <c r="U26">
        <v>74.349999999999994</v>
      </c>
    </row>
    <row r="27" spans="1:21" x14ac:dyDescent="0.2">
      <c r="A27" t="s">
        <v>223</v>
      </c>
      <c r="B27" t="s">
        <v>224</v>
      </c>
      <c r="F27">
        <v>54.708750000000002</v>
      </c>
      <c r="G27">
        <v>86.957083333333301</v>
      </c>
      <c r="H27">
        <v>99.409666666666695</v>
      </c>
      <c r="I27">
        <v>61.741333333333301</v>
      </c>
      <c r="J27">
        <v>76.460599999999999</v>
      </c>
      <c r="K27">
        <v>90</v>
      </c>
      <c r="L27">
        <v>69.293750000000003</v>
      </c>
      <c r="M27">
        <v>64.620166666666705</v>
      </c>
      <c r="O27">
        <v>100</v>
      </c>
      <c r="P27">
        <v>51.201333333333302</v>
      </c>
      <c r="Q27">
        <v>14.095333333333301</v>
      </c>
      <c r="R27">
        <v>51.800199999999997</v>
      </c>
      <c r="S27">
        <v>67.751999999999995</v>
      </c>
      <c r="T27">
        <v>61.890333333333302</v>
      </c>
      <c r="U27">
        <v>72.403499999999994</v>
      </c>
    </row>
    <row r="28" spans="1:21" x14ac:dyDescent="0.2">
      <c r="A28" t="s">
        <v>141</v>
      </c>
      <c r="B28" t="s">
        <v>142</v>
      </c>
      <c r="E28">
        <v>90.262</v>
      </c>
      <c r="F28">
        <v>54.543799999999997</v>
      </c>
      <c r="G28">
        <v>66.321846153846195</v>
      </c>
      <c r="H28">
        <v>87.094666666666697</v>
      </c>
      <c r="I28">
        <v>57.688499999999998</v>
      </c>
      <c r="J28">
        <v>71.010999999999996</v>
      </c>
      <c r="K28">
        <v>75.765500000000003</v>
      </c>
      <c r="L28">
        <v>69.658749999999998</v>
      </c>
      <c r="M28">
        <v>33.334200000000003</v>
      </c>
      <c r="N28">
        <v>58.136499999999998</v>
      </c>
      <c r="O28">
        <v>84.5683333333333</v>
      </c>
      <c r="P28">
        <v>82.392166666666697</v>
      </c>
      <c r="Q28">
        <v>88.72</v>
      </c>
      <c r="S28">
        <v>65.409199999999998</v>
      </c>
      <c r="T28">
        <v>84.510857142857105</v>
      </c>
      <c r="U28">
        <v>59.604500000000002</v>
      </c>
    </row>
    <row r="29" spans="1:21" x14ac:dyDescent="0.2">
      <c r="A29" t="s">
        <v>255</v>
      </c>
      <c r="B29" t="s">
        <v>256</v>
      </c>
      <c r="E29">
        <v>54.783999999999999</v>
      </c>
      <c r="F29">
        <v>41.411375</v>
      </c>
      <c r="G29">
        <v>53.730142857142901</v>
      </c>
      <c r="H29">
        <v>89.671333333333294</v>
      </c>
      <c r="I29">
        <v>70.166749999999993</v>
      </c>
      <c r="J29">
        <v>70.567800000000005</v>
      </c>
      <c r="K29">
        <v>59.542999999999999</v>
      </c>
      <c r="L29">
        <v>59.610500000000002</v>
      </c>
      <c r="M29">
        <v>42.6368333333333</v>
      </c>
      <c r="N29">
        <v>2.4055</v>
      </c>
      <c r="O29">
        <v>80.962000000000003</v>
      </c>
      <c r="P29">
        <v>71.898499999999999</v>
      </c>
      <c r="Q29">
        <v>80.124333333333297</v>
      </c>
      <c r="S29">
        <v>74.189400000000006</v>
      </c>
      <c r="T29">
        <v>65.388999999999996</v>
      </c>
      <c r="U29">
        <v>67.596500000000006</v>
      </c>
    </row>
    <row r="30" spans="1:21" x14ac:dyDescent="0.2">
      <c r="A30" t="s">
        <v>349</v>
      </c>
      <c r="B30" t="s">
        <v>350</v>
      </c>
      <c r="E30">
        <v>0</v>
      </c>
      <c r="F30">
        <v>43.645499999999998</v>
      </c>
      <c r="G30">
        <v>16.026071428571399</v>
      </c>
      <c r="H30">
        <v>9.2070000000000007</v>
      </c>
      <c r="I30">
        <v>30.888249999999999</v>
      </c>
      <c r="J30">
        <v>45.511400000000002</v>
      </c>
      <c r="K30">
        <v>12.827500000000001</v>
      </c>
      <c r="L30">
        <v>47.698</v>
      </c>
      <c r="M30">
        <v>3.5259999999999998</v>
      </c>
      <c r="N30">
        <v>9.641</v>
      </c>
      <c r="O30">
        <v>19.242999999999999</v>
      </c>
      <c r="P30">
        <v>72.737666666666698</v>
      </c>
      <c r="Q30">
        <v>99.673000000000002</v>
      </c>
      <c r="S30">
        <v>89.913799999999995</v>
      </c>
      <c r="T30">
        <v>44.737000000000002</v>
      </c>
      <c r="U30">
        <v>37.3243333333333</v>
      </c>
    </row>
    <row r="31" spans="1:21" x14ac:dyDescent="0.2">
      <c r="A31" t="s">
        <v>71</v>
      </c>
      <c r="B31" t="s">
        <v>72</v>
      </c>
      <c r="E31">
        <v>99.533500000000004</v>
      </c>
      <c r="F31">
        <v>67.362499999999997</v>
      </c>
      <c r="G31">
        <v>93.952923076923099</v>
      </c>
      <c r="H31">
        <v>99.587041666666707</v>
      </c>
      <c r="I31">
        <v>82.390249999999995</v>
      </c>
      <c r="J31">
        <v>85.899799999999999</v>
      </c>
      <c r="K31">
        <v>94.892666666666699</v>
      </c>
      <c r="L31">
        <v>81.461666666666702</v>
      </c>
      <c r="M31">
        <v>85.551333333333304</v>
      </c>
      <c r="N31">
        <v>83.174000000000007</v>
      </c>
      <c r="O31">
        <v>92.737250000000003</v>
      </c>
      <c r="P31">
        <v>51.025833333333303</v>
      </c>
      <c r="Q31">
        <v>47.558999999999997</v>
      </c>
      <c r="R31">
        <v>63.661000000000001</v>
      </c>
      <c r="S31">
        <v>59.855600000000003</v>
      </c>
      <c r="T31">
        <v>84.444999999999993</v>
      </c>
      <c r="U31">
        <v>72.552499999999995</v>
      </c>
    </row>
    <row r="32" spans="1:21" x14ac:dyDescent="0.2">
      <c r="A32" t="s">
        <v>49</v>
      </c>
      <c r="B32" t="s">
        <v>50</v>
      </c>
      <c r="E32">
        <v>99.837999999999994</v>
      </c>
      <c r="F32">
        <v>70.495249999999999</v>
      </c>
      <c r="G32">
        <v>96.547714285714306</v>
      </c>
      <c r="H32">
        <v>99.614708333333297</v>
      </c>
      <c r="I32">
        <v>84.887</v>
      </c>
      <c r="J32">
        <v>89.801599999999993</v>
      </c>
      <c r="K32">
        <v>96.988666666666703</v>
      </c>
      <c r="L32">
        <v>80.947800000000001</v>
      </c>
      <c r="M32">
        <v>97.358999999999995</v>
      </c>
      <c r="N32">
        <v>84.209000000000003</v>
      </c>
      <c r="O32">
        <v>99.058250000000001</v>
      </c>
      <c r="P32">
        <v>39.424500000000002</v>
      </c>
      <c r="Q32">
        <v>59.356666666666698</v>
      </c>
      <c r="S32">
        <v>66.138199999999998</v>
      </c>
      <c r="T32">
        <v>82.344999999999999</v>
      </c>
      <c r="U32">
        <v>51.243749999999999</v>
      </c>
    </row>
    <row r="33" spans="1:21" x14ac:dyDescent="0.2">
      <c r="A33" t="s">
        <v>79</v>
      </c>
      <c r="B33" t="s">
        <v>80</v>
      </c>
      <c r="E33">
        <v>99.739500000000007</v>
      </c>
      <c r="F33">
        <v>71.914749999999998</v>
      </c>
      <c r="G33">
        <v>85.249642857142902</v>
      </c>
      <c r="H33">
        <v>97.578333333333305</v>
      </c>
      <c r="I33">
        <v>71.178749999999994</v>
      </c>
      <c r="J33">
        <v>93.306200000000004</v>
      </c>
      <c r="K33">
        <v>90.588666666666697</v>
      </c>
      <c r="L33">
        <v>77.273499999999999</v>
      </c>
      <c r="M33">
        <v>62.482999999999997</v>
      </c>
      <c r="N33">
        <v>16.157499999999999</v>
      </c>
      <c r="O33">
        <v>86.293499999999995</v>
      </c>
      <c r="P33">
        <v>78.165833333333296</v>
      </c>
      <c r="Q33">
        <v>85.502333333333397</v>
      </c>
      <c r="R33">
        <v>78.185833333333306</v>
      </c>
      <c r="S33">
        <v>59.092599999999997</v>
      </c>
      <c r="T33">
        <v>77.317400000000006</v>
      </c>
      <c r="U33">
        <v>81.23</v>
      </c>
    </row>
    <row r="34" spans="1:21" x14ac:dyDescent="0.2">
      <c r="A34" t="s">
        <v>145</v>
      </c>
      <c r="B34" t="s">
        <v>146</v>
      </c>
      <c r="E34">
        <v>98.5565</v>
      </c>
      <c r="F34">
        <v>81.099999999999994</v>
      </c>
      <c r="G34">
        <v>81.686769230769301</v>
      </c>
      <c r="H34">
        <v>97.524666666666704</v>
      </c>
      <c r="I34">
        <v>76.204250000000002</v>
      </c>
      <c r="J34">
        <v>68.642799999999994</v>
      </c>
      <c r="K34">
        <v>78.194000000000003</v>
      </c>
      <c r="L34">
        <v>71.633666666666699</v>
      </c>
      <c r="M34">
        <v>72.953666666666706</v>
      </c>
      <c r="N34">
        <v>30.658999999999999</v>
      </c>
      <c r="O34">
        <v>77.982500000000002</v>
      </c>
      <c r="P34">
        <v>87.095833333333303</v>
      </c>
      <c r="Q34">
        <v>87.0773333333333</v>
      </c>
      <c r="R34">
        <v>54.101500000000001</v>
      </c>
      <c r="S34">
        <v>49.619799999999998</v>
      </c>
      <c r="T34">
        <v>69.943285714285693</v>
      </c>
      <c r="U34">
        <v>42.072249999999997</v>
      </c>
    </row>
    <row r="35" spans="1:21" x14ac:dyDescent="0.2">
      <c r="A35" t="s">
        <v>259</v>
      </c>
      <c r="B35" t="s">
        <v>260</v>
      </c>
      <c r="E35">
        <v>43.773499999999999</v>
      </c>
      <c r="F35">
        <v>61.657625000000003</v>
      </c>
      <c r="G35">
        <v>39.353142857142899</v>
      </c>
      <c r="H35">
        <v>51.829333333333302</v>
      </c>
      <c r="I35">
        <v>39.160249999999998</v>
      </c>
      <c r="J35">
        <v>55.962400000000002</v>
      </c>
      <c r="K35">
        <v>54.2573333333333</v>
      </c>
      <c r="L35">
        <v>68.635499999999993</v>
      </c>
      <c r="M35">
        <v>27.1101666666667</v>
      </c>
      <c r="N35">
        <v>37.945999999999998</v>
      </c>
      <c r="O35">
        <v>52.452500000000001</v>
      </c>
      <c r="P35">
        <v>94.497</v>
      </c>
      <c r="Q35">
        <v>98.713666666666697</v>
      </c>
      <c r="R35">
        <v>79.467833333333303</v>
      </c>
      <c r="S35">
        <v>71.315600000000003</v>
      </c>
      <c r="T35">
        <v>57.896000000000001</v>
      </c>
      <c r="U35">
        <v>44.53425</v>
      </c>
    </row>
    <row r="36" spans="1:21" x14ac:dyDescent="0.2">
      <c r="A36" t="s">
        <v>297</v>
      </c>
      <c r="B36" t="s">
        <v>298</v>
      </c>
      <c r="E36">
        <v>42.3005</v>
      </c>
      <c r="F36">
        <v>64.805750000000003</v>
      </c>
      <c r="G36">
        <v>40.4306428571429</v>
      </c>
      <c r="H36">
        <v>63.441666666666698</v>
      </c>
      <c r="I36">
        <v>53.523499999999999</v>
      </c>
      <c r="J36">
        <v>53.210999999999999</v>
      </c>
      <c r="K36">
        <v>55.904333333333298</v>
      </c>
      <c r="L36">
        <v>60.961666666666702</v>
      </c>
      <c r="M36">
        <v>16.398199999999999</v>
      </c>
      <c r="N36">
        <v>21.614000000000001</v>
      </c>
      <c r="O36">
        <v>41.173499999999997</v>
      </c>
      <c r="P36">
        <v>94.843166666666704</v>
      </c>
      <c r="Q36">
        <v>99.022000000000006</v>
      </c>
      <c r="R36">
        <v>73.855999999999995</v>
      </c>
      <c r="S36">
        <v>64.272000000000006</v>
      </c>
      <c r="T36">
        <v>48.912500000000001</v>
      </c>
      <c r="U36">
        <v>44.77225</v>
      </c>
    </row>
    <row r="37" spans="1:21" x14ac:dyDescent="0.2">
      <c r="A37" t="s">
        <v>337</v>
      </c>
      <c r="B37" t="s">
        <v>338</v>
      </c>
      <c r="E37">
        <v>0</v>
      </c>
      <c r="F37">
        <v>47.618000000000002</v>
      </c>
      <c r="G37">
        <v>37.6877142857143</v>
      </c>
      <c r="H37">
        <v>59.867983739837399</v>
      </c>
      <c r="I37">
        <v>42.262500000000003</v>
      </c>
      <c r="J37">
        <v>43.415399999999998</v>
      </c>
      <c r="K37">
        <v>36.4956666666667</v>
      </c>
      <c r="L37">
        <v>54.8378333333333</v>
      </c>
      <c r="M37">
        <v>9.9243333333333403</v>
      </c>
      <c r="N37">
        <v>43.061500000000002</v>
      </c>
      <c r="O37">
        <v>40.396250000000002</v>
      </c>
      <c r="P37">
        <v>92.646199999999993</v>
      </c>
      <c r="Q37">
        <v>99.665000000000006</v>
      </c>
      <c r="R37">
        <v>78.775999999999996</v>
      </c>
      <c r="S37">
        <v>70.857600000000005</v>
      </c>
      <c r="T37">
        <v>38.991399999999999</v>
      </c>
      <c r="U37">
        <v>41.563666666666698</v>
      </c>
    </row>
    <row r="38" spans="1:21" x14ac:dyDescent="0.2">
      <c r="A38" t="s">
        <v>321</v>
      </c>
      <c r="B38" t="s">
        <v>322</v>
      </c>
      <c r="E38">
        <v>0</v>
      </c>
      <c r="F38">
        <v>46.335428571428601</v>
      </c>
      <c r="G38">
        <v>47.8844285714286</v>
      </c>
      <c r="H38">
        <v>57.524333333333303</v>
      </c>
      <c r="I38">
        <v>53.281500000000001</v>
      </c>
      <c r="J38">
        <v>53.119599999999998</v>
      </c>
      <c r="K38">
        <v>57.863999999999997</v>
      </c>
      <c r="L38">
        <v>54.734400000000001</v>
      </c>
      <c r="M38">
        <v>6.7144000000000004</v>
      </c>
      <c r="N38">
        <v>15.5185</v>
      </c>
      <c r="O38">
        <v>53.888249999999999</v>
      </c>
      <c r="P38">
        <v>93.195599999999999</v>
      </c>
      <c r="Q38">
        <v>97.428333333333299</v>
      </c>
      <c r="R38">
        <v>75.975200000000001</v>
      </c>
      <c r="S38">
        <v>80.257400000000004</v>
      </c>
      <c r="T38">
        <v>57.143124999999998</v>
      </c>
      <c r="U38">
        <v>49.213250000000002</v>
      </c>
    </row>
    <row r="39" spans="1:21" x14ac:dyDescent="0.2">
      <c r="A39" t="s">
        <v>171</v>
      </c>
      <c r="B39" t="s">
        <v>172</v>
      </c>
      <c r="E39">
        <v>83.4345</v>
      </c>
      <c r="F39">
        <v>64.122874999999993</v>
      </c>
      <c r="G39">
        <v>79.4927142857143</v>
      </c>
      <c r="H39">
        <v>93.533666666666704</v>
      </c>
      <c r="I39">
        <v>70.204250000000002</v>
      </c>
      <c r="J39">
        <v>81.160799999999995</v>
      </c>
      <c r="K39">
        <v>91.906999999999996</v>
      </c>
      <c r="L39">
        <v>62.101999999999997</v>
      </c>
      <c r="M39">
        <v>41.2038333333333</v>
      </c>
      <c r="N39">
        <v>10.9575</v>
      </c>
      <c r="O39">
        <v>80.722499999999997</v>
      </c>
      <c r="P39">
        <v>85.659166666666707</v>
      </c>
      <c r="Q39">
        <v>89.117999999999995</v>
      </c>
      <c r="R39">
        <v>74.093500000000006</v>
      </c>
      <c r="S39">
        <v>60.337000000000003</v>
      </c>
      <c r="T39">
        <v>61.824100000000001</v>
      </c>
      <c r="U39">
        <v>69.600750000000005</v>
      </c>
    </row>
    <row r="40" spans="1:21" x14ac:dyDescent="0.2">
      <c r="A40" t="s">
        <v>327</v>
      </c>
      <c r="B40" t="s">
        <v>328</v>
      </c>
    </row>
    <row r="41" spans="1:21" x14ac:dyDescent="0.2">
      <c r="A41" t="s">
        <v>197</v>
      </c>
      <c r="B41" t="s">
        <v>198</v>
      </c>
      <c r="E41">
        <v>83.220500000000001</v>
      </c>
      <c r="F41">
        <v>37.395600000000002</v>
      </c>
      <c r="G41">
        <v>73.898615384615397</v>
      </c>
      <c r="H41">
        <v>81.283666666666704</v>
      </c>
      <c r="I41">
        <v>68.591499999999996</v>
      </c>
      <c r="J41">
        <v>73.094999999999999</v>
      </c>
      <c r="K41">
        <v>81.701499999999996</v>
      </c>
      <c r="L41">
        <v>73.400000000000006</v>
      </c>
      <c r="M41">
        <v>27.348400000000002</v>
      </c>
      <c r="N41">
        <v>30.663</v>
      </c>
      <c r="O41">
        <v>79.052000000000007</v>
      </c>
      <c r="P41">
        <v>79.272000000000006</v>
      </c>
      <c r="Q41">
        <v>94.359666666666698</v>
      </c>
      <c r="R41">
        <v>61.194499999999998</v>
      </c>
      <c r="S41">
        <v>71.094499999999996</v>
      </c>
      <c r="T41">
        <v>78.326142857142898</v>
      </c>
      <c r="U41">
        <v>64.563249999999996</v>
      </c>
    </row>
    <row r="42" spans="1:21" x14ac:dyDescent="0.2">
      <c r="A42" t="s">
        <v>123</v>
      </c>
      <c r="B42" t="s">
        <v>124</v>
      </c>
      <c r="E42">
        <v>95.126000000000005</v>
      </c>
      <c r="F42">
        <v>52.184125000000002</v>
      </c>
      <c r="G42">
        <v>85.9310714285714</v>
      </c>
      <c r="H42">
        <v>88.985666666666702</v>
      </c>
      <c r="I42">
        <v>81.497749999999996</v>
      </c>
      <c r="J42">
        <v>80.412599999999998</v>
      </c>
      <c r="K42">
        <v>93.992333333333306</v>
      </c>
      <c r="L42">
        <v>69.979833333333303</v>
      </c>
      <c r="M42">
        <v>51.61</v>
      </c>
      <c r="N42">
        <v>17.727</v>
      </c>
      <c r="O42">
        <v>93.527500000000003</v>
      </c>
      <c r="P42">
        <v>81.074833333333302</v>
      </c>
      <c r="Q42">
        <v>83.35</v>
      </c>
      <c r="R42">
        <v>58.3853333333333</v>
      </c>
      <c r="S42">
        <v>61.593400000000003</v>
      </c>
      <c r="T42">
        <v>78.287000000000006</v>
      </c>
      <c r="U42">
        <v>76.6875</v>
      </c>
    </row>
    <row r="43" spans="1:21" x14ac:dyDescent="0.2">
      <c r="A43" t="s">
        <v>111</v>
      </c>
      <c r="B43" t="s">
        <v>112</v>
      </c>
      <c r="F43">
        <v>58.459285714285699</v>
      </c>
      <c r="G43">
        <v>84.873142857142895</v>
      </c>
      <c r="H43">
        <v>95.024000000000001</v>
      </c>
      <c r="I43">
        <v>81.695750000000004</v>
      </c>
      <c r="J43">
        <v>74.502200000000002</v>
      </c>
      <c r="K43">
        <v>85.989666666666693</v>
      </c>
      <c r="L43">
        <v>88.984999999999999</v>
      </c>
      <c r="M43">
        <v>25.352333333333299</v>
      </c>
      <c r="O43">
        <v>65.671000000000006</v>
      </c>
      <c r="P43">
        <v>88.221999999999994</v>
      </c>
      <c r="Q43">
        <v>89.533000000000001</v>
      </c>
      <c r="R43">
        <v>73.874833333333299</v>
      </c>
      <c r="S43">
        <v>68.637</v>
      </c>
      <c r="T43">
        <v>64.515500000000003</v>
      </c>
      <c r="U43">
        <v>100</v>
      </c>
    </row>
    <row r="44" spans="1:21" x14ac:dyDescent="0.2">
      <c r="A44" t="s">
        <v>137</v>
      </c>
      <c r="B44" t="s">
        <v>138</v>
      </c>
      <c r="E44">
        <v>99.930999999999997</v>
      </c>
      <c r="F44">
        <v>59.192250000000001</v>
      </c>
      <c r="G44">
        <v>90.834153846153896</v>
      </c>
      <c r="H44">
        <v>97.778000000000006</v>
      </c>
      <c r="I44">
        <v>71.391333333333293</v>
      </c>
      <c r="J44">
        <v>77.380200000000002</v>
      </c>
      <c r="K44">
        <v>92.548000000000002</v>
      </c>
      <c r="L44">
        <v>80.143600000000006</v>
      </c>
      <c r="M44">
        <v>70.295000000000002</v>
      </c>
      <c r="N44">
        <v>81.634500000000003</v>
      </c>
      <c r="O44">
        <v>74.7</v>
      </c>
      <c r="P44">
        <v>56.262833333333298</v>
      </c>
      <c r="Q44">
        <v>63.670333333333303</v>
      </c>
      <c r="R44">
        <v>54.4106666666667</v>
      </c>
      <c r="S44">
        <v>76.915199999999999</v>
      </c>
      <c r="T44">
        <v>80.543750000000003</v>
      </c>
      <c r="U44">
        <v>45.081499999999998</v>
      </c>
    </row>
    <row r="45" spans="1:21" x14ac:dyDescent="0.2">
      <c r="A45" t="s">
        <v>435</v>
      </c>
      <c r="B45" t="s">
        <v>36</v>
      </c>
      <c r="E45">
        <v>99.795000000000002</v>
      </c>
      <c r="F45">
        <v>61.563749999999999</v>
      </c>
      <c r="G45">
        <v>89.777923076923102</v>
      </c>
      <c r="H45">
        <v>98.951333333333395</v>
      </c>
      <c r="I45">
        <v>72.923500000000004</v>
      </c>
      <c r="J45">
        <v>85.568399999999997</v>
      </c>
      <c r="K45">
        <v>92.362666666666698</v>
      </c>
      <c r="L45">
        <v>85.146666666666704</v>
      </c>
      <c r="M45">
        <v>80.3035</v>
      </c>
      <c r="N45">
        <v>96.488500000000002</v>
      </c>
      <c r="O45">
        <v>92.488</v>
      </c>
      <c r="P45">
        <v>69.423833333333306</v>
      </c>
      <c r="Q45">
        <v>65.980333333333306</v>
      </c>
      <c r="S45">
        <v>92.615600000000001</v>
      </c>
      <c r="T45">
        <v>81.900000000000006</v>
      </c>
      <c r="U45">
        <v>54.945</v>
      </c>
    </row>
    <row r="46" spans="1:21" x14ac:dyDescent="0.2">
      <c r="A46" t="s">
        <v>27</v>
      </c>
      <c r="B46" t="s">
        <v>28</v>
      </c>
      <c r="E46">
        <v>99.533500000000004</v>
      </c>
      <c r="F46">
        <v>72.444625000000002</v>
      </c>
      <c r="G46">
        <v>93.767615384615397</v>
      </c>
      <c r="H46">
        <v>98.7880416666667</v>
      </c>
      <c r="I46">
        <v>80.707750000000004</v>
      </c>
      <c r="J46">
        <v>84.701599999999999</v>
      </c>
      <c r="K46">
        <v>93.615666666666698</v>
      </c>
      <c r="L46">
        <v>87.358999999999995</v>
      </c>
      <c r="M46">
        <v>92.969666666666697</v>
      </c>
      <c r="N46">
        <v>86.516499999999994</v>
      </c>
      <c r="O46">
        <v>91.314250000000001</v>
      </c>
      <c r="P46">
        <v>54.888666666666701</v>
      </c>
      <c r="Q46">
        <v>60.680999999999997</v>
      </c>
      <c r="R46">
        <v>62.649833333333298</v>
      </c>
      <c r="S46">
        <v>79.739199999999997</v>
      </c>
      <c r="T46">
        <v>84.681600000000003</v>
      </c>
      <c r="U46">
        <v>77.831999999999994</v>
      </c>
    </row>
    <row r="47" spans="1:21" x14ac:dyDescent="0.2">
      <c r="A47" t="s">
        <v>319</v>
      </c>
      <c r="B47" t="s">
        <v>320</v>
      </c>
      <c r="E47">
        <v>58.798999999999999</v>
      </c>
      <c r="F47">
        <v>35.430833333333297</v>
      </c>
      <c r="G47">
        <v>55.210142857142898</v>
      </c>
      <c r="H47">
        <v>41.411769841269802</v>
      </c>
      <c r="I47">
        <v>51.978666666666697</v>
      </c>
      <c r="J47">
        <v>63.421199999999999</v>
      </c>
      <c r="K47">
        <v>33.072000000000003</v>
      </c>
      <c r="L47">
        <v>59.575200000000002</v>
      </c>
      <c r="M47">
        <v>26.381399999999999</v>
      </c>
      <c r="N47">
        <v>28.041499999999999</v>
      </c>
      <c r="O47">
        <v>60.029499999999999</v>
      </c>
      <c r="P47">
        <v>89.079666666666697</v>
      </c>
      <c r="Q47">
        <v>97.868666666666698</v>
      </c>
      <c r="R47">
        <v>66.473399999999998</v>
      </c>
      <c r="S47">
        <v>38.0625</v>
      </c>
      <c r="T47">
        <v>60.046285714285702</v>
      </c>
      <c r="U47">
        <v>49.113999999999997</v>
      </c>
    </row>
    <row r="48" spans="1:21" x14ac:dyDescent="0.2">
      <c r="A48" t="s">
        <v>357</v>
      </c>
      <c r="B48" t="s">
        <v>358</v>
      </c>
    </row>
    <row r="49" spans="1:21" x14ac:dyDescent="0.2">
      <c r="A49" t="s">
        <v>25</v>
      </c>
      <c r="B49" t="s">
        <v>26</v>
      </c>
      <c r="E49">
        <v>99.679000000000002</v>
      </c>
      <c r="F49">
        <v>58.859875000000002</v>
      </c>
      <c r="G49">
        <v>94.202692307692303</v>
      </c>
      <c r="H49">
        <v>99.130708333333303</v>
      </c>
      <c r="I49">
        <v>86.787750000000003</v>
      </c>
      <c r="J49">
        <v>90.278000000000006</v>
      </c>
      <c r="K49">
        <v>94.406666666666695</v>
      </c>
      <c r="L49">
        <v>88.855500000000006</v>
      </c>
      <c r="M49">
        <v>96.802166666666693</v>
      </c>
      <c r="N49">
        <v>97.835499999999996</v>
      </c>
      <c r="O49">
        <v>91.820999999999998</v>
      </c>
      <c r="P49">
        <v>43.417000000000002</v>
      </c>
      <c r="Q49">
        <v>60.644666666666701</v>
      </c>
      <c r="R49">
        <v>73.429500000000004</v>
      </c>
      <c r="S49">
        <v>90.636399999999995</v>
      </c>
      <c r="T49">
        <v>93.124700000000004</v>
      </c>
      <c r="U49">
        <v>82.717749999999995</v>
      </c>
    </row>
    <row r="50" spans="1:21" x14ac:dyDescent="0.2">
      <c r="A50" t="s">
        <v>143</v>
      </c>
      <c r="B50" t="s">
        <v>144</v>
      </c>
      <c r="E50">
        <v>97.224999999999994</v>
      </c>
      <c r="F50">
        <v>60.186875000000001</v>
      </c>
      <c r="G50">
        <v>66.750642857142907</v>
      </c>
      <c r="H50">
        <v>89.785333333333298</v>
      </c>
      <c r="I50">
        <v>72.917249999999996</v>
      </c>
      <c r="J50">
        <v>67.294399999999996</v>
      </c>
      <c r="K50">
        <v>89.698333333333295</v>
      </c>
      <c r="L50">
        <v>71.206166666666704</v>
      </c>
      <c r="M50">
        <v>35.162999999999997</v>
      </c>
      <c r="N50">
        <v>23.753</v>
      </c>
      <c r="O50">
        <v>83.349249999999998</v>
      </c>
      <c r="P50">
        <v>84.481499999999997</v>
      </c>
      <c r="Q50">
        <v>91.272666666666694</v>
      </c>
      <c r="R50">
        <v>84.642666666666699</v>
      </c>
      <c r="S50">
        <v>76.042199999999994</v>
      </c>
      <c r="T50">
        <v>59.189399999999999</v>
      </c>
      <c r="U50">
        <v>49.96575</v>
      </c>
    </row>
    <row r="51" spans="1:21" x14ac:dyDescent="0.2">
      <c r="A51" t="s">
        <v>161</v>
      </c>
      <c r="B51" t="s">
        <v>162</v>
      </c>
      <c r="E51">
        <v>96.938999999999993</v>
      </c>
      <c r="F51">
        <v>56.565571428571403</v>
      </c>
      <c r="G51">
        <v>75.578571428571394</v>
      </c>
      <c r="H51">
        <v>91.210999999999999</v>
      </c>
      <c r="I51">
        <v>53.71425</v>
      </c>
      <c r="J51">
        <v>61.033999999999999</v>
      </c>
      <c r="K51">
        <v>86.727000000000004</v>
      </c>
      <c r="L51">
        <v>62.236166666666698</v>
      </c>
      <c r="M51">
        <v>45.405833333333298</v>
      </c>
      <c r="N51">
        <v>91.491</v>
      </c>
      <c r="O51">
        <v>57.699666666666701</v>
      </c>
      <c r="P51">
        <v>87.711833333333303</v>
      </c>
      <c r="Q51">
        <v>90.150666666666694</v>
      </c>
      <c r="R51">
        <v>52.3333333333333</v>
      </c>
      <c r="S51">
        <v>51.492800000000003</v>
      </c>
      <c r="T51">
        <v>70.197699999999998</v>
      </c>
      <c r="U51">
        <v>74.101500000000001</v>
      </c>
    </row>
    <row r="52" spans="1:21" x14ac:dyDescent="0.2">
      <c r="A52" t="s">
        <v>167</v>
      </c>
      <c r="B52" t="s">
        <v>168</v>
      </c>
      <c r="E52">
        <v>85.034499999999994</v>
      </c>
      <c r="F52">
        <v>59.198124999999997</v>
      </c>
      <c r="G52">
        <v>77.5637857142857</v>
      </c>
      <c r="H52">
        <v>97.31</v>
      </c>
      <c r="I52">
        <v>77.297749999999994</v>
      </c>
      <c r="J52">
        <v>75.015000000000001</v>
      </c>
      <c r="K52">
        <v>91.3273333333333</v>
      </c>
      <c r="L52">
        <v>68.974166666666704</v>
      </c>
      <c r="M52">
        <v>35.0966666666667</v>
      </c>
      <c r="N52">
        <v>23.613499999999998</v>
      </c>
      <c r="O52">
        <v>84.4435</v>
      </c>
      <c r="P52">
        <v>84.424833333333297</v>
      </c>
      <c r="Q52">
        <v>92.590999999999994</v>
      </c>
      <c r="R52">
        <v>80.947000000000003</v>
      </c>
      <c r="S52">
        <v>60.078800000000001</v>
      </c>
      <c r="T52">
        <v>65.099699999999999</v>
      </c>
      <c r="U52">
        <v>75.153333333333293</v>
      </c>
    </row>
    <row r="53" spans="1:21" x14ac:dyDescent="0.2">
      <c r="A53" t="s">
        <v>181</v>
      </c>
      <c r="B53" t="s">
        <v>182</v>
      </c>
      <c r="E53">
        <v>74.325999999999993</v>
      </c>
      <c r="F53">
        <v>64.327749999999995</v>
      </c>
      <c r="G53">
        <v>71.227357142857102</v>
      </c>
      <c r="H53">
        <v>87.585333333333296</v>
      </c>
      <c r="I53">
        <v>45.580500000000001</v>
      </c>
      <c r="J53">
        <v>66.488399999999999</v>
      </c>
      <c r="K53">
        <v>92.343000000000004</v>
      </c>
      <c r="L53">
        <v>56.816666666666698</v>
      </c>
      <c r="M53">
        <v>47.0283333333333</v>
      </c>
      <c r="N53">
        <v>58.436999999999998</v>
      </c>
      <c r="O53">
        <v>66.034499999999994</v>
      </c>
      <c r="P53">
        <v>87.686833333333297</v>
      </c>
      <c r="Q53">
        <v>94.561999999999998</v>
      </c>
      <c r="R53">
        <v>50.784999999999997</v>
      </c>
      <c r="S53">
        <v>68.794399999999996</v>
      </c>
      <c r="T53">
        <v>75.826499999999996</v>
      </c>
      <c r="U53">
        <v>59.151249999999997</v>
      </c>
    </row>
    <row r="54" spans="1:21" x14ac:dyDescent="0.2">
      <c r="A54" t="s">
        <v>359</v>
      </c>
      <c r="B54" t="s">
        <v>360</v>
      </c>
    </row>
    <row r="55" spans="1:21" x14ac:dyDescent="0.2">
      <c r="A55" t="s">
        <v>51</v>
      </c>
      <c r="B55" t="s">
        <v>52</v>
      </c>
      <c r="E55">
        <v>98.607500000000002</v>
      </c>
      <c r="F55">
        <v>63.884500000000003</v>
      </c>
      <c r="G55">
        <v>94.127615384615396</v>
      </c>
      <c r="H55">
        <v>96.55</v>
      </c>
      <c r="I55">
        <v>85.813749999999999</v>
      </c>
      <c r="J55">
        <v>86.583399999999997</v>
      </c>
      <c r="K55">
        <v>95.005666666666698</v>
      </c>
      <c r="L55">
        <v>76.214500000000001</v>
      </c>
      <c r="M55">
        <v>86.879166666666706</v>
      </c>
      <c r="N55">
        <v>73.183999999999997</v>
      </c>
      <c r="O55">
        <v>91.478750000000005</v>
      </c>
      <c r="P55">
        <v>63.054833333333299</v>
      </c>
      <c r="Q55">
        <v>76.974999999999994</v>
      </c>
      <c r="R55">
        <v>52.155333333333303</v>
      </c>
      <c r="S55">
        <v>66.524199999999993</v>
      </c>
      <c r="T55">
        <v>82.980400000000003</v>
      </c>
      <c r="U55">
        <v>60.829000000000001</v>
      </c>
    </row>
    <row r="56" spans="1:21" x14ac:dyDescent="0.2">
      <c r="A56" t="s">
        <v>39</v>
      </c>
      <c r="B56" t="s">
        <v>40</v>
      </c>
      <c r="E56">
        <v>99.921000000000006</v>
      </c>
      <c r="F56">
        <v>63.813000000000002</v>
      </c>
      <c r="G56">
        <v>88.144384615384595</v>
      </c>
      <c r="H56">
        <v>97.280666666666704</v>
      </c>
      <c r="I56">
        <v>77.236999999999995</v>
      </c>
      <c r="J56">
        <v>88.337800000000001</v>
      </c>
      <c r="K56">
        <v>88.570333333333295</v>
      </c>
      <c r="L56">
        <v>84.198666666666696</v>
      </c>
      <c r="M56">
        <v>75.777333333333303</v>
      </c>
      <c r="N56">
        <v>83.677999999999997</v>
      </c>
      <c r="O56">
        <v>92.746250000000003</v>
      </c>
      <c r="P56">
        <v>60.325666666666699</v>
      </c>
      <c r="Q56">
        <v>61.986333333333299</v>
      </c>
      <c r="R56">
        <v>85.216499999999996</v>
      </c>
      <c r="S56">
        <v>96.255799999999994</v>
      </c>
      <c r="T56">
        <v>90.837999999999994</v>
      </c>
      <c r="U56">
        <v>52.46275</v>
      </c>
    </row>
    <row r="57" spans="1:21" x14ac:dyDescent="0.2">
      <c r="A57" t="s">
        <v>307</v>
      </c>
      <c r="B57" t="s">
        <v>308</v>
      </c>
      <c r="E57">
        <v>33.9255</v>
      </c>
      <c r="F57">
        <v>61.537624999999998</v>
      </c>
      <c r="G57">
        <v>44.527999999999999</v>
      </c>
      <c r="H57">
        <v>44.381333333333302</v>
      </c>
      <c r="I57">
        <v>53.71425</v>
      </c>
      <c r="J57">
        <v>35.750799999999998</v>
      </c>
      <c r="K57">
        <v>41.518333333333302</v>
      </c>
      <c r="L57">
        <v>61.596499999999999</v>
      </c>
      <c r="M57">
        <v>10.3188333333333</v>
      </c>
      <c r="N57">
        <v>71.691500000000005</v>
      </c>
      <c r="O57">
        <v>55.522750000000002</v>
      </c>
      <c r="P57">
        <v>96.158833333333305</v>
      </c>
      <c r="Q57">
        <v>99.466666666666697</v>
      </c>
      <c r="S57">
        <v>57.952800000000003</v>
      </c>
      <c r="T57">
        <v>47.069899999999997</v>
      </c>
      <c r="U57">
        <v>43.713000000000001</v>
      </c>
    </row>
    <row r="58" spans="1:21" x14ac:dyDescent="0.2">
      <c r="A58" t="s">
        <v>21</v>
      </c>
      <c r="B58" t="s">
        <v>22</v>
      </c>
      <c r="E58">
        <v>99.847999999999999</v>
      </c>
      <c r="F58">
        <v>64.164625000000001</v>
      </c>
      <c r="G58">
        <v>94.769615384615406</v>
      </c>
      <c r="H58">
        <v>98.160708333333304</v>
      </c>
      <c r="I58">
        <v>91.370999999999995</v>
      </c>
      <c r="J58">
        <v>94.440600000000003</v>
      </c>
      <c r="K58">
        <v>96.486000000000004</v>
      </c>
      <c r="L58">
        <v>88.277666666666704</v>
      </c>
      <c r="M58">
        <v>94.057666666666705</v>
      </c>
      <c r="N58">
        <v>96.811999999999998</v>
      </c>
      <c r="O58">
        <v>91.233750000000001</v>
      </c>
      <c r="P58">
        <v>55.598500000000001</v>
      </c>
      <c r="Q58">
        <v>59.982999999999997</v>
      </c>
      <c r="R58">
        <v>84.649833333333305</v>
      </c>
      <c r="S58">
        <v>84.62</v>
      </c>
      <c r="T58">
        <v>94.601799999999997</v>
      </c>
      <c r="U58">
        <v>71.245000000000005</v>
      </c>
    </row>
    <row r="59" spans="1:21" x14ac:dyDescent="0.2">
      <c r="A59" t="s">
        <v>133</v>
      </c>
      <c r="B59" t="s">
        <v>134</v>
      </c>
      <c r="E59">
        <v>91.253500000000003</v>
      </c>
      <c r="F59">
        <v>57.3215</v>
      </c>
      <c r="G59">
        <v>71.460846153846205</v>
      </c>
      <c r="H59">
        <v>98.826999999999998</v>
      </c>
      <c r="I59">
        <v>57.704000000000001</v>
      </c>
      <c r="J59">
        <v>76.740399999999994</v>
      </c>
      <c r="K59">
        <v>68.939499999999995</v>
      </c>
      <c r="L59">
        <v>80.677000000000007</v>
      </c>
      <c r="M59">
        <v>39.7014</v>
      </c>
      <c r="N59">
        <v>43.619</v>
      </c>
      <c r="O59">
        <v>93.206999999999994</v>
      </c>
      <c r="P59">
        <v>80.468333333333405</v>
      </c>
      <c r="Q59">
        <v>90.294333333333299</v>
      </c>
      <c r="R59">
        <v>72.667666666666705</v>
      </c>
      <c r="S59">
        <v>44.142600000000002</v>
      </c>
      <c r="T59">
        <v>85.502250000000004</v>
      </c>
      <c r="U59">
        <v>58.627000000000002</v>
      </c>
    </row>
    <row r="60" spans="1:21" x14ac:dyDescent="0.2">
      <c r="A60" t="s">
        <v>31</v>
      </c>
      <c r="B60" t="s">
        <v>32</v>
      </c>
      <c r="E60">
        <v>99.745500000000007</v>
      </c>
      <c r="F60">
        <v>73.728624999999994</v>
      </c>
      <c r="G60">
        <v>92.507571428571396</v>
      </c>
      <c r="H60">
        <v>99.709708333333296</v>
      </c>
      <c r="I60">
        <v>86.977249999999998</v>
      </c>
      <c r="J60">
        <v>86.678399999999996</v>
      </c>
      <c r="K60">
        <v>96.965999999999994</v>
      </c>
      <c r="L60">
        <v>82.4256666666667</v>
      </c>
      <c r="M60">
        <v>87.409166666666707</v>
      </c>
      <c r="N60">
        <v>84.311499999999995</v>
      </c>
      <c r="O60">
        <v>89.311999999999998</v>
      </c>
      <c r="P60">
        <v>57.665500000000002</v>
      </c>
      <c r="Q60">
        <v>72.365333333333297</v>
      </c>
      <c r="R60">
        <v>61.448833333333297</v>
      </c>
      <c r="S60">
        <v>70.846000000000004</v>
      </c>
      <c r="T60">
        <v>75.138499999999993</v>
      </c>
      <c r="U60">
        <v>71.204499999999996</v>
      </c>
    </row>
    <row r="61" spans="1:21" x14ac:dyDescent="0.2">
      <c r="A61" t="s">
        <v>361</v>
      </c>
      <c r="B61" t="s">
        <v>362</v>
      </c>
    </row>
    <row r="62" spans="1:21" x14ac:dyDescent="0.2">
      <c r="A62" t="s">
        <v>245</v>
      </c>
      <c r="B62" t="s">
        <v>246</v>
      </c>
      <c r="E62">
        <v>83.269499999999994</v>
      </c>
      <c r="F62">
        <v>51.985428571428599</v>
      </c>
      <c r="G62">
        <v>51.665857142857099</v>
      </c>
      <c r="H62">
        <v>61.786753581107199</v>
      </c>
      <c r="I62">
        <v>47.305500000000002</v>
      </c>
      <c r="J62">
        <v>62.812800000000003</v>
      </c>
      <c r="K62">
        <v>83.733999999999995</v>
      </c>
      <c r="L62">
        <v>61.943800000000003</v>
      </c>
      <c r="M62">
        <v>32.646166666666701</v>
      </c>
      <c r="N62">
        <v>59.234999999999999</v>
      </c>
      <c r="O62">
        <v>53.433999999999997</v>
      </c>
      <c r="P62">
        <v>85.608800000000002</v>
      </c>
      <c r="Q62">
        <v>88.725499999999997</v>
      </c>
      <c r="R62">
        <v>66.580500000000001</v>
      </c>
      <c r="S62">
        <v>83.063000000000002</v>
      </c>
      <c r="T62">
        <v>53.078444444444401</v>
      </c>
      <c r="U62">
        <v>40.982500000000002</v>
      </c>
    </row>
    <row r="63" spans="1:21" x14ac:dyDescent="0.2">
      <c r="A63" t="s">
        <v>41</v>
      </c>
      <c r="B63" t="s">
        <v>42</v>
      </c>
      <c r="E63">
        <v>99.725999999999999</v>
      </c>
      <c r="F63">
        <v>67.308250000000001</v>
      </c>
      <c r="G63">
        <v>92.783000000000001</v>
      </c>
      <c r="H63">
        <v>98.376374999999996</v>
      </c>
      <c r="I63">
        <v>82.976249999999993</v>
      </c>
      <c r="J63">
        <v>92.2898</v>
      </c>
      <c r="K63">
        <v>93.762666666666703</v>
      </c>
      <c r="L63">
        <v>80.483666666666693</v>
      </c>
      <c r="M63">
        <v>89.823999999999998</v>
      </c>
      <c r="N63">
        <v>66.340999999999994</v>
      </c>
      <c r="O63">
        <v>93.342749999999995</v>
      </c>
      <c r="P63">
        <v>53.301666666666698</v>
      </c>
      <c r="Q63">
        <v>57.845333333333301</v>
      </c>
      <c r="R63">
        <v>73.115166666666696</v>
      </c>
      <c r="S63">
        <v>76.716200000000001</v>
      </c>
      <c r="T63">
        <v>83.129599999999996</v>
      </c>
      <c r="U63">
        <v>58.217750000000002</v>
      </c>
    </row>
    <row r="64" spans="1:21" x14ac:dyDescent="0.2">
      <c r="A64" t="s">
        <v>103</v>
      </c>
      <c r="B64" t="s">
        <v>104</v>
      </c>
      <c r="E64">
        <v>84.215000000000003</v>
      </c>
      <c r="F64">
        <v>52.252714285714298</v>
      </c>
      <c r="G64">
        <v>73.150999999999996</v>
      </c>
      <c r="H64">
        <v>99.329333333333295</v>
      </c>
      <c r="I64">
        <v>58.784999999999997</v>
      </c>
      <c r="J64">
        <v>83.497600000000006</v>
      </c>
      <c r="K64">
        <v>88.287333333333294</v>
      </c>
      <c r="L64">
        <v>68.743666666666698</v>
      </c>
      <c r="M64">
        <v>39.716166666666702</v>
      </c>
      <c r="N64">
        <v>52.104500000000002</v>
      </c>
      <c r="O64">
        <v>76.311499999999995</v>
      </c>
      <c r="P64">
        <v>83.548500000000004</v>
      </c>
      <c r="Q64">
        <v>86.313666666666705</v>
      </c>
      <c r="R64">
        <v>66.340800000000002</v>
      </c>
      <c r="S64">
        <v>67.751400000000004</v>
      </c>
      <c r="T64">
        <v>84.702299999999994</v>
      </c>
      <c r="U64">
        <v>62.917499999999997</v>
      </c>
    </row>
    <row r="65" spans="1:21" x14ac:dyDescent="0.2">
      <c r="A65" t="s">
        <v>263</v>
      </c>
      <c r="B65" t="s">
        <v>264</v>
      </c>
      <c r="E65">
        <v>65.909000000000006</v>
      </c>
      <c r="F65">
        <v>66.309749999999994</v>
      </c>
      <c r="G65">
        <v>53.519571428571403</v>
      </c>
      <c r="H65">
        <v>85.972666666666697</v>
      </c>
      <c r="I65">
        <v>51.597999999999999</v>
      </c>
      <c r="J65">
        <v>55.612000000000002</v>
      </c>
      <c r="K65">
        <v>59.898000000000003</v>
      </c>
      <c r="L65">
        <v>69.606999999999999</v>
      </c>
      <c r="M65">
        <v>37.486166666666698</v>
      </c>
      <c r="N65">
        <v>31.76</v>
      </c>
      <c r="O65">
        <v>51.457000000000001</v>
      </c>
      <c r="P65">
        <v>95.132833333333295</v>
      </c>
      <c r="Q65">
        <v>98.253</v>
      </c>
      <c r="R65">
        <v>46.300333333333299</v>
      </c>
      <c r="S65">
        <v>76.694599999999994</v>
      </c>
      <c r="T65">
        <v>70.413300000000007</v>
      </c>
      <c r="U65">
        <v>46.480249999999998</v>
      </c>
    </row>
    <row r="66" spans="1:21" x14ac:dyDescent="0.2">
      <c r="A66" t="s">
        <v>303</v>
      </c>
      <c r="B66" t="s">
        <v>304</v>
      </c>
      <c r="E66">
        <v>30.861000000000001</v>
      </c>
      <c r="F66">
        <v>49.711166666666699</v>
      </c>
      <c r="G66">
        <v>31.582857142857101</v>
      </c>
      <c r="H66">
        <v>25.266666666666701</v>
      </c>
      <c r="I66">
        <v>39.045000000000002</v>
      </c>
      <c r="J66">
        <v>50.077599999999997</v>
      </c>
      <c r="K66">
        <v>19.196999999999999</v>
      </c>
      <c r="L66">
        <v>63.470833333333303</v>
      </c>
      <c r="M66">
        <v>6.3994999999999997</v>
      </c>
      <c r="N66">
        <v>71.213999999999999</v>
      </c>
      <c r="O66">
        <v>52.195</v>
      </c>
      <c r="P66">
        <v>94.438999999999993</v>
      </c>
      <c r="Q66">
        <v>99.140333333333302</v>
      </c>
      <c r="R66">
        <v>63.443166666666698</v>
      </c>
      <c r="S66">
        <v>70.744</v>
      </c>
      <c r="T66">
        <v>50.364899999999999</v>
      </c>
      <c r="U66">
        <v>49.1933333333333</v>
      </c>
    </row>
    <row r="67" spans="1:21" x14ac:dyDescent="0.2">
      <c r="A67" t="s">
        <v>277</v>
      </c>
      <c r="B67" t="s">
        <v>278</v>
      </c>
      <c r="E67">
        <v>64.263999999999996</v>
      </c>
      <c r="F67">
        <v>58.47025</v>
      </c>
      <c r="G67">
        <v>45.005499999999998</v>
      </c>
      <c r="H67">
        <v>51.5073333333333</v>
      </c>
      <c r="I67">
        <v>40.546250000000001</v>
      </c>
      <c r="J67">
        <v>59.088200000000001</v>
      </c>
      <c r="K67">
        <v>28.826499999999999</v>
      </c>
      <c r="L67">
        <v>64.894800000000004</v>
      </c>
      <c r="M67">
        <v>11.1703333333333</v>
      </c>
      <c r="N67">
        <v>69.070999999999998</v>
      </c>
      <c r="O67">
        <v>63.100250000000003</v>
      </c>
      <c r="P67">
        <v>93.517166666666697</v>
      </c>
      <c r="Q67">
        <v>99.095333333333301</v>
      </c>
      <c r="R67">
        <v>72.829800000000006</v>
      </c>
      <c r="S67">
        <v>81.535399999999996</v>
      </c>
      <c r="T67">
        <v>59.735599999999998</v>
      </c>
      <c r="U67">
        <v>44.829333333333302</v>
      </c>
    </row>
    <row r="68" spans="1:21" x14ac:dyDescent="0.2">
      <c r="A68" t="s">
        <v>363</v>
      </c>
      <c r="B68" t="s">
        <v>364</v>
      </c>
    </row>
    <row r="69" spans="1:21" x14ac:dyDescent="0.2">
      <c r="A69" t="s">
        <v>365</v>
      </c>
      <c r="B69" t="s">
        <v>366</v>
      </c>
    </row>
    <row r="70" spans="1:21" x14ac:dyDescent="0.2">
      <c r="A70" t="s">
        <v>75</v>
      </c>
      <c r="B70" t="s">
        <v>76</v>
      </c>
      <c r="E70">
        <v>97.840500000000006</v>
      </c>
      <c r="F70">
        <v>66.169124999999994</v>
      </c>
      <c r="G70">
        <v>88.280166666666702</v>
      </c>
      <c r="H70">
        <v>97.158666666666704</v>
      </c>
      <c r="I70">
        <v>64.093000000000004</v>
      </c>
      <c r="J70">
        <v>86.816999999999993</v>
      </c>
      <c r="K70">
        <v>91.187666666666701</v>
      </c>
      <c r="L70">
        <v>64.974333333333306</v>
      </c>
      <c r="M70">
        <v>71.893166666666701</v>
      </c>
      <c r="N70">
        <v>68.284000000000006</v>
      </c>
      <c r="O70">
        <v>78.272750000000002</v>
      </c>
      <c r="P70">
        <v>59.035833333333301</v>
      </c>
      <c r="Q70">
        <v>72.595333333333301</v>
      </c>
      <c r="R70">
        <v>56.782666666666699</v>
      </c>
      <c r="S70">
        <v>81.0886</v>
      </c>
      <c r="T70">
        <v>76.819999999999993</v>
      </c>
      <c r="U70">
        <v>60.627499999999998</v>
      </c>
    </row>
    <row r="71" spans="1:21" x14ac:dyDescent="0.2">
      <c r="A71" t="s">
        <v>367</v>
      </c>
      <c r="B71" t="s">
        <v>368</v>
      </c>
    </row>
    <row r="72" spans="1:21" x14ac:dyDescent="0.2">
      <c r="A72" t="s">
        <v>273</v>
      </c>
      <c r="B72" t="s">
        <v>274</v>
      </c>
      <c r="E72">
        <v>74.105000000000004</v>
      </c>
      <c r="F72">
        <v>38.939749999999997</v>
      </c>
      <c r="G72">
        <v>69.010071428571393</v>
      </c>
      <c r="H72">
        <v>71.098666666666702</v>
      </c>
      <c r="I72">
        <v>56.51925</v>
      </c>
      <c r="J72">
        <v>71.399799999999999</v>
      </c>
      <c r="K72">
        <v>72.4763333333334</v>
      </c>
      <c r="L72">
        <v>63.3883333333333</v>
      </c>
      <c r="M72">
        <v>17.971333333333298</v>
      </c>
      <c r="N72">
        <v>10.782999999999999</v>
      </c>
      <c r="O72">
        <v>80.520750000000007</v>
      </c>
      <c r="P72">
        <v>90.191666666666706</v>
      </c>
      <c r="Q72">
        <v>95.763333333333307</v>
      </c>
      <c r="R72">
        <v>57.506166666666701</v>
      </c>
      <c r="S72">
        <v>46.702599999999997</v>
      </c>
      <c r="T72">
        <v>55.319400000000002</v>
      </c>
      <c r="U72">
        <v>46.85425</v>
      </c>
    </row>
    <row r="73" spans="1:21" x14ac:dyDescent="0.2">
      <c r="A73" t="s">
        <v>211</v>
      </c>
      <c r="B73" t="s">
        <v>212</v>
      </c>
      <c r="E73">
        <v>86.545000000000002</v>
      </c>
      <c r="F73">
        <v>68.721999999999994</v>
      </c>
      <c r="G73">
        <v>63.309571428571402</v>
      </c>
      <c r="H73">
        <v>88.190666666666701</v>
      </c>
      <c r="I73">
        <v>66.567250000000001</v>
      </c>
      <c r="J73">
        <v>55.360199999999999</v>
      </c>
      <c r="K73">
        <v>82.496499999999997</v>
      </c>
      <c r="L73">
        <v>51.157400000000003</v>
      </c>
      <c r="M73">
        <v>16.996600000000001</v>
      </c>
      <c r="O73">
        <v>78.850250000000003</v>
      </c>
      <c r="P73">
        <v>21.236833333333301</v>
      </c>
      <c r="Q73">
        <v>61.576666666666704</v>
      </c>
      <c r="R73">
        <v>32.229799999999997</v>
      </c>
      <c r="S73">
        <v>55.689</v>
      </c>
      <c r="T73">
        <v>66.317111111111103</v>
      </c>
      <c r="U73">
        <v>61.031333333333301</v>
      </c>
    </row>
    <row r="74" spans="1:21" x14ac:dyDescent="0.2">
      <c r="A74" t="s">
        <v>251</v>
      </c>
      <c r="B74" t="s">
        <v>252</v>
      </c>
      <c r="E74">
        <v>56.450499999999998</v>
      </c>
      <c r="F74">
        <v>52.445250000000001</v>
      </c>
      <c r="G74">
        <v>74.4897142857143</v>
      </c>
      <c r="H74">
        <v>65.902666666666704</v>
      </c>
      <c r="I74">
        <v>65.410749999999993</v>
      </c>
      <c r="J74">
        <v>74.491200000000006</v>
      </c>
      <c r="K74">
        <v>75.5416666666667</v>
      </c>
      <c r="L74">
        <v>64.643000000000001</v>
      </c>
      <c r="M74">
        <v>20.409666666666698</v>
      </c>
      <c r="N74">
        <v>15.0495</v>
      </c>
      <c r="O74">
        <v>80.062749999999994</v>
      </c>
      <c r="P74">
        <v>89.302499999999995</v>
      </c>
      <c r="Q74">
        <v>95.475333333333296</v>
      </c>
      <c r="R74">
        <v>65.554333333333304</v>
      </c>
      <c r="S74">
        <v>60.681750000000001</v>
      </c>
      <c r="T74">
        <v>48.1892</v>
      </c>
      <c r="U74">
        <v>63.037750000000003</v>
      </c>
    </row>
    <row r="75" spans="1:21" x14ac:dyDescent="0.2">
      <c r="A75" t="s">
        <v>43</v>
      </c>
      <c r="B75" t="s">
        <v>44</v>
      </c>
      <c r="E75">
        <v>98.61</v>
      </c>
      <c r="F75">
        <v>74.993624999999994</v>
      </c>
      <c r="G75">
        <v>87.738500000000002</v>
      </c>
      <c r="H75">
        <v>98.128333333333302</v>
      </c>
      <c r="I75">
        <v>67.740499999999997</v>
      </c>
      <c r="J75">
        <v>86.792599999999993</v>
      </c>
      <c r="K75">
        <v>90.974666666666707</v>
      </c>
      <c r="L75">
        <v>80.175166666666698</v>
      </c>
      <c r="M75">
        <v>63.671333333333301</v>
      </c>
      <c r="N75">
        <v>80.774000000000001</v>
      </c>
      <c r="O75">
        <v>77.322666666666706</v>
      </c>
      <c r="P75">
        <v>70.917166666666702</v>
      </c>
      <c r="Q75">
        <v>78.304000000000002</v>
      </c>
      <c r="R75">
        <v>81.549499999999995</v>
      </c>
      <c r="S75">
        <v>84.5428</v>
      </c>
      <c r="T75">
        <v>78.278999999999996</v>
      </c>
      <c r="U75">
        <v>65.869666666666703</v>
      </c>
    </row>
    <row r="76" spans="1:21" x14ac:dyDescent="0.2">
      <c r="A76" t="s">
        <v>323</v>
      </c>
      <c r="B76" t="s">
        <v>324</v>
      </c>
      <c r="E76">
        <v>30.3445</v>
      </c>
      <c r="F76">
        <v>42.4561428571429</v>
      </c>
      <c r="G76">
        <v>41.151071428571399</v>
      </c>
      <c r="H76">
        <v>76.438166666666703</v>
      </c>
      <c r="I76">
        <v>40.172249999999998</v>
      </c>
      <c r="J76">
        <v>53.768999999999998</v>
      </c>
      <c r="K76">
        <v>29.124666666666698</v>
      </c>
      <c r="L76">
        <v>55.628999999999998</v>
      </c>
      <c r="M76">
        <v>12.1715</v>
      </c>
      <c r="N76">
        <v>46.633000000000003</v>
      </c>
      <c r="O76">
        <v>36.463500000000003</v>
      </c>
      <c r="P76">
        <v>92.478999999999999</v>
      </c>
      <c r="Q76">
        <v>99.119333333333302</v>
      </c>
      <c r="R76">
        <v>73.906999999999996</v>
      </c>
      <c r="S76">
        <v>48.3354</v>
      </c>
      <c r="T76">
        <v>47.658000000000001</v>
      </c>
      <c r="U76">
        <v>47.122666666666703</v>
      </c>
    </row>
    <row r="77" spans="1:21" x14ac:dyDescent="0.2">
      <c r="A77" t="s">
        <v>63</v>
      </c>
      <c r="B77" t="s">
        <v>64</v>
      </c>
      <c r="E77">
        <v>98.772499999999994</v>
      </c>
      <c r="F77">
        <v>72.647374999999997</v>
      </c>
      <c r="G77">
        <v>83.501153846153898</v>
      </c>
      <c r="H77">
        <v>94.194999999999993</v>
      </c>
      <c r="I77">
        <v>64.58775</v>
      </c>
      <c r="J77">
        <v>88.715999999999994</v>
      </c>
      <c r="K77">
        <v>92.034000000000006</v>
      </c>
      <c r="L77">
        <v>80.641833333333295</v>
      </c>
      <c r="M77">
        <v>66.500833333333304</v>
      </c>
      <c r="N77">
        <v>79.841499999999996</v>
      </c>
      <c r="O77">
        <v>89.306749999999994</v>
      </c>
      <c r="P77">
        <v>73.089500000000001</v>
      </c>
      <c r="Q77">
        <v>79.989666666666693</v>
      </c>
      <c r="S77">
        <v>86.21</v>
      </c>
      <c r="T77">
        <v>74.429900000000004</v>
      </c>
      <c r="U77">
        <v>51.371000000000002</v>
      </c>
    </row>
    <row r="78" spans="1:21" x14ac:dyDescent="0.2">
      <c r="A78" t="s">
        <v>169</v>
      </c>
      <c r="B78" t="s">
        <v>170</v>
      </c>
      <c r="E78">
        <v>78.974500000000006</v>
      </c>
      <c r="F78">
        <v>64.467124999999996</v>
      </c>
      <c r="G78">
        <v>62.164384615384598</v>
      </c>
      <c r="H78">
        <v>91.688333333333404</v>
      </c>
      <c r="I78">
        <v>62.852249999999998</v>
      </c>
      <c r="J78">
        <v>66.027799999999999</v>
      </c>
      <c r="K78">
        <v>73.909333333333294</v>
      </c>
      <c r="L78">
        <v>71.907833333333301</v>
      </c>
      <c r="M78">
        <v>40.462666666666699</v>
      </c>
      <c r="N78">
        <v>40.546999999999997</v>
      </c>
      <c r="O78">
        <v>65.983500000000006</v>
      </c>
      <c r="P78">
        <v>87.206833333333293</v>
      </c>
      <c r="Q78">
        <v>91.709666666666706</v>
      </c>
      <c r="R78">
        <v>62.347166666666702</v>
      </c>
      <c r="S78">
        <v>46.339399999999998</v>
      </c>
      <c r="T78">
        <v>70.217333333333301</v>
      </c>
      <c r="U78">
        <v>51.024250000000002</v>
      </c>
    </row>
    <row r="79" spans="1:21" x14ac:dyDescent="0.2">
      <c r="A79" t="s">
        <v>243</v>
      </c>
      <c r="B79" t="s">
        <v>244</v>
      </c>
      <c r="E79">
        <v>59.576500000000003</v>
      </c>
      <c r="F79">
        <v>52.439124999999997</v>
      </c>
      <c r="G79">
        <v>57.9704615384615</v>
      </c>
      <c r="H79">
        <v>86.477333333333306</v>
      </c>
      <c r="I79">
        <v>34.082250000000002</v>
      </c>
      <c r="J79">
        <v>56.130600000000001</v>
      </c>
      <c r="K79">
        <v>69.938666666666705</v>
      </c>
      <c r="L79">
        <v>71.092666666666702</v>
      </c>
      <c r="M79">
        <v>42.186500000000002</v>
      </c>
      <c r="N79">
        <v>27.855</v>
      </c>
      <c r="O79">
        <v>53.178249999999998</v>
      </c>
      <c r="P79">
        <v>91.7261666666667</v>
      </c>
      <c r="Q79">
        <v>96.069333333333304</v>
      </c>
      <c r="R79">
        <v>62.231833333333299</v>
      </c>
      <c r="S79">
        <v>50.700600000000001</v>
      </c>
      <c r="T79">
        <v>58.881700000000002</v>
      </c>
      <c r="U79">
        <v>50.738</v>
      </c>
    </row>
    <row r="80" spans="1:21" x14ac:dyDescent="0.2">
      <c r="A80" t="s">
        <v>53</v>
      </c>
      <c r="B80" t="s">
        <v>54</v>
      </c>
      <c r="E80">
        <v>99.795000000000002</v>
      </c>
      <c r="F80">
        <v>75.894874999999999</v>
      </c>
      <c r="G80">
        <v>93.231846153846206</v>
      </c>
      <c r="H80">
        <v>99.738708333333307</v>
      </c>
      <c r="I80">
        <v>76.390249999999995</v>
      </c>
      <c r="J80">
        <v>87.285399999999996</v>
      </c>
      <c r="K80">
        <v>93.429333333333304</v>
      </c>
      <c r="L80">
        <v>87.328599999999994</v>
      </c>
      <c r="M80">
        <v>82.016999999999996</v>
      </c>
      <c r="N80">
        <v>86.423000000000002</v>
      </c>
      <c r="O80">
        <v>88.755250000000004</v>
      </c>
      <c r="P80">
        <v>45.179000000000002</v>
      </c>
      <c r="Q80">
        <v>58.1963333333333</v>
      </c>
      <c r="R80">
        <v>71.895166666666697</v>
      </c>
      <c r="S80">
        <v>89.082999999999998</v>
      </c>
      <c r="T80">
        <v>90.434333333333299</v>
      </c>
      <c r="U80">
        <v>51.307749999999999</v>
      </c>
    </row>
    <row r="81" spans="1:21" x14ac:dyDescent="0.2">
      <c r="A81" t="s">
        <v>191</v>
      </c>
      <c r="B81" t="s">
        <v>192</v>
      </c>
      <c r="E81">
        <v>95.464500000000001</v>
      </c>
      <c r="F81">
        <v>63.628</v>
      </c>
      <c r="G81">
        <v>79.242785714285702</v>
      </c>
      <c r="H81">
        <v>94.706999999999994</v>
      </c>
      <c r="I81">
        <v>43.217500000000001</v>
      </c>
      <c r="J81">
        <v>59.5702</v>
      </c>
      <c r="K81">
        <v>88.243333333333297</v>
      </c>
      <c r="L81">
        <v>50.786666666666697</v>
      </c>
      <c r="M81">
        <v>60.442333333333302</v>
      </c>
      <c r="N81">
        <v>47.700499999999998</v>
      </c>
      <c r="O81">
        <v>73.706000000000003</v>
      </c>
      <c r="P81">
        <v>83.376499999999993</v>
      </c>
      <c r="Q81">
        <v>78.551000000000002</v>
      </c>
      <c r="R81">
        <v>77.447000000000003</v>
      </c>
      <c r="S81">
        <v>67.397199999999998</v>
      </c>
      <c r="T81">
        <v>65.174444444444404</v>
      </c>
      <c r="U81">
        <v>61.597749999999998</v>
      </c>
    </row>
    <row r="82" spans="1:21" x14ac:dyDescent="0.2">
      <c r="A82" t="s">
        <v>229</v>
      </c>
      <c r="B82" t="s">
        <v>230</v>
      </c>
      <c r="E82">
        <v>79.5535</v>
      </c>
      <c r="F82">
        <v>51.979857142857099</v>
      </c>
      <c r="G82">
        <v>63.071307692307698</v>
      </c>
      <c r="H82">
        <v>69.873999999999995</v>
      </c>
      <c r="I82">
        <v>35.915500000000002</v>
      </c>
      <c r="J82">
        <v>71.545400000000001</v>
      </c>
      <c r="K82">
        <v>88.004666666666694</v>
      </c>
      <c r="L82">
        <v>56.588500000000003</v>
      </c>
      <c r="M82">
        <v>26.468499999999999</v>
      </c>
      <c r="N82">
        <v>74.1845</v>
      </c>
      <c r="O82">
        <v>54.756</v>
      </c>
      <c r="P82">
        <v>85.804333333333304</v>
      </c>
      <c r="Q82">
        <v>88.78</v>
      </c>
      <c r="R82">
        <v>60.821800000000003</v>
      </c>
      <c r="S82">
        <v>40.421250000000001</v>
      </c>
      <c r="T82">
        <v>67.698750000000004</v>
      </c>
      <c r="U82">
        <v>69.387333333333302</v>
      </c>
    </row>
    <row r="83" spans="1:21" x14ac:dyDescent="0.2">
      <c r="A83" t="s">
        <v>77</v>
      </c>
      <c r="B83" t="s">
        <v>78</v>
      </c>
      <c r="E83">
        <v>99.798000000000002</v>
      </c>
      <c r="F83">
        <v>58.2358571428571</v>
      </c>
      <c r="G83">
        <v>96.001923076923106</v>
      </c>
      <c r="H83">
        <v>99.262041666666704</v>
      </c>
      <c r="I83">
        <v>85.626666666666694</v>
      </c>
      <c r="J83">
        <v>74.643000000000001</v>
      </c>
      <c r="K83">
        <v>99.4463333333333</v>
      </c>
      <c r="L83">
        <v>79.448999999999998</v>
      </c>
      <c r="M83">
        <v>85.724166666666704</v>
      </c>
      <c r="N83">
        <v>96.897000000000006</v>
      </c>
      <c r="O83">
        <v>91.233750000000001</v>
      </c>
      <c r="P83">
        <v>28.534333333333301</v>
      </c>
      <c r="Q83">
        <v>50.338333333333303</v>
      </c>
      <c r="R83">
        <v>65.030166666666702</v>
      </c>
      <c r="S83">
        <v>53.217500000000001</v>
      </c>
      <c r="T83">
        <v>94.290999999999997</v>
      </c>
      <c r="U83">
        <v>71.169499999999999</v>
      </c>
    </row>
    <row r="84" spans="1:21" x14ac:dyDescent="0.2">
      <c r="A84" t="s">
        <v>115</v>
      </c>
      <c r="B84" t="s">
        <v>116</v>
      </c>
      <c r="E84">
        <v>99.246499999999997</v>
      </c>
      <c r="F84">
        <v>61.956125</v>
      </c>
      <c r="G84">
        <v>95.257750000000001</v>
      </c>
      <c r="H84">
        <v>98.181041666666701</v>
      </c>
      <c r="I84">
        <v>74.949749999999995</v>
      </c>
      <c r="J84">
        <v>72.782799999999995</v>
      </c>
      <c r="K84">
        <v>94.802333333333294</v>
      </c>
      <c r="L84">
        <v>84.289599999999993</v>
      </c>
      <c r="M84">
        <v>94.041333333333299</v>
      </c>
      <c r="N84">
        <v>62.878999999999998</v>
      </c>
      <c r="O84">
        <v>86.655249999999995</v>
      </c>
      <c r="P84">
        <v>61.148666666666699</v>
      </c>
      <c r="Q84">
        <v>73.281000000000006</v>
      </c>
      <c r="R84">
        <v>30.700800000000001</v>
      </c>
      <c r="S84">
        <v>50.903199999999998</v>
      </c>
      <c r="T84">
        <v>73.595888888888894</v>
      </c>
      <c r="U84">
        <v>60.972000000000001</v>
      </c>
    </row>
    <row r="85" spans="1:21" x14ac:dyDescent="0.2">
      <c r="A85" t="s">
        <v>67</v>
      </c>
      <c r="B85" t="s">
        <v>68</v>
      </c>
      <c r="E85">
        <v>98.06</v>
      </c>
      <c r="F85">
        <v>71.018625</v>
      </c>
      <c r="G85">
        <v>94.043000000000006</v>
      </c>
      <c r="H85">
        <v>96.7083333333333</v>
      </c>
      <c r="I85">
        <v>72.828999999999994</v>
      </c>
      <c r="J85">
        <v>82.135000000000005</v>
      </c>
      <c r="K85">
        <v>93.847333333333296</v>
      </c>
      <c r="L85">
        <v>76.572000000000003</v>
      </c>
      <c r="M85">
        <v>83.604500000000002</v>
      </c>
      <c r="N85">
        <v>71.545000000000002</v>
      </c>
      <c r="O85">
        <v>82.341250000000002</v>
      </c>
      <c r="P85">
        <v>63.609666666666698</v>
      </c>
      <c r="Q85">
        <v>76.819999999999993</v>
      </c>
      <c r="R85">
        <v>53.541166666666697</v>
      </c>
      <c r="S85">
        <v>80.221400000000003</v>
      </c>
      <c r="T85">
        <v>78.989500000000007</v>
      </c>
      <c r="U85">
        <v>62.952750000000002</v>
      </c>
    </row>
    <row r="86" spans="1:21" x14ac:dyDescent="0.2">
      <c r="A86" t="s">
        <v>183</v>
      </c>
      <c r="B86" t="s">
        <v>184</v>
      </c>
      <c r="E86">
        <v>83.378500000000003</v>
      </c>
      <c r="F86">
        <v>55.846249999999998</v>
      </c>
      <c r="G86">
        <v>79.974071428571406</v>
      </c>
      <c r="H86">
        <v>82.611999999999995</v>
      </c>
      <c r="I86">
        <v>78.204999999999998</v>
      </c>
      <c r="J86">
        <v>73.931600000000003</v>
      </c>
      <c r="K86">
        <v>85.275666666666694</v>
      </c>
      <c r="L86">
        <v>74.816833333333307</v>
      </c>
      <c r="M86">
        <v>37.343833333333301</v>
      </c>
      <c r="N86">
        <v>37.701000000000001</v>
      </c>
      <c r="O86">
        <v>74.060249999999996</v>
      </c>
      <c r="P86">
        <v>77.959333333333305</v>
      </c>
      <c r="Q86">
        <v>88.9493333333333</v>
      </c>
      <c r="R86">
        <v>56.774500000000003</v>
      </c>
      <c r="S86">
        <v>51.451999999999998</v>
      </c>
      <c r="T86">
        <v>66.628799999999998</v>
      </c>
      <c r="U86">
        <v>67.605999999999995</v>
      </c>
    </row>
    <row r="87" spans="1:21" x14ac:dyDescent="0.2">
      <c r="A87" t="s">
        <v>173</v>
      </c>
      <c r="B87" t="s">
        <v>174</v>
      </c>
      <c r="E87">
        <v>95.333500000000001</v>
      </c>
      <c r="F87">
        <v>59.558374999999998</v>
      </c>
      <c r="G87">
        <v>75.677307692307707</v>
      </c>
      <c r="H87">
        <v>71.631333333333302</v>
      </c>
      <c r="I87">
        <v>42.966749999999998</v>
      </c>
      <c r="J87">
        <v>57.5152</v>
      </c>
      <c r="K87">
        <v>92.942999999999998</v>
      </c>
      <c r="L87">
        <v>58.027333333333303</v>
      </c>
      <c r="M87">
        <v>50.501333333333299</v>
      </c>
      <c r="N87">
        <v>66.688500000000005</v>
      </c>
      <c r="O87">
        <v>74.953999999999994</v>
      </c>
      <c r="P87">
        <v>87.378833333333304</v>
      </c>
      <c r="Q87">
        <v>89.353999999999999</v>
      </c>
      <c r="R87">
        <v>78.98</v>
      </c>
      <c r="S87">
        <v>55.326749999999997</v>
      </c>
      <c r="T87">
        <v>76.607399999999998</v>
      </c>
      <c r="U87">
        <v>58.881749999999997</v>
      </c>
    </row>
    <row r="88" spans="1:21" x14ac:dyDescent="0.2">
      <c r="A88" t="s">
        <v>61</v>
      </c>
      <c r="B88" t="s">
        <v>62</v>
      </c>
      <c r="E88">
        <v>99.229500000000002</v>
      </c>
      <c r="F88">
        <v>75.196250000000006</v>
      </c>
      <c r="G88">
        <v>94.059230769230794</v>
      </c>
      <c r="H88">
        <v>99.740041666666698</v>
      </c>
      <c r="I88">
        <v>61.479750000000003</v>
      </c>
      <c r="J88">
        <v>84.869</v>
      </c>
      <c r="K88">
        <v>93.655333333333303</v>
      </c>
      <c r="L88">
        <v>86.811666666666696</v>
      </c>
      <c r="M88">
        <v>89.539000000000001</v>
      </c>
      <c r="N88">
        <v>75.342500000000001</v>
      </c>
      <c r="O88">
        <v>85.832999999999998</v>
      </c>
      <c r="P88">
        <v>66.6161666666667</v>
      </c>
      <c r="Q88">
        <v>66.409666666666695</v>
      </c>
      <c r="R88">
        <v>51.710333333333303</v>
      </c>
      <c r="S88">
        <v>63.853000000000002</v>
      </c>
      <c r="T88">
        <v>91.601900000000001</v>
      </c>
      <c r="U88">
        <v>71.480249999999998</v>
      </c>
    </row>
    <row r="89" spans="1:21" x14ac:dyDescent="0.2">
      <c r="A89" t="s">
        <v>151</v>
      </c>
      <c r="B89" t="s">
        <v>152</v>
      </c>
      <c r="E89">
        <v>99.915499999999994</v>
      </c>
      <c r="F89">
        <v>59.170250000000003</v>
      </c>
      <c r="G89">
        <v>79.526285714285706</v>
      </c>
      <c r="H89">
        <v>93.001666666666694</v>
      </c>
      <c r="I89">
        <v>71.136750000000006</v>
      </c>
      <c r="J89">
        <v>78.036199999999994</v>
      </c>
      <c r="K89">
        <v>86.528000000000006</v>
      </c>
      <c r="L89">
        <v>70.204999999999998</v>
      </c>
      <c r="M89">
        <v>44.0073333333333</v>
      </c>
      <c r="N89">
        <v>77.430000000000007</v>
      </c>
      <c r="O89">
        <v>83.715000000000003</v>
      </c>
      <c r="P89">
        <v>74.8541666666667</v>
      </c>
      <c r="Q89">
        <v>61.159333333333301</v>
      </c>
      <c r="S89">
        <v>56.958599999999997</v>
      </c>
      <c r="T89">
        <v>69.0664444444445</v>
      </c>
      <c r="U89">
        <v>54.292000000000002</v>
      </c>
    </row>
    <row r="90" spans="1:21" x14ac:dyDescent="0.2">
      <c r="A90" t="s">
        <v>265</v>
      </c>
      <c r="B90" t="s">
        <v>266</v>
      </c>
      <c r="E90">
        <v>49.093000000000004</v>
      </c>
      <c r="F90">
        <v>57.485124999999996</v>
      </c>
      <c r="G90">
        <v>54.765999999999998</v>
      </c>
      <c r="H90">
        <v>70.599666666666707</v>
      </c>
      <c r="I90">
        <v>68.743750000000006</v>
      </c>
      <c r="J90">
        <v>45.516800000000003</v>
      </c>
      <c r="K90">
        <v>53.276000000000003</v>
      </c>
      <c r="L90">
        <v>74.149500000000003</v>
      </c>
      <c r="M90">
        <v>32.3616666666667</v>
      </c>
      <c r="N90">
        <v>38.764499999999998</v>
      </c>
      <c r="O90">
        <v>61.270249999999997</v>
      </c>
      <c r="P90">
        <v>88.898166666666697</v>
      </c>
      <c r="Q90">
        <v>97.941333333333304</v>
      </c>
      <c r="R90">
        <v>67.864666666666693</v>
      </c>
      <c r="S90">
        <v>59.2926</v>
      </c>
      <c r="T90">
        <v>59.315222222222197</v>
      </c>
      <c r="U90">
        <v>50.823</v>
      </c>
    </row>
    <row r="91" spans="1:21" x14ac:dyDescent="0.2">
      <c r="A91" t="s">
        <v>109</v>
      </c>
      <c r="B91" t="s">
        <v>110</v>
      </c>
      <c r="E91">
        <v>84.522999999999996</v>
      </c>
      <c r="F91">
        <v>61.886571428571401</v>
      </c>
      <c r="G91">
        <v>75.1875</v>
      </c>
      <c r="H91">
        <v>98.689666666666696</v>
      </c>
      <c r="I91">
        <v>60.487749999999998</v>
      </c>
      <c r="J91">
        <v>65.148600000000002</v>
      </c>
      <c r="K91">
        <v>89.752333333333297</v>
      </c>
      <c r="L91">
        <v>65.493499999999997</v>
      </c>
      <c r="M91">
        <v>29.426166666666699</v>
      </c>
      <c r="N91">
        <v>89.075000000000003</v>
      </c>
      <c r="O91">
        <v>88.655749999999998</v>
      </c>
      <c r="P91">
        <v>86.504999999999995</v>
      </c>
      <c r="Q91">
        <v>92.209666666666706</v>
      </c>
      <c r="S91">
        <v>71.352199999999996</v>
      </c>
      <c r="T91">
        <v>68.168599999999998</v>
      </c>
      <c r="U91">
        <v>72.589250000000007</v>
      </c>
    </row>
    <row r="92" spans="1:21" x14ac:dyDescent="0.2">
      <c r="A92" t="s">
        <v>225</v>
      </c>
      <c r="B92" t="s">
        <v>226</v>
      </c>
      <c r="E92">
        <v>81.950999999999993</v>
      </c>
      <c r="F92">
        <v>63.845874999999999</v>
      </c>
      <c r="G92">
        <v>61.876857142857197</v>
      </c>
      <c r="H92">
        <v>71.335999999999999</v>
      </c>
      <c r="I92">
        <v>55.697499999999998</v>
      </c>
      <c r="J92">
        <v>63.621600000000001</v>
      </c>
      <c r="K92">
        <v>61.3853333333333</v>
      </c>
      <c r="L92">
        <v>57.244999999999997</v>
      </c>
      <c r="M92">
        <v>27.291166666666701</v>
      </c>
      <c r="N92">
        <v>77.614000000000004</v>
      </c>
      <c r="O92">
        <v>70.631</v>
      </c>
      <c r="P92">
        <v>93.407499999999999</v>
      </c>
      <c r="Q92">
        <v>96.973666666666702</v>
      </c>
      <c r="R92">
        <v>57.872666666666703</v>
      </c>
      <c r="S92">
        <v>43.829000000000001</v>
      </c>
      <c r="T92">
        <v>60.8003</v>
      </c>
      <c r="U92">
        <v>51.8035</v>
      </c>
    </row>
    <row r="93" spans="1:21" x14ac:dyDescent="0.2">
      <c r="A93" t="s">
        <v>369</v>
      </c>
      <c r="B93" t="s">
        <v>370</v>
      </c>
    </row>
    <row r="94" spans="1:21" x14ac:dyDescent="0.2">
      <c r="A94" t="s">
        <v>371</v>
      </c>
      <c r="B94" t="s">
        <v>372</v>
      </c>
    </row>
    <row r="95" spans="1:21" x14ac:dyDescent="0.2">
      <c r="A95" t="s">
        <v>81</v>
      </c>
      <c r="B95" t="s">
        <v>82</v>
      </c>
      <c r="E95">
        <v>99.040999999999997</v>
      </c>
      <c r="F95">
        <v>82.463250000000002</v>
      </c>
      <c r="G95">
        <v>92.003</v>
      </c>
      <c r="H95">
        <v>98.950999999999993</v>
      </c>
      <c r="I95">
        <v>65.284000000000006</v>
      </c>
      <c r="J95">
        <v>75.141800000000003</v>
      </c>
      <c r="K95">
        <v>92.7916666666667</v>
      </c>
      <c r="L95">
        <v>80.240333333333297</v>
      </c>
      <c r="M95">
        <v>98.784666666666695</v>
      </c>
      <c r="N95">
        <v>78.876999999999995</v>
      </c>
      <c r="O95">
        <v>86.491333333333301</v>
      </c>
      <c r="P95">
        <v>69.685166666666703</v>
      </c>
      <c r="Q95">
        <v>61.985999999999997</v>
      </c>
      <c r="R95">
        <v>58.749666666666698</v>
      </c>
      <c r="S95">
        <v>54.501399999999997</v>
      </c>
      <c r="T95">
        <v>79.023666666666699</v>
      </c>
      <c r="U95">
        <v>62.073749999999997</v>
      </c>
    </row>
    <row r="96" spans="1:21" x14ac:dyDescent="0.2">
      <c r="A96" t="s">
        <v>235</v>
      </c>
      <c r="B96" t="s">
        <v>236</v>
      </c>
      <c r="F96">
        <v>70.023875000000004</v>
      </c>
      <c r="G96">
        <v>82.798538461538499</v>
      </c>
      <c r="H96">
        <v>83.918333333333294</v>
      </c>
      <c r="I96">
        <v>53.760750000000002</v>
      </c>
      <c r="J96">
        <v>48.62</v>
      </c>
      <c r="K96">
        <v>92.881333333333302</v>
      </c>
      <c r="L96">
        <v>59.089750000000002</v>
      </c>
      <c r="M96">
        <v>53.565833333333302</v>
      </c>
      <c r="O96">
        <v>48.753500000000003</v>
      </c>
      <c r="P96">
        <v>36.532166666666697</v>
      </c>
      <c r="Q96">
        <v>33.332999999999998</v>
      </c>
      <c r="R96">
        <v>40.665199999999999</v>
      </c>
      <c r="S96">
        <v>52.586666666666702</v>
      </c>
      <c r="T96">
        <v>79.333142857142903</v>
      </c>
      <c r="U96">
        <v>68.901333333333298</v>
      </c>
    </row>
    <row r="97" spans="1:21" x14ac:dyDescent="0.2">
      <c r="A97" t="s">
        <v>249</v>
      </c>
      <c r="B97" t="s">
        <v>250</v>
      </c>
      <c r="E97">
        <v>54.866</v>
      </c>
      <c r="F97">
        <v>64.257166666666706</v>
      </c>
      <c r="G97">
        <v>53.457428571428601</v>
      </c>
      <c r="H97">
        <v>75.199666666666701</v>
      </c>
      <c r="I97">
        <v>72.734499999999997</v>
      </c>
      <c r="J97">
        <v>68.221000000000004</v>
      </c>
      <c r="K97">
        <v>64.123999999999995</v>
      </c>
      <c r="L97">
        <v>69.299199999999999</v>
      </c>
      <c r="M97">
        <v>18.653833333333299</v>
      </c>
      <c r="N97">
        <v>52.261000000000003</v>
      </c>
      <c r="O97">
        <v>81.557749999999999</v>
      </c>
      <c r="P97">
        <v>94.997</v>
      </c>
      <c r="Q97">
        <v>91.491</v>
      </c>
      <c r="S97">
        <v>52.888800000000003</v>
      </c>
      <c r="T97">
        <v>52.268000000000001</v>
      </c>
      <c r="U97">
        <v>44.267249999999997</v>
      </c>
    </row>
    <row r="98" spans="1:21" x14ac:dyDescent="0.2">
      <c r="A98" t="s">
        <v>209</v>
      </c>
      <c r="B98" t="s">
        <v>210</v>
      </c>
      <c r="E98">
        <v>99.009</v>
      </c>
      <c r="F98">
        <v>57.215375000000002</v>
      </c>
      <c r="G98">
        <v>78.145714285714305</v>
      </c>
      <c r="H98">
        <v>86.598844444444396</v>
      </c>
      <c r="I98">
        <v>41.270499999999998</v>
      </c>
      <c r="J98">
        <v>65.083200000000005</v>
      </c>
      <c r="K98">
        <v>89.245999999999995</v>
      </c>
      <c r="L98">
        <v>62.564333333333302</v>
      </c>
      <c r="M98">
        <v>51.2744</v>
      </c>
      <c r="N98">
        <v>78.288499999999999</v>
      </c>
      <c r="O98">
        <v>40.493333333333297</v>
      </c>
      <c r="P98">
        <v>80.481333333333296</v>
      </c>
      <c r="Q98">
        <v>83.861999999999995</v>
      </c>
      <c r="R98">
        <v>61.089799999999997</v>
      </c>
      <c r="S98">
        <v>60.665199999999999</v>
      </c>
      <c r="T98">
        <v>62.002666666666698</v>
      </c>
      <c r="U98">
        <v>38.953000000000003</v>
      </c>
    </row>
    <row r="99" spans="1:21" x14ac:dyDescent="0.2">
      <c r="A99" t="s">
        <v>333</v>
      </c>
      <c r="B99" t="s">
        <v>334</v>
      </c>
      <c r="E99">
        <v>20.020499999999998</v>
      </c>
      <c r="F99">
        <v>45.576285714285703</v>
      </c>
      <c r="G99">
        <v>36.575785714285701</v>
      </c>
      <c r="H99">
        <v>34.782333333333298</v>
      </c>
      <c r="I99">
        <v>40.8245</v>
      </c>
      <c r="J99">
        <v>52.5276</v>
      </c>
      <c r="K99">
        <v>9.2509999999999994</v>
      </c>
      <c r="L99">
        <v>59.493333333333297</v>
      </c>
      <c r="M99">
        <v>5.1745000000000001</v>
      </c>
      <c r="N99">
        <v>66.707499999999996</v>
      </c>
      <c r="O99">
        <v>27.455249999999999</v>
      </c>
      <c r="P99">
        <v>95.9148</v>
      </c>
      <c r="Q99">
        <v>99.407666666666699</v>
      </c>
      <c r="R99">
        <v>85.254833333333295</v>
      </c>
      <c r="S99">
        <v>49.3748</v>
      </c>
      <c r="T99">
        <v>50.015999999999998</v>
      </c>
      <c r="U99">
        <v>48.637500000000003</v>
      </c>
    </row>
    <row r="100" spans="1:21" x14ac:dyDescent="0.2">
      <c r="A100" t="s">
        <v>373</v>
      </c>
      <c r="B100" t="s">
        <v>374</v>
      </c>
    </row>
    <row r="101" spans="1:21" x14ac:dyDescent="0.2">
      <c r="A101" t="s">
        <v>375</v>
      </c>
      <c r="B101" t="s">
        <v>376</v>
      </c>
    </row>
    <row r="102" spans="1:21" x14ac:dyDescent="0.2">
      <c r="A102" t="s">
        <v>377</v>
      </c>
      <c r="B102" t="s">
        <v>378</v>
      </c>
    </row>
    <row r="103" spans="1:21" x14ac:dyDescent="0.2">
      <c r="A103" t="s">
        <v>185</v>
      </c>
      <c r="B103" t="s">
        <v>186</v>
      </c>
      <c r="E103">
        <v>91.543999999999997</v>
      </c>
      <c r="F103">
        <v>62.129624999999997</v>
      </c>
      <c r="G103">
        <v>77.814571428571398</v>
      </c>
      <c r="H103">
        <v>97.4136666666667</v>
      </c>
      <c r="I103">
        <v>52.004249999999999</v>
      </c>
      <c r="J103">
        <v>56.627000000000002</v>
      </c>
      <c r="K103">
        <v>66.947666666666706</v>
      </c>
      <c r="L103">
        <v>76.219499999999996</v>
      </c>
      <c r="M103">
        <v>34.1591666666667</v>
      </c>
      <c r="N103">
        <v>36.332999999999998</v>
      </c>
      <c r="O103">
        <v>82.970666666666702</v>
      </c>
      <c r="P103">
        <v>85.3601666666667</v>
      </c>
      <c r="Q103">
        <v>95.152000000000001</v>
      </c>
      <c r="R103">
        <v>71.716499999999996</v>
      </c>
      <c r="S103">
        <v>55.946599999999997</v>
      </c>
      <c r="T103">
        <v>66.226399999999998</v>
      </c>
      <c r="U103">
        <v>49.136000000000003</v>
      </c>
    </row>
    <row r="104" spans="1:21" x14ac:dyDescent="0.2">
      <c r="A104" t="s">
        <v>305</v>
      </c>
      <c r="B104" t="s">
        <v>306</v>
      </c>
      <c r="E104">
        <v>31.594000000000001</v>
      </c>
      <c r="F104">
        <v>50.695374999999999</v>
      </c>
      <c r="G104">
        <v>24.9617857142857</v>
      </c>
      <c r="H104">
        <v>68.721666666666707</v>
      </c>
      <c r="I104">
        <v>74.665000000000006</v>
      </c>
      <c r="J104">
        <v>56.290599999999998</v>
      </c>
      <c r="K104">
        <v>37.994999999999997</v>
      </c>
      <c r="L104">
        <v>47.913800000000002</v>
      </c>
      <c r="M104">
        <v>18.210166666666701</v>
      </c>
      <c r="N104">
        <v>2.0379999999999998</v>
      </c>
      <c r="O104">
        <v>63.366999999999997</v>
      </c>
      <c r="P104">
        <v>89.694166666666703</v>
      </c>
      <c r="Q104">
        <v>93.694000000000003</v>
      </c>
      <c r="S104">
        <v>74.465000000000003</v>
      </c>
      <c r="T104">
        <v>47.432333333333297</v>
      </c>
      <c r="U104">
        <v>78.215000000000003</v>
      </c>
    </row>
    <row r="105" spans="1:21" x14ac:dyDescent="0.2">
      <c r="A105" t="s">
        <v>93</v>
      </c>
      <c r="B105" t="s">
        <v>94</v>
      </c>
      <c r="E105">
        <v>98.49</v>
      </c>
      <c r="F105">
        <v>63.926250000000003</v>
      </c>
      <c r="G105">
        <v>84.803857142857098</v>
      </c>
      <c r="H105">
        <v>99.783333333333402</v>
      </c>
      <c r="I105">
        <v>72.649500000000003</v>
      </c>
      <c r="J105">
        <v>83.684200000000004</v>
      </c>
      <c r="K105">
        <v>78.728666666666697</v>
      </c>
      <c r="L105">
        <v>81.458600000000004</v>
      </c>
      <c r="M105">
        <v>62.342666666666702</v>
      </c>
      <c r="N105">
        <v>58.096499999999999</v>
      </c>
      <c r="O105">
        <v>82.3185</v>
      </c>
      <c r="P105">
        <v>62.8646666666667</v>
      </c>
      <c r="Q105">
        <v>73.544333333333299</v>
      </c>
      <c r="R105">
        <v>75.0214</v>
      </c>
      <c r="S105">
        <v>95.165999999999997</v>
      </c>
      <c r="T105">
        <v>77.8363333333333</v>
      </c>
      <c r="U105">
        <v>53.198250000000002</v>
      </c>
    </row>
    <row r="106" spans="1:21" x14ac:dyDescent="0.2">
      <c r="A106" t="s">
        <v>85</v>
      </c>
      <c r="B106" t="s">
        <v>86</v>
      </c>
      <c r="E106">
        <v>99.444000000000003</v>
      </c>
      <c r="F106">
        <v>59.691375000000001</v>
      </c>
      <c r="G106">
        <v>96.164461538461595</v>
      </c>
      <c r="H106">
        <v>97.834374999999994</v>
      </c>
      <c r="I106">
        <v>76.759</v>
      </c>
      <c r="J106">
        <v>79.132000000000005</v>
      </c>
      <c r="K106">
        <v>66.6666666666667</v>
      </c>
      <c r="L106">
        <v>70.520200000000003</v>
      </c>
      <c r="M106">
        <v>87.119666666666703</v>
      </c>
      <c r="N106">
        <v>80.38</v>
      </c>
      <c r="O106">
        <v>97.553250000000006</v>
      </c>
      <c r="P106">
        <v>21.594333333333299</v>
      </c>
      <c r="Q106">
        <v>40.1816666666667</v>
      </c>
      <c r="S106">
        <v>66.915199999999999</v>
      </c>
      <c r="T106">
        <v>90.592555555555606</v>
      </c>
      <c r="U106">
        <v>67.648750000000007</v>
      </c>
    </row>
    <row r="107" spans="1:21" x14ac:dyDescent="0.2">
      <c r="A107" t="s">
        <v>47</v>
      </c>
      <c r="B107" t="s">
        <v>48</v>
      </c>
      <c r="E107">
        <v>98.9435</v>
      </c>
      <c r="F107">
        <v>64.927125000000004</v>
      </c>
      <c r="G107">
        <v>84.292285714285697</v>
      </c>
      <c r="H107">
        <v>98.508333333333297</v>
      </c>
      <c r="I107">
        <v>78.007999999999996</v>
      </c>
      <c r="J107">
        <v>92.460400000000007</v>
      </c>
      <c r="K107">
        <v>92.247666666666703</v>
      </c>
      <c r="L107">
        <v>84.284000000000006</v>
      </c>
      <c r="M107">
        <v>62.115166666666703</v>
      </c>
      <c r="N107">
        <v>67.469499999999996</v>
      </c>
      <c r="O107">
        <v>89.718999999999994</v>
      </c>
      <c r="P107">
        <v>63.768833333333298</v>
      </c>
      <c r="Q107">
        <v>75.215999999999994</v>
      </c>
      <c r="R107">
        <v>71.252833333333299</v>
      </c>
      <c r="S107">
        <v>97.858400000000003</v>
      </c>
      <c r="T107">
        <v>78.173000000000002</v>
      </c>
      <c r="U107">
        <v>46.341999999999999</v>
      </c>
    </row>
    <row r="108" spans="1:21" x14ac:dyDescent="0.2">
      <c r="A108" t="s">
        <v>159</v>
      </c>
      <c r="B108" t="s">
        <v>160</v>
      </c>
      <c r="E108">
        <v>93.629499999999993</v>
      </c>
      <c r="F108">
        <v>62.490375</v>
      </c>
      <c r="G108">
        <v>74.967857142857099</v>
      </c>
      <c r="H108">
        <v>83.850666666666697</v>
      </c>
      <c r="I108">
        <v>41.995249999999999</v>
      </c>
      <c r="J108">
        <v>64.976399999999998</v>
      </c>
      <c r="K108">
        <v>88.646000000000001</v>
      </c>
      <c r="L108">
        <v>62.956499999999998</v>
      </c>
      <c r="M108">
        <v>41.516833333333302</v>
      </c>
      <c r="N108">
        <v>53.587499999999999</v>
      </c>
      <c r="O108">
        <v>76.271000000000001</v>
      </c>
      <c r="P108">
        <v>90.710333333333296</v>
      </c>
      <c r="Q108">
        <v>94.588333333333296</v>
      </c>
      <c r="R108">
        <v>58.411333333333303</v>
      </c>
      <c r="S108">
        <v>77.166799999999995</v>
      </c>
      <c r="T108">
        <v>71.6081111111111</v>
      </c>
      <c r="U108">
        <v>61.588749999999997</v>
      </c>
    </row>
    <row r="109" spans="1:21" x14ac:dyDescent="0.2">
      <c r="A109" t="s">
        <v>379</v>
      </c>
      <c r="B109" t="s">
        <v>380</v>
      </c>
    </row>
    <row r="110" spans="1:21" x14ac:dyDescent="0.2">
      <c r="A110" t="s">
        <v>69</v>
      </c>
      <c r="B110" t="s">
        <v>70</v>
      </c>
      <c r="E110">
        <v>99.509</v>
      </c>
      <c r="F110">
        <v>58.847166666666702</v>
      </c>
      <c r="G110">
        <v>77.399571428571406</v>
      </c>
      <c r="H110">
        <v>86.011333333333297</v>
      </c>
      <c r="I110">
        <v>71.22</v>
      </c>
      <c r="J110">
        <v>72.839200000000005</v>
      </c>
      <c r="K110">
        <v>88.496333333333297</v>
      </c>
      <c r="L110">
        <v>69.310333333333304</v>
      </c>
      <c r="M110">
        <v>27.3683333333333</v>
      </c>
      <c r="N110">
        <v>94.465500000000006</v>
      </c>
      <c r="O110">
        <v>69.852500000000006</v>
      </c>
      <c r="P110">
        <v>80.078833333333293</v>
      </c>
      <c r="Q110">
        <v>97.4286666666667</v>
      </c>
      <c r="S110">
        <v>58.423999999999999</v>
      </c>
      <c r="T110">
        <v>69.735666666666702</v>
      </c>
      <c r="U110">
        <v>72.642750000000007</v>
      </c>
    </row>
    <row r="111" spans="1:21" x14ac:dyDescent="0.2">
      <c r="A111" t="s">
        <v>331</v>
      </c>
      <c r="B111" t="s">
        <v>332</v>
      </c>
      <c r="E111">
        <v>0</v>
      </c>
      <c r="F111">
        <v>57.109250000000003</v>
      </c>
      <c r="G111">
        <v>42.5571428571429</v>
      </c>
      <c r="H111">
        <v>60.657666666666699</v>
      </c>
      <c r="I111">
        <v>71.261499999999998</v>
      </c>
      <c r="J111">
        <v>44.869</v>
      </c>
      <c r="K111">
        <v>9.2454999999999998</v>
      </c>
      <c r="L111">
        <v>60.747500000000002</v>
      </c>
      <c r="M111">
        <v>8.0753333333333401</v>
      </c>
      <c r="N111">
        <v>27.414999999999999</v>
      </c>
      <c r="O111">
        <v>55.502499999999998</v>
      </c>
      <c r="P111">
        <v>94.033500000000004</v>
      </c>
      <c r="Q111">
        <v>99.262</v>
      </c>
      <c r="R111">
        <v>65.641000000000005</v>
      </c>
      <c r="S111">
        <v>45.700400000000002</v>
      </c>
      <c r="T111">
        <v>48.163800000000002</v>
      </c>
      <c r="U111">
        <v>42.854999999999997</v>
      </c>
    </row>
    <row r="112" spans="1:21" x14ac:dyDescent="0.2">
      <c r="A112" t="s">
        <v>155</v>
      </c>
      <c r="B112" t="s">
        <v>156</v>
      </c>
      <c r="E112">
        <v>99.683000000000007</v>
      </c>
      <c r="F112">
        <v>40.012</v>
      </c>
      <c r="G112">
        <v>85.598153846153807</v>
      </c>
      <c r="H112">
        <v>97.796000000000006</v>
      </c>
      <c r="I112">
        <v>39.10275</v>
      </c>
      <c r="J112">
        <v>76.032200000000003</v>
      </c>
      <c r="K112">
        <v>96.852000000000004</v>
      </c>
      <c r="L112">
        <v>77.266999999999996</v>
      </c>
      <c r="M112">
        <v>32.855200000000004</v>
      </c>
      <c r="N112">
        <v>46.467500000000001</v>
      </c>
      <c r="O112">
        <v>86.421999999999997</v>
      </c>
      <c r="P112">
        <v>61.470500000000001</v>
      </c>
      <c r="Q112">
        <v>86.412666666666695</v>
      </c>
      <c r="R112">
        <v>67.350166666666695</v>
      </c>
      <c r="S112">
        <v>52.616666666666703</v>
      </c>
      <c r="T112">
        <v>73.094999999999999</v>
      </c>
      <c r="U112">
        <v>58.586750000000002</v>
      </c>
    </row>
    <row r="113" spans="1:21" x14ac:dyDescent="0.2">
      <c r="A113" t="s">
        <v>179</v>
      </c>
      <c r="B113" t="s">
        <v>180</v>
      </c>
      <c r="E113">
        <v>90.706500000000005</v>
      </c>
      <c r="F113">
        <v>61.030999999999999</v>
      </c>
      <c r="G113">
        <v>77.103153846153901</v>
      </c>
      <c r="H113">
        <v>99.080666666666701</v>
      </c>
      <c r="I113">
        <v>78.155249999999995</v>
      </c>
      <c r="J113">
        <v>78.627799999999993</v>
      </c>
      <c r="K113">
        <v>86.819333333333304</v>
      </c>
      <c r="L113">
        <v>65.874666666666698</v>
      </c>
      <c r="M113">
        <v>47.353000000000002</v>
      </c>
      <c r="N113">
        <v>10.763500000000001</v>
      </c>
      <c r="O113">
        <v>81.927499999999995</v>
      </c>
      <c r="P113">
        <v>79.995500000000007</v>
      </c>
      <c r="Q113">
        <v>89.152333333333303</v>
      </c>
      <c r="R113">
        <v>57.3081666666667</v>
      </c>
      <c r="S113">
        <v>52.011000000000003</v>
      </c>
      <c r="T113">
        <v>54.088200000000001</v>
      </c>
      <c r="U113">
        <v>65.225750000000005</v>
      </c>
    </row>
    <row r="114" spans="1:21" x14ac:dyDescent="0.2">
      <c r="A114" t="s">
        <v>381</v>
      </c>
      <c r="B114" t="s">
        <v>382</v>
      </c>
    </row>
    <row r="115" spans="1:21" x14ac:dyDescent="0.2">
      <c r="A115" t="s">
        <v>139</v>
      </c>
      <c r="B115" t="s">
        <v>140</v>
      </c>
      <c r="E115">
        <v>91.757999999999996</v>
      </c>
      <c r="F115">
        <v>64.429857142857202</v>
      </c>
      <c r="G115">
        <v>78.644538461538502</v>
      </c>
      <c r="H115">
        <v>93.026666666666699</v>
      </c>
      <c r="I115">
        <v>59.096499999999999</v>
      </c>
      <c r="J115">
        <v>76.352999999999994</v>
      </c>
      <c r="K115">
        <v>81.016000000000005</v>
      </c>
      <c r="L115">
        <v>64.587166666666704</v>
      </c>
      <c r="M115">
        <v>35.405833333333298</v>
      </c>
      <c r="N115">
        <v>63.313000000000002</v>
      </c>
      <c r="O115">
        <v>77.341250000000002</v>
      </c>
      <c r="P115">
        <v>76.206833333333293</v>
      </c>
      <c r="Q115">
        <v>87.825999999999993</v>
      </c>
      <c r="S115">
        <v>81.076599999999999</v>
      </c>
      <c r="T115">
        <v>76.214399999999998</v>
      </c>
      <c r="U115">
        <v>67.859750000000005</v>
      </c>
    </row>
    <row r="116" spans="1:21" x14ac:dyDescent="0.2">
      <c r="A116" t="s">
        <v>281</v>
      </c>
      <c r="B116" t="s">
        <v>282</v>
      </c>
      <c r="E116">
        <v>22.314</v>
      </c>
      <c r="F116">
        <v>60.006</v>
      </c>
      <c r="G116">
        <v>35.013923076923099</v>
      </c>
      <c r="H116">
        <v>11.517333333333299</v>
      </c>
      <c r="I116">
        <v>43.116250000000001</v>
      </c>
      <c r="J116">
        <v>59.264200000000002</v>
      </c>
      <c r="K116">
        <v>22.9925</v>
      </c>
      <c r="L116">
        <v>67.278499999999994</v>
      </c>
      <c r="M116">
        <v>14.2428333333333</v>
      </c>
      <c r="N116">
        <v>74.841999999999999</v>
      </c>
      <c r="O116">
        <v>56.871499999999997</v>
      </c>
      <c r="P116">
        <v>91.585666666666697</v>
      </c>
      <c r="Q116">
        <v>99.346999999999994</v>
      </c>
      <c r="S116">
        <v>56.969200000000001</v>
      </c>
      <c r="T116">
        <v>56.729500000000002</v>
      </c>
      <c r="U116">
        <v>46.64425</v>
      </c>
    </row>
    <row r="117" spans="1:21" x14ac:dyDescent="0.2">
      <c r="A117" t="s">
        <v>101</v>
      </c>
      <c r="B117" t="s">
        <v>102</v>
      </c>
      <c r="E117">
        <v>99.828500000000005</v>
      </c>
      <c r="F117">
        <v>67.044124999999994</v>
      </c>
      <c r="G117">
        <v>91.481307692307695</v>
      </c>
      <c r="H117">
        <v>99.218333333333305</v>
      </c>
      <c r="I117">
        <v>62.2455</v>
      </c>
      <c r="J117">
        <v>75.549000000000007</v>
      </c>
      <c r="K117">
        <v>95.293666666666596</v>
      </c>
      <c r="L117">
        <v>86.307749999999999</v>
      </c>
      <c r="M117">
        <v>65.619833333333304</v>
      </c>
      <c r="N117">
        <v>91.899000000000001</v>
      </c>
      <c r="O117">
        <v>87.04</v>
      </c>
      <c r="P117">
        <v>43.870333333333299</v>
      </c>
      <c r="Q117">
        <v>65.182666666666705</v>
      </c>
      <c r="R117">
        <v>48.822499999999998</v>
      </c>
      <c r="S117">
        <v>81.563333333333304</v>
      </c>
      <c r="T117">
        <v>76.046000000000006</v>
      </c>
      <c r="U117">
        <v>50.655500000000004</v>
      </c>
    </row>
    <row r="118" spans="1:21" x14ac:dyDescent="0.2">
      <c r="A118" t="s">
        <v>269</v>
      </c>
      <c r="B118" t="s">
        <v>270</v>
      </c>
      <c r="E118">
        <v>90.126499999999993</v>
      </c>
      <c r="F118">
        <v>61.208874999999999</v>
      </c>
      <c r="G118">
        <v>55.023785714285701</v>
      </c>
      <c r="H118">
        <v>75.000666666666703</v>
      </c>
      <c r="I118">
        <v>59.968499999999999</v>
      </c>
      <c r="J118">
        <v>66.023600000000002</v>
      </c>
      <c r="K118">
        <v>52.393999999999998</v>
      </c>
      <c r="L118">
        <v>60.4375</v>
      </c>
      <c r="M118">
        <v>23.4761666666667</v>
      </c>
      <c r="N118">
        <v>75.846000000000004</v>
      </c>
      <c r="O118">
        <v>62.026499999999999</v>
      </c>
      <c r="P118">
        <v>94.540999999999997</v>
      </c>
      <c r="Q118">
        <v>98.605666666666707</v>
      </c>
      <c r="R118">
        <v>59.903666666666702</v>
      </c>
      <c r="S118">
        <v>55.1676</v>
      </c>
      <c r="T118">
        <v>68.774888888888896</v>
      </c>
      <c r="U118">
        <v>45.577750000000002</v>
      </c>
    </row>
    <row r="119" spans="1:21" x14ac:dyDescent="0.2">
      <c r="A119" t="s">
        <v>153</v>
      </c>
      <c r="B119" t="s">
        <v>154</v>
      </c>
      <c r="E119">
        <v>93.665999999999997</v>
      </c>
      <c r="F119">
        <v>50.295428571428602</v>
      </c>
      <c r="G119">
        <v>76.845357142857097</v>
      </c>
      <c r="H119">
        <v>95.367000000000004</v>
      </c>
      <c r="I119">
        <v>52.635249999999999</v>
      </c>
      <c r="J119">
        <v>69.834000000000003</v>
      </c>
      <c r="K119">
        <v>85.727333333333306</v>
      </c>
      <c r="L119">
        <v>70.227599999999995</v>
      </c>
      <c r="M119">
        <v>45.958500000000001</v>
      </c>
      <c r="N119">
        <v>55.3735</v>
      </c>
      <c r="O119">
        <v>71.933499999999995</v>
      </c>
      <c r="P119">
        <v>59.927666666666703</v>
      </c>
      <c r="Q119">
        <v>85.160333333333298</v>
      </c>
      <c r="R119">
        <v>37.790199999999999</v>
      </c>
      <c r="S119">
        <v>52.255249999999997</v>
      </c>
      <c r="T119">
        <v>75.717444444444396</v>
      </c>
      <c r="U119">
        <v>80.792666666666705</v>
      </c>
    </row>
    <row r="120" spans="1:21" x14ac:dyDescent="0.2">
      <c r="A120" t="s">
        <v>231</v>
      </c>
      <c r="B120" t="s">
        <v>232</v>
      </c>
      <c r="E120">
        <v>96.810500000000005</v>
      </c>
      <c r="F120">
        <v>41.551285714285697</v>
      </c>
      <c r="G120">
        <v>64.831785714285701</v>
      </c>
      <c r="H120">
        <v>98.722333333333296</v>
      </c>
      <c r="I120">
        <v>65.205749999999995</v>
      </c>
      <c r="J120">
        <v>65.1768</v>
      </c>
      <c r="K120">
        <v>60.497333333333302</v>
      </c>
      <c r="L120">
        <v>72.001666666666694</v>
      </c>
      <c r="M120">
        <v>29.512166666666701</v>
      </c>
      <c r="N120">
        <v>70.038499999999999</v>
      </c>
      <c r="O120">
        <v>47.861499999999999</v>
      </c>
      <c r="P120">
        <v>61.937666666666701</v>
      </c>
      <c r="Q120">
        <v>41.420666666666698</v>
      </c>
      <c r="S120">
        <v>73.484999999999999</v>
      </c>
      <c r="T120">
        <v>66.485799999999998</v>
      </c>
      <c r="U120">
        <v>68.160749999999993</v>
      </c>
    </row>
    <row r="121" spans="1:21" x14ac:dyDescent="0.2">
      <c r="A121" t="s">
        <v>317</v>
      </c>
      <c r="B121" t="s">
        <v>318</v>
      </c>
      <c r="E121">
        <v>8.1820000000000004</v>
      </c>
      <c r="F121">
        <v>45.317285714285703</v>
      </c>
      <c r="G121">
        <v>36.508642857142902</v>
      </c>
      <c r="H121">
        <v>49.773666666666699</v>
      </c>
      <c r="I121">
        <v>64.902000000000001</v>
      </c>
      <c r="J121">
        <v>49.580199999999998</v>
      </c>
      <c r="K121">
        <v>39.941333333333297</v>
      </c>
      <c r="L121">
        <v>58.695833333333297</v>
      </c>
      <c r="M121">
        <v>10.504666666666701</v>
      </c>
      <c r="N121">
        <v>12.788500000000001</v>
      </c>
      <c r="O121">
        <v>57.418999999999997</v>
      </c>
      <c r="P121">
        <v>96.1191666666667</v>
      </c>
      <c r="Q121">
        <v>98.588333333333296</v>
      </c>
      <c r="R121">
        <v>68.371333333333297</v>
      </c>
      <c r="S121">
        <v>52.992800000000003</v>
      </c>
      <c r="T121">
        <v>55.014777777777802</v>
      </c>
      <c r="U121">
        <v>63.228999999999999</v>
      </c>
    </row>
    <row r="122" spans="1:21" x14ac:dyDescent="0.2">
      <c r="A122" t="s">
        <v>285</v>
      </c>
      <c r="B122" t="s">
        <v>286</v>
      </c>
      <c r="E122">
        <v>70.742000000000004</v>
      </c>
      <c r="F122">
        <v>43.1945714285714</v>
      </c>
      <c r="G122">
        <v>41.840153846153797</v>
      </c>
      <c r="H122">
        <v>39.399000000000001</v>
      </c>
      <c r="I122">
        <v>32.27375</v>
      </c>
      <c r="J122">
        <v>58.325400000000002</v>
      </c>
      <c r="K122">
        <v>42.221499999999999</v>
      </c>
      <c r="L122">
        <v>45.026166666666697</v>
      </c>
      <c r="M122">
        <v>17.474833333333301</v>
      </c>
      <c r="N122">
        <v>81.837999999999994</v>
      </c>
      <c r="O122">
        <v>40.360250000000001</v>
      </c>
      <c r="P122">
        <v>89.013000000000005</v>
      </c>
      <c r="Q122">
        <v>95.74</v>
      </c>
      <c r="R122">
        <v>65.951666666666696</v>
      </c>
      <c r="S122">
        <v>76.102999999999994</v>
      </c>
      <c r="T122">
        <v>52.634599999999999</v>
      </c>
      <c r="U122">
        <v>51.450666666666699</v>
      </c>
    </row>
    <row r="123" spans="1:21" x14ac:dyDescent="0.2">
      <c r="A123" t="s">
        <v>205</v>
      </c>
      <c r="B123" t="s">
        <v>206</v>
      </c>
      <c r="E123">
        <v>98.381500000000003</v>
      </c>
      <c r="F123">
        <v>73.731999999999999</v>
      </c>
      <c r="G123">
        <v>78.113142857142805</v>
      </c>
      <c r="H123">
        <v>94.020333333333298</v>
      </c>
      <c r="I123">
        <v>53.656500000000001</v>
      </c>
      <c r="J123">
        <v>62.760599999999997</v>
      </c>
      <c r="K123">
        <v>88.969333333333296</v>
      </c>
      <c r="L123">
        <v>71.687166666666698</v>
      </c>
      <c r="M123">
        <v>37.1041666666667</v>
      </c>
      <c r="N123">
        <v>46.2545</v>
      </c>
      <c r="O123">
        <v>92.600666666666697</v>
      </c>
      <c r="P123">
        <v>58.045833333333299</v>
      </c>
      <c r="Q123">
        <v>76.452666666666701</v>
      </c>
      <c r="R123">
        <v>53.052333333333301</v>
      </c>
      <c r="S123">
        <v>26.426500000000001</v>
      </c>
      <c r="T123">
        <v>72.932625000000002</v>
      </c>
      <c r="U123">
        <v>49.904333333333298</v>
      </c>
    </row>
    <row r="124" spans="1:21" x14ac:dyDescent="0.2">
      <c r="A124" t="s">
        <v>289</v>
      </c>
      <c r="B124" t="s">
        <v>290</v>
      </c>
      <c r="E124">
        <v>0</v>
      </c>
      <c r="F124">
        <v>64.001249999999999</v>
      </c>
      <c r="G124">
        <v>49.959071428571399</v>
      </c>
      <c r="H124">
        <v>50.31</v>
      </c>
      <c r="I124">
        <v>75.091999999999999</v>
      </c>
      <c r="J124">
        <v>52.042999999999999</v>
      </c>
      <c r="K124">
        <v>5.1615000000000002</v>
      </c>
      <c r="L124">
        <v>58.290666666666702</v>
      </c>
      <c r="M124">
        <v>11.6643333333333</v>
      </c>
      <c r="N124">
        <v>23.756</v>
      </c>
      <c r="O124">
        <v>55.753749999999997</v>
      </c>
      <c r="P124">
        <v>94.006500000000003</v>
      </c>
      <c r="Q124">
        <v>99.42</v>
      </c>
      <c r="S124">
        <v>55.005800000000001</v>
      </c>
      <c r="T124">
        <v>56.448500000000003</v>
      </c>
      <c r="U124">
        <v>54.427750000000003</v>
      </c>
    </row>
    <row r="125" spans="1:21" x14ac:dyDescent="0.2">
      <c r="A125" t="s">
        <v>175</v>
      </c>
      <c r="B125" t="s">
        <v>176</v>
      </c>
      <c r="E125">
        <v>99.980500000000006</v>
      </c>
      <c r="F125">
        <v>47.363624999999999</v>
      </c>
      <c r="G125">
        <v>79.528285714285701</v>
      </c>
      <c r="H125">
        <v>91.696666666666701</v>
      </c>
      <c r="I125">
        <v>57.149749999999997</v>
      </c>
      <c r="J125">
        <v>77.548199999999994</v>
      </c>
      <c r="K125">
        <v>90.685000000000002</v>
      </c>
      <c r="L125">
        <v>75.775000000000006</v>
      </c>
      <c r="M125">
        <v>72.369</v>
      </c>
      <c r="N125">
        <v>44.720500000000001</v>
      </c>
      <c r="O125">
        <v>84.418000000000006</v>
      </c>
      <c r="P125">
        <v>75.269333333333293</v>
      </c>
      <c r="Q125">
        <v>76.494666666666703</v>
      </c>
      <c r="R125">
        <v>63.865000000000002</v>
      </c>
      <c r="S125">
        <v>39.754800000000003</v>
      </c>
      <c r="T125">
        <v>71.680625000000006</v>
      </c>
      <c r="U125">
        <v>56.745750000000001</v>
      </c>
    </row>
    <row r="126" spans="1:21" x14ac:dyDescent="0.2">
      <c r="A126" t="s">
        <v>237</v>
      </c>
      <c r="B126" t="s">
        <v>238</v>
      </c>
      <c r="E126">
        <v>50.898499999999999</v>
      </c>
      <c r="F126">
        <v>49.629874999999998</v>
      </c>
      <c r="G126">
        <v>47.958285714285701</v>
      </c>
      <c r="H126">
        <v>86.494666666666703</v>
      </c>
      <c r="I126">
        <v>86.797250000000005</v>
      </c>
      <c r="J126">
        <v>59.848199999999999</v>
      </c>
      <c r="K126">
        <v>44.883000000000003</v>
      </c>
      <c r="L126">
        <v>61.612166666666702</v>
      </c>
      <c r="M126">
        <v>30.510833333333299</v>
      </c>
      <c r="N126">
        <v>0</v>
      </c>
      <c r="O126">
        <v>65.072999999999993</v>
      </c>
      <c r="P126">
        <v>73.724000000000004</v>
      </c>
      <c r="Q126">
        <v>85.069333333333304</v>
      </c>
      <c r="R126">
        <v>80.279833333333301</v>
      </c>
      <c r="S126">
        <v>86.040800000000004</v>
      </c>
      <c r="T126">
        <v>67.078111111111099</v>
      </c>
      <c r="U126">
        <v>74.209500000000006</v>
      </c>
    </row>
    <row r="127" spans="1:21" x14ac:dyDescent="0.2">
      <c r="A127" t="s">
        <v>341</v>
      </c>
      <c r="B127" t="s">
        <v>342</v>
      </c>
      <c r="E127">
        <v>21.893999999999998</v>
      </c>
      <c r="F127">
        <v>44.034999999999997</v>
      </c>
      <c r="G127">
        <v>40.514785714285701</v>
      </c>
      <c r="H127">
        <v>3.7336666666666698</v>
      </c>
      <c r="I127">
        <v>36.378</v>
      </c>
      <c r="J127">
        <v>44.228400000000001</v>
      </c>
      <c r="K127">
        <v>14.0323333333333</v>
      </c>
      <c r="L127">
        <v>64.164333333333303</v>
      </c>
      <c r="M127">
        <v>4.01366666666667</v>
      </c>
      <c r="N127">
        <v>75.537000000000006</v>
      </c>
      <c r="O127">
        <v>47.777250000000002</v>
      </c>
      <c r="P127">
        <v>92.709800000000001</v>
      </c>
      <c r="Q127">
        <v>99.394999999999996</v>
      </c>
      <c r="S127">
        <v>68.752799999999993</v>
      </c>
      <c r="T127">
        <v>55.962333333333298</v>
      </c>
      <c r="U127">
        <v>60.856000000000002</v>
      </c>
    </row>
    <row r="128" spans="1:21" x14ac:dyDescent="0.2">
      <c r="A128" t="s">
        <v>311</v>
      </c>
      <c r="B128" t="s">
        <v>312</v>
      </c>
      <c r="E128">
        <v>20.503</v>
      </c>
      <c r="F128">
        <v>60.130625000000002</v>
      </c>
      <c r="G128">
        <v>28.903714285714301</v>
      </c>
      <c r="H128">
        <v>38.750666666666703</v>
      </c>
      <c r="I128">
        <v>38.206499999999998</v>
      </c>
      <c r="J128">
        <v>56.878399999999999</v>
      </c>
      <c r="K128">
        <v>34.6086666666667</v>
      </c>
      <c r="L128">
        <v>55.669199999999996</v>
      </c>
      <c r="M128">
        <v>33.435000000000002</v>
      </c>
      <c r="N128">
        <v>20.212</v>
      </c>
      <c r="O128">
        <v>26.74</v>
      </c>
      <c r="P128">
        <v>93.426833333333306</v>
      </c>
      <c r="Q128">
        <v>97.795666666666705</v>
      </c>
      <c r="R128">
        <v>62.392333333333298</v>
      </c>
      <c r="S128">
        <v>77.292599999999993</v>
      </c>
      <c r="T128">
        <v>40.757300000000001</v>
      </c>
      <c r="U128">
        <v>46.033333333333303</v>
      </c>
    </row>
    <row r="129" spans="1:21" x14ac:dyDescent="0.2">
      <c r="A129" t="s">
        <v>227</v>
      </c>
      <c r="B129" t="s">
        <v>228</v>
      </c>
      <c r="E129">
        <v>81.659000000000006</v>
      </c>
      <c r="F129">
        <v>54.500250000000001</v>
      </c>
      <c r="G129">
        <v>77.017357142857193</v>
      </c>
      <c r="H129">
        <v>78.566999999999993</v>
      </c>
      <c r="I129">
        <v>82.363500000000002</v>
      </c>
      <c r="J129">
        <v>68.017200000000003</v>
      </c>
      <c r="K129">
        <v>73.222999999999999</v>
      </c>
      <c r="L129">
        <v>59.555</v>
      </c>
      <c r="M129">
        <v>14.564</v>
      </c>
      <c r="N129">
        <v>23.781500000000001</v>
      </c>
      <c r="O129">
        <v>83.379499999999993</v>
      </c>
      <c r="P129">
        <v>89.203666666666706</v>
      </c>
      <c r="Q129">
        <v>96.941000000000003</v>
      </c>
      <c r="R129">
        <v>62.008333333333297</v>
      </c>
      <c r="S129">
        <v>68.959199999999996</v>
      </c>
      <c r="T129">
        <v>55.890799999999999</v>
      </c>
      <c r="U129">
        <v>57.281750000000002</v>
      </c>
    </row>
    <row r="130" spans="1:21" x14ac:dyDescent="0.2">
      <c r="A130" t="s">
        <v>59</v>
      </c>
      <c r="B130" t="s">
        <v>60</v>
      </c>
      <c r="E130">
        <v>99.569500000000005</v>
      </c>
      <c r="F130">
        <v>66.262124999999997</v>
      </c>
      <c r="G130">
        <v>95.590500000000006</v>
      </c>
      <c r="H130">
        <v>99.340708333333296</v>
      </c>
      <c r="I130">
        <v>81.461500000000001</v>
      </c>
      <c r="J130">
        <v>89.015199999999993</v>
      </c>
      <c r="K130">
        <v>92.965999999999994</v>
      </c>
      <c r="L130">
        <v>86.884833333333304</v>
      </c>
      <c r="M130">
        <v>91.937333333333299</v>
      </c>
      <c r="N130">
        <v>94.044499999999999</v>
      </c>
      <c r="O130">
        <v>96.549750000000003</v>
      </c>
      <c r="P130">
        <v>49.0625</v>
      </c>
      <c r="Q130">
        <v>55.164999999999999</v>
      </c>
      <c r="R130">
        <v>56.053833333333301</v>
      </c>
      <c r="S130">
        <v>84.130200000000002</v>
      </c>
      <c r="T130">
        <v>85.281499999999994</v>
      </c>
      <c r="U130">
        <v>63.173749999999998</v>
      </c>
    </row>
    <row r="131" spans="1:21" x14ac:dyDescent="0.2">
      <c r="A131" t="s">
        <v>33</v>
      </c>
      <c r="B131" t="s">
        <v>34</v>
      </c>
      <c r="E131">
        <v>99.470500000000001</v>
      </c>
      <c r="F131">
        <v>60.46425</v>
      </c>
      <c r="G131">
        <v>96.823846153846105</v>
      </c>
      <c r="H131">
        <v>99.444041666666706</v>
      </c>
      <c r="I131">
        <v>88.885750000000002</v>
      </c>
      <c r="J131">
        <v>80.404200000000003</v>
      </c>
      <c r="K131">
        <v>98.887</v>
      </c>
      <c r="L131">
        <v>87.658333333333402</v>
      </c>
      <c r="M131">
        <v>91.491</v>
      </c>
      <c r="N131">
        <v>100</v>
      </c>
      <c r="O131">
        <v>93.194000000000003</v>
      </c>
      <c r="P131">
        <v>44.540666666666702</v>
      </c>
      <c r="Q131">
        <v>20.183333333333302</v>
      </c>
      <c r="R131">
        <v>73.839166666666699</v>
      </c>
      <c r="S131">
        <v>73.471599999999995</v>
      </c>
      <c r="T131">
        <v>88.189400000000006</v>
      </c>
      <c r="U131">
        <v>96.697999999999993</v>
      </c>
    </row>
    <row r="132" spans="1:21" x14ac:dyDescent="0.2">
      <c r="A132" t="s">
        <v>217</v>
      </c>
      <c r="B132" t="s">
        <v>218</v>
      </c>
      <c r="E132">
        <v>62.795999999999999</v>
      </c>
      <c r="F132">
        <v>59.1211428571429</v>
      </c>
      <c r="G132">
        <v>58.605214285714297</v>
      </c>
      <c r="H132">
        <v>92.482333333333301</v>
      </c>
      <c r="I132">
        <v>67.682000000000002</v>
      </c>
      <c r="J132">
        <v>67.539599999999993</v>
      </c>
      <c r="K132">
        <v>60.360333333333301</v>
      </c>
      <c r="L132">
        <v>73.542833333333306</v>
      </c>
      <c r="M132">
        <v>28.663833333333301</v>
      </c>
      <c r="N132">
        <v>79.370500000000007</v>
      </c>
      <c r="O132">
        <v>44.6995</v>
      </c>
      <c r="P132">
        <v>94.169166666666698</v>
      </c>
      <c r="Q132">
        <v>98.419333333333299</v>
      </c>
      <c r="S132">
        <v>68.063800000000001</v>
      </c>
      <c r="T132">
        <v>58.423222222222201</v>
      </c>
      <c r="U132">
        <v>56.210500000000003</v>
      </c>
    </row>
    <row r="133" spans="1:21" x14ac:dyDescent="0.2">
      <c r="A133" t="s">
        <v>383</v>
      </c>
      <c r="B133" t="s">
        <v>384</v>
      </c>
    </row>
    <row r="134" spans="1:21" x14ac:dyDescent="0.2">
      <c r="A134" t="s">
        <v>73</v>
      </c>
      <c r="B134" t="s">
        <v>74</v>
      </c>
      <c r="E134">
        <v>99.973500000000001</v>
      </c>
      <c r="F134">
        <v>66.611428571428604</v>
      </c>
      <c r="G134">
        <v>93.122714285714295</v>
      </c>
      <c r="H134">
        <v>98.860023148148201</v>
      </c>
      <c r="I134">
        <v>86.132249999999999</v>
      </c>
      <c r="J134">
        <v>92.337400000000002</v>
      </c>
      <c r="K134">
        <v>95.830666666666701</v>
      </c>
      <c r="L134">
        <v>86.9136666666667</v>
      </c>
      <c r="M134">
        <v>87.920500000000004</v>
      </c>
      <c r="N134">
        <v>66.875</v>
      </c>
      <c r="O134">
        <v>87.175250000000005</v>
      </c>
      <c r="P134">
        <v>44.463000000000001</v>
      </c>
      <c r="Q134">
        <v>66.902000000000001</v>
      </c>
      <c r="R134">
        <v>57.177666666666703</v>
      </c>
      <c r="S134">
        <v>50.575400000000002</v>
      </c>
      <c r="T134">
        <v>92.305400000000006</v>
      </c>
      <c r="U134">
        <v>72.048000000000002</v>
      </c>
    </row>
    <row r="135" spans="1:21" x14ac:dyDescent="0.2">
      <c r="A135" t="s">
        <v>199</v>
      </c>
      <c r="B135" t="s">
        <v>200</v>
      </c>
      <c r="F135">
        <v>62.097000000000001</v>
      </c>
      <c r="G135">
        <v>85.134142857142905</v>
      </c>
      <c r="H135">
        <v>97.130333333333297</v>
      </c>
      <c r="I135">
        <v>39.127499999999998</v>
      </c>
      <c r="J135">
        <v>48.9</v>
      </c>
      <c r="K135">
        <v>87.402333333333303</v>
      </c>
      <c r="L135">
        <v>70.41525</v>
      </c>
      <c r="M135">
        <v>56.469166666666702</v>
      </c>
      <c r="O135">
        <v>76.351666666666702</v>
      </c>
      <c r="P135">
        <v>71.534333333333294</v>
      </c>
      <c r="Q135">
        <v>57.994666666666703</v>
      </c>
      <c r="R135">
        <v>74.413166666666697</v>
      </c>
      <c r="S135">
        <v>59.119333333333302</v>
      </c>
      <c r="T135">
        <v>80.368499999999997</v>
      </c>
      <c r="U135">
        <v>67.331666666666706</v>
      </c>
    </row>
    <row r="136" spans="1:21" x14ac:dyDescent="0.2">
      <c r="A136" t="s">
        <v>275</v>
      </c>
      <c r="B136" t="s">
        <v>276</v>
      </c>
      <c r="E136">
        <v>71.241</v>
      </c>
      <c r="F136">
        <v>51.03</v>
      </c>
      <c r="G136">
        <v>50.098285714285701</v>
      </c>
      <c r="H136">
        <v>61.816000000000003</v>
      </c>
      <c r="I136">
        <v>28.682500000000001</v>
      </c>
      <c r="J136">
        <v>48.220599999999997</v>
      </c>
      <c r="K136">
        <v>62.504666666666701</v>
      </c>
      <c r="L136">
        <v>50.480400000000003</v>
      </c>
      <c r="M136">
        <v>26.832833333333301</v>
      </c>
      <c r="N136">
        <v>63.422499999999999</v>
      </c>
      <c r="O136">
        <v>50.366999999999997</v>
      </c>
      <c r="P136">
        <v>91.2231666666667</v>
      </c>
      <c r="Q136">
        <v>97.720333333333301</v>
      </c>
      <c r="R136">
        <v>61.077666666666701</v>
      </c>
      <c r="S136">
        <v>66.781199999999998</v>
      </c>
      <c r="T136">
        <v>52.529800000000002</v>
      </c>
      <c r="U136">
        <v>47.267499999999998</v>
      </c>
    </row>
    <row r="137" spans="1:21" x14ac:dyDescent="0.2">
      <c r="A137" t="s">
        <v>213</v>
      </c>
      <c r="B137" t="s">
        <v>214</v>
      </c>
      <c r="E137">
        <v>93.584000000000003</v>
      </c>
      <c r="F137">
        <v>50.402124999999998</v>
      </c>
      <c r="G137">
        <v>79.445538461538504</v>
      </c>
      <c r="H137">
        <v>80.486333333333306</v>
      </c>
      <c r="I137">
        <v>65.409000000000006</v>
      </c>
      <c r="J137">
        <v>78.512</v>
      </c>
      <c r="K137">
        <v>91.493666666666698</v>
      </c>
      <c r="L137">
        <v>72.263166666666706</v>
      </c>
      <c r="M137">
        <v>39.2678333333333</v>
      </c>
      <c r="N137">
        <v>14.6945</v>
      </c>
      <c r="O137">
        <v>88.206500000000005</v>
      </c>
      <c r="P137">
        <v>76.540166666666707</v>
      </c>
      <c r="Q137">
        <v>84.853666666666697</v>
      </c>
      <c r="R137">
        <v>66.808499999999995</v>
      </c>
      <c r="S137">
        <v>59.366999999999997</v>
      </c>
      <c r="T137">
        <v>65.980699999999999</v>
      </c>
      <c r="U137">
        <v>48.384333333333302</v>
      </c>
    </row>
    <row r="138" spans="1:21" x14ac:dyDescent="0.2">
      <c r="A138" t="s">
        <v>149</v>
      </c>
      <c r="B138" t="s">
        <v>150</v>
      </c>
      <c r="E138">
        <v>88.06</v>
      </c>
      <c r="F138">
        <v>69.976375000000004</v>
      </c>
      <c r="G138">
        <v>79.891142857142896</v>
      </c>
      <c r="H138">
        <v>98.112666666666698</v>
      </c>
      <c r="I138">
        <v>67.165499999999994</v>
      </c>
      <c r="J138">
        <v>80.327200000000005</v>
      </c>
      <c r="K138">
        <v>84.457333333333295</v>
      </c>
      <c r="L138">
        <v>66.200166666666703</v>
      </c>
      <c r="M138">
        <v>36.426833333333299</v>
      </c>
      <c r="N138">
        <v>30.256</v>
      </c>
      <c r="O138">
        <v>72.361999999999995</v>
      </c>
      <c r="P138">
        <v>86.650999999999996</v>
      </c>
      <c r="Q138">
        <v>93.853333333333296</v>
      </c>
      <c r="R138">
        <v>76.391166666666706</v>
      </c>
      <c r="S138">
        <v>58.225200000000001</v>
      </c>
      <c r="T138">
        <v>60.622999999999998</v>
      </c>
      <c r="U138">
        <v>59.531750000000002</v>
      </c>
    </row>
    <row r="139" spans="1:21" x14ac:dyDescent="0.2">
      <c r="A139" t="s">
        <v>215</v>
      </c>
      <c r="B139" t="s">
        <v>216</v>
      </c>
      <c r="E139">
        <v>69.706999999999994</v>
      </c>
      <c r="F139">
        <v>63.854500000000002</v>
      </c>
      <c r="G139">
        <v>56.5066428571429</v>
      </c>
      <c r="H139">
        <v>89.319333333333304</v>
      </c>
      <c r="I139">
        <v>64.018500000000003</v>
      </c>
      <c r="J139">
        <v>68.801199999999994</v>
      </c>
      <c r="K139">
        <v>70.902666666666704</v>
      </c>
      <c r="L139">
        <v>62.751333333333299</v>
      </c>
      <c r="M139">
        <v>37.734000000000002</v>
      </c>
      <c r="N139">
        <v>23.8445</v>
      </c>
      <c r="O139">
        <v>58.223500000000001</v>
      </c>
      <c r="P139">
        <v>91.867500000000007</v>
      </c>
      <c r="Q139">
        <v>95.896333333333303</v>
      </c>
      <c r="R139">
        <v>71.772833333333296</v>
      </c>
      <c r="S139">
        <v>55.907800000000002</v>
      </c>
      <c r="T139">
        <v>61.920299999999997</v>
      </c>
      <c r="U139">
        <v>53.591000000000001</v>
      </c>
    </row>
    <row r="140" spans="1:21" x14ac:dyDescent="0.2">
      <c r="A140" t="s">
        <v>385</v>
      </c>
      <c r="B140" t="s">
        <v>386</v>
      </c>
    </row>
    <row r="141" spans="1:21" x14ac:dyDescent="0.2">
      <c r="A141" t="s">
        <v>315</v>
      </c>
      <c r="B141" t="s">
        <v>316</v>
      </c>
      <c r="E141">
        <v>29.008500000000002</v>
      </c>
      <c r="F141">
        <v>29.557200000000002</v>
      </c>
      <c r="G141">
        <v>45.642000000000003</v>
      </c>
      <c r="H141">
        <v>59.790666666666702</v>
      </c>
      <c r="I141">
        <v>48.286999999999999</v>
      </c>
      <c r="J141">
        <v>40.973599999999998</v>
      </c>
      <c r="K141">
        <v>33.261000000000003</v>
      </c>
      <c r="L141">
        <v>73.337249999999997</v>
      </c>
      <c r="M141">
        <v>6.1875</v>
      </c>
      <c r="N141">
        <v>28.065999999999999</v>
      </c>
      <c r="O141">
        <v>73.327500000000001</v>
      </c>
      <c r="P141">
        <v>86.399833333333305</v>
      </c>
      <c r="Q141">
        <v>95.605000000000004</v>
      </c>
      <c r="R141">
        <v>64.638333333333307</v>
      </c>
      <c r="S141">
        <v>63.787750000000003</v>
      </c>
      <c r="T141">
        <v>55.035499999999999</v>
      </c>
      <c r="U141">
        <v>39.725499999999997</v>
      </c>
    </row>
    <row r="142" spans="1:21" x14ac:dyDescent="0.2">
      <c r="A142" t="s">
        <v>37</v>
      </c>
      <c r="B142" t="s">
        <v>38</v>
      </c>
      <c r="E142">
        <v>99.465500000000006</v>
      </c>
      <c r="F142">
        <v>68.159875</v>
      </c>
      <c r="G142">
        <v>85.269923076923106</v>
      </c>
      <c r="H142">
        <v>98.298666666666705</v>
      </c>
      <c r="I142">
        <v>72.180000000000007</v>
      </c>
      <c r="J142">
        <v>84.911199999999994</v>
      </c>
      <c r="K142">
        <v>89.265666666666704</v>
      </c>
      <c r="L142">
        <v>84.405333333333303</v>
      </c>
      <c r="M142">
        <v>71.760000000000005</v>
      </c>
      <c r="N142">
        <v>75.4285</v>
      </c>
      <c r="O142">
        <v>82.427999999999997</v>
      </c>
      <c r="P142">
        <v>75.869333333333302</v>
      </c>
      <c r="Q142">
        <v>75.096999999999994</v>
      </c>
      <c r="R142">
        <v>65.122</v>
      </c>
      <c r="S142">
        <v>92.32</v>
      </c>
      <c r="T142">
        <v>81.4482</v>
      </c>
      <c r="U142">
        <v>62.381</v>
      </c>
    </row>
    <row r="143" spans="1:21" x14ac:dyDescent="0.2">
      <c r="A143" t="s">
        <v>387</v>
      </c>
      <c r="B143" t="s">
        <v>388</v>
      </c>
    </row>
    <row r="144" spans="1:21" x14ac:dyDescent="0.2">
      <c r="A144" t="s">
        <v>55</v>
      </c>
      <c r="B144" t="s">
        <v>56</v>
      </c>
      <c r="E144">
        <v>99.381500000000003</v>
      </c>
      <c r="F144">
        <v>64.104500000000002</v>
      </c>
      <c r="G144">
        <v>90.954769230769202</v>
      </c>
      <c r="H144">
        <v>99.003333333333302</v>
      </c>
      <c r="I144">
        <v>83.272750000000002</v>
      </c>
      <c r="J144">
        <v>84.136799999999994</v>
      </c>
      <c r="K144">
        <v>95.022666666666694</v>
      </c>
      <c r="L144">
        <v>82.155333333333303</v>
      </c>
      <c r="M144">
        <v>75.417666666666705</v>
      </c>
      <c r="N144">
        <v>69.697000000000003</v>
      </c>
      <c r="O144">
        <v>88.421999999999997</v>
      </c>
      <c r="P144">
        <v>63.0565</v>
      </c>
      <c r="Q144">
        <v>75.819666666666706</v>
      </c>
      <c r="R144">
        <v>43.064999999999998</v>
      </c>
      <c r="S144">
        <v>72.673000000000002</v>
      </c>
      <c r="T144">
        <v>88.067700000000002</v>
      </c>
      <c r="U144">
        <v>62.678750000000001</v>
      </c>
    </row>
    <row r="145" spans="1:21" x14ac:dyDescent="0.2">
      <c r="A145" t="s">
        <v>195</v>
      </c>
      <c r="B145" t="s">
        <v>196</v>
      </c>
      <c r="E145">
        <v>94.024500000000003</v>
      </c>
      <c r="F145">
        <v>73.763499999999993</v>
      </c>
      <c r="G145">
        <v>72.9828571428571</v>
      </c>
      <c r="H145">
        <v>80.396000000000001</v>
      </c>
      <c r="I145">
        <v>66.944249999999997</v>
      </c>
      <c r="J145">
        <v>77.215199999999996</v>
      </c>
      <c r="K145">
        <v>87.742000000000004</v>
      </c>
      <c r="L145">
        <v>72.378200000000007</v>
      </c>
      <c r="M145">
        <v>30.622166666666701</v>
      </c>
      <c r="N145">
        <v>17.570499999999999</v>
      </c>
      <c r="O145">
        <v>81.5595</v>
      </c>
      <c r="P145">
        <v>75.418333333333294</v>
      </c>
      <c r="Q145">
        <v>87.236999999999995</v>
      </c>
      <c r="S145">
        <v>51.693600000000004</v>
      </c>
      <c r="T145">
        <v>51.880333333333297</v>
      </c>
      <c r="U145">
        <v>53.806249999999999</v>
      </c>
    </row>
    <row r="146" spans="1:21" x14ac:dyDescent="0.2">
      <c r="A146" t="s">
        <v>219</v>
      </c>
      <c r="B146" t="s">
        <v>220</v>
      </c>
      <c r="F146">
        <v>71.828714285714298</v>
      </c>
      <c r="G146">
        <v>86.305307692307693</v>
      </c>
      <c r="H146">
        <v>93.258666666666699</v>
      </c>
      <c r="I146">
        <v>57.147500000000001</v>
      </c>
      <c r="J146">
        <v>57.129199999999997</v>
      </c>
      <c r="K146">
        <v>88.605000000000004</v>
      </c>
      <c r="L146">
        <v>76.899000000000001</v>
      </c>
      <c r="M146">
        <v>72.088333333333296</v>
      </c>
      <c r="O146">
        <v>35.714500000000001</v>
      </c>
      <c r="P146">
        <v>68.557500000000005</v>
      </c>
      <c r="Q146">
        <v>15.146000000000001</v>
      </c>
      <c r="R146">
        <v>71.597999999999999</v>
      </c>
      <c r="S146">
        <v>61.258333333333297</v>
      </c>
      <c r="T146">
        <v>79.875</v>
      </c>
      <c r="U146">
        <v>40.534999999999997</v>
      </c>
    </row>
    <row r="147" spans="1:21" x14ac:dyDescent="0.2">
      <c r="A147" t="s">
        <v>89</v>
      </c>
      <c r="B147" t="s">
        <v>90</v>
      </c>
      <c r="E147">
        <v>94.798000000000002</v>
      </c>
      <c r="F147">
        <v>70.661500000000004</v>
      </c>
      <c r="G147">
        <v>80.564499999999995</v>
      </c>
      <c r="H147">
        <v>85.759333333333402</v>
      </c>
      <c r="I147">
        <v>57.481749999999998</v>
      </c>
      <c r="J147">
        <v>81.474800000000002</v>
      </c>
      <c r="K147">
        <v>88.632333333333307</v>
      </c>
      <c r="L147">
        <v>82.728166666666695</v>
      </c>
      <c r="M147">
        <v>55.022500000000001</v>
      </c>
      <c r="N147">
        <v>58.959499999999998</v>
      </c>
      <c r="O147">
        <v>81.097750000000005</v>
      </c>
      <c r="P147">
        <v>76.291833333333301</v>
      </c>
      <c r="Q147">
        <v>87.525999999999996</v>
      </c>
      <c r="R147">
        <v>66.233199999999997</v>
      </c>
      <c r="S147">
        <v>82.811599999999999</v>
      </c>
      <c r="T147">
        <v>75.984555555555602</v>
      </c>
      <c r="U147">
        <v>48.538499999999999</v>
      </c>
    </row>
    <row r="148" spans="1:21" x14ac:dyDescent="0.2">
      <c r="A148" t="s">
        <v>117</v>
      </c>
      <c r="B148" t="s">
        <v>118</v>
      </c>
      <c r="E148">
        <v>99.896000000000001</v>
      </c>
      <c r="F148">
        <v>57.514499999999998</v>
      </c>
      <c r="G148">
        <v>78.7790769230769</v>
      </c>
      <c r="H148">
        <v>99.697999999999993</v>
      </c>
      <c r="I148">
        <v>66.436000000000007</v>
      </c>
      <c r="J148">
        <v>72.010999999999996</v>
      </c>
      <c r="K148">
        <v>90.822666666666706</v>
      </c>
      <c r="L148">
        <v>75.404833333333301</v>
      </c>
      <c r="M148">
        <v>67.739500000000007</v>
      </c>
      <c r="N148">
        <v>64.867500000000007</v>
      </c>
      <c r="O148">
        <v>85.867000000000004</v>
      </c>
      <c r="P148">
        <v>76.668999999999997</v>
      </c>
      <c r="Q148">
        <v>73.440666666666701</v>
      </c>
      <c r="R148">
        <v>52.320500000000003</v>
      </c>
      <c r="S148">
        <v>66.182599999999994</v>
      </c>
      <c r="T148">
        <v>55.830666666666701</v>
      </c>
      <c r="U148">
        <v>70.290750000000003</v>
      </c>
    </row>
    <row r="149" spans="1:21" x14ac:dyDescent="0.2">
      <c r="A149" t="s">
        <v>271</v>
      </c>
      <c r="B149" t="s">
        <v>272</v>
      </c>
      <c r="E149">
        <v>18.905000000000001</v>
      </c>
      <c r="F149">
        <v>58.787624999999998</v>
      </c>
      <c r="G149">
        <v>61.834428571428603</v>
      </c>
      <c r="H149">
        <v>63.834000000000003</v>
      </c>
      <c r="I149">
        <v>80.867999999999995</v>
      </c>
      <c r="J149">
        <v>58.375</v>
      </c>
      <c r="K149">
        <v>14.090999999999999</v>
      </c>
      <c r="L149">
        <v>72.567333333333295</v>
      </c>
      <c r="M149">
        <v>22.1933333333333</v>
      </c>
      <c r="N149">
        <v>25.891500000000001</v>
      </c>
      <c r="O149">
        <v>56.038249999999998</v>
      </c>
      <c r="P149">
        <v>80.760999999999996</v>
      </c>
      <c r="Q149">
        <v>99.374333333333297</v>
      </c>
      <c r="S149">
        <v>62.351199999999999</v>
      </c>
      <c r="T149">
        <v>78.061599999999999</v>
      </c>
      <c r="U149">
        <v>56.864750000000001</v>
      </c>
    </row>
    <row r="150" spans="1:21" x14ac:dyDescent="0.2">
      <c r="A150" t="s">
        <v>207</v>
      </c>
      <c r="B150" t="s">
        <v>208</v>
      </c>
      <c r="F150">
        <v>58.555500000000002</v>
      </c>
      <c r="G150">
        <v>78.574615384615399</v>
      </c>
      <c r="H150">
        <v>98.243333333333297</v>
      </c>
      <c r="I150">
        <v>41.736249999999998</v>
      </c>
      <c r="J150">
        <v>48.281799999999997</v>
      </c>
      <c r="K150">
        <v>90.812333333333299</v>
      </c>
      <c r="L150">
        <v>71.177250000000001</v>
      </c>
      <c r="M150">
        <v>68.1011666666667</v>
      </c>
      <c r="O150">
        <v>54.389666666666699</v>
      </c>
      <c r="P150">
        <v>64.737666666666698</v>
      </c>
      <c r="Q150">
        <v>55.4776666666667</v>
      </c>
      <c r="R150">
        <v>61.761499999999998</v>
      </c>
      <c r="S150">
        <v>49.389000000000003</v>
      </c>
      <c r="T150">
        <v>70.554142857142907</v>
      </c>
      <c r="U150">
        <v>56.867249999999999</v>
      </c>
    </row>
    <row r="151" spans="1:21" x14ac:dyDescent="0.2">
      <c r="A151" t="s">
        <v>339</v>
      </c>
      <c r="B151" t="s">
        <v>340</v>
      </c>
      <c r="E151">
        <v>34.910499999999999</v>
      </c>
      <c r="F151">
        <v>24.608000000000001</v>
      </c>
      <c r="G151">
        <v>51.883642857142902</v>
      </c>
      <c r="H151">
        <v>42.603000000000002</v>
      </c>
      <c r="I151">
        <v>41.512999999999998</v>
      </c>
      <c r="J151">
        <v>32.705399999999997</v>
      </c>
      <c r="K151">
        <v>58.661999999999999</v>
      </c>
      <c r="L151">
        <v>41.663800000000002</v>
      </c>
      <c r="M151">
        <v>16.951833333333301</v>
      </c>
      <c r="N151">
        <v>66.396000000000001</v>
      </c>
      <c r="O151">
        <v>30.72475</v>
      </c>
      <c r="P151">
        <v>87.249666666666698</v>
      </c>
      <c r="Q151">
        <v>99.105000000000004</v>
      </c>
      <c r="R151">
        <v>65.632800000000003</v>
      </c>
      <c r="S151">
        <v>49.282499999999999</v>
      </c>
      <c r="T151">
        <v>62.204999999999998</v>
      </c>
      <c r="U151">
        <v>35.137</v>
      </c>
    </row>
    <row r="152" spans="1:21" x14ac:dyDescent="0.2">
      <c r="A152" t="s">
        <v>261</v>
      </c>
      <c r="B152" t="s">
        <v>262</v>
      </c>
      <c r="E152">
        <v>30.123999999999999</v>
      </c>
      <c r="F152">
        <v>61.41375</v>
      </c>
      <c r="G152">
        <v>57.519642857142898</v>
      </c>
      <c r="H152">
        <v>37.404333333333298</v>
      </c>
      <c r="I152">
        <v>44.899500000000003</v>
      </c>
      <c r="J152">
        <v>62.722799999999999</v>
      </c>
      <c r="K152">
        <v>54.5223333333333</v>
      </c>
      <c r="L152">
        <v>69.914500000000004</v>
      </c>
      <c r="M152">
        <v>24.0566666666667</v>
      </c>
      <c r="N152">
        <v>40.402000000000001</v>
      </c>
      <c r="O152">
        <v>63.572499999999998</v>
      </c>
      <c r="P152">
        <v>92.799666666666695</v>
      </c>
      <c r="Q152">
        <v>98.213666666666697</v>
      </c>
      <c r="R152">
        <v>60.304000000000002</v>
      </c>
      <c r="S152">
        <v>75.253249999999994</v>
      </c>
      <c r="T152">
        <v>64.717600000000004</v>
      </c>
      <c r="U152">
        <v>55.548000000000002</v>
      </c>
    </row>
    <row r="153" spans="1:21" x14ac:dyDescent="0.2">
      <c r="A153" t="s">
        <v>147</v>
      </c>
      <c r="B153" t="s">
        <v>148</v>
      </c>
      <c r="E153">
        <v>98.4435</v>
      </c>
      <c r="F153">
        <v>76.105333333333306</v>
      </c>
      <c r="G153">
        <v>94.588214285714301</v>
      </c>
      <c r="H153">
        <v>99.6666666666667</v>
      </c>
      <c r="I153">
        <v>72.650499999999994</v>
      </c>
      <c r="J153">
        <v>64.388999999999996</v>
      </c>
      <c r="K153">
        <v>94.655333333333303</v>
      </c>
      <c r="L153">
        <v>70.177499999999995</v>
      </c>
      <c r="M153">
        <v>90.206833333333293</v>
      </c>
      <c r="O153">
        <v>94.736999999999995</v>
      </c>
      <c r="P153">
        <v>16.312333333333299</v>
      </c>
      <c r="Q153">
        <v>55.483333333333299</v>
      </c>
      <c r="R153">
        <v>43.499400000000001</v>
      </c>
      <c r="S153">
        <v>31.560749999999999</v>
      </c>
      <c r="T153">
        <v>86.882333333333307</v>
      </c>
      <c r="U153">
        <v>43.963000000000001</v>
      </c>
    </row>
    <row r="154" spans="1:21" x14ac:dyDescent="0.2">
      <c r="A154" t="s">
        <v>389</v>
      </c>
      <c r="B154" t="s">
        <v>390</v>
      </c>
    </row>
    <row r="155" spans="1:21" x14ac:dyDescent="0.2">
      <c r="A155" t="s">
        <v>293</v>
      </c>
      <c r="B155" t="s">
        <v>294</v>
      </c>
      <c r="E155">
        <v>20.303000000000001</v>
      </c>
      <c r="F155">
        <v>49.788571428571402</v>
      </c>
      <c r="G155">
        <v>28.801928571428601</v>
      </c>
      <c r="H155">
        <v>67.441000000000003</v>
      </c>
      <c r="I155">
        <v>50.786499999999997</v>
      </c>
      <c r="J155">
        <v>48.162999999999997</v>
      </c>
      <c r="K155">
        <v>9.3510000000000009</v>
      </c>
      <c r="L155">
        <v>59.484999999999999</v>
      </c>
      <c r="M155">
        <v>5.1355000000000004</v>
      </c>
      <c r="N155">
        <v>68.040000000000006</v>
      </c>
      <c r="O155">
        <v>39.738999999999997</v>
      </c>
      <c r="P155">
        <v>95.158000000000001</v>
      </c>
      <c r="Q155">
        <v>99.427666666666696</v>
      </c>
      <c r="R155">
        <v>61.398166666666697</v>
      </c>
      <c r="S155">
        <v>60.283799999999999</v>
      </c>
      <c r="T155">
        <v>59.863</v>
      </c>
      <c r="U155">
        <v>55.59825</v>
      </c>
    </row>
    <row r="156" spans="1:21" x14ac:dyDescent="0.2">
      <c r="A156" t="s">
        <v>165</v>
      </c>
      <c r="B156" t="s">
        <v>166</v>
      </c>
      <c r="E156">
        <v>90.159000000000006</v>
      </c>
      <c r="F156">
        <v>54.954875000000001</v>
      </c>
      <c r="G156">
        <v>78.271071428571403</v>
      </c>
      <c r="H156">
        <v>79.704999999999998</v>
      </c>
      <c r="I156">
        <v>68.514499999999998</v>
      </c>
      <c r="J156">
        <v>75.805599999999998</v>
      </c>
      <c r="K156">
        <v>87.633333333333297</v>
      </c>
      <c r="L156">
        <v>63.323166666666701</v>
      </c>
      <c r="M156">
        <v>20.198833333333301</v>
      </c>
      <c r="N156">
        <v>50.640999999999998</v>
      </c>
      <c r="O156">
        <v>84.526499999999999</v>
      </c>
      <c r="P156">
        <v>86.308000000000007</v>
      </c>
      <c r="Q156">
        <v>93.969666666666697</v>
      </c>
      <c r="R156">
        <v>27.856000000000002</v>
      </c>
      <c r="S156">
        <v>66.718999999999994</v>
      </c>
      <c r="T156">
        <v>61.3626</v>
      </c>
      <c r="U156">
        <v>64.801000000000002</v>
      </c>
    </row>
    <row r="157" spans="1:21" x14ac:dyDescent="0.2">
      <c r="A157" t="s">
        <v>391</v>
      </c>
      <c r="B157" t="s">
        <v>392</v>
      </c>
    </row>
    <row r="158" spans="1:21" x14ac:dyDescent="0.2">
      <c r="A158" t="s">
        <v>343</v>
      </c>
      <c r="B158" t="s">
        <v>344</v>
      </c>
      <c r="E158">
        <v>8.0715000000000003</v>
      </c>
      <c r="F158">
        <v>32.282400000000003</v>
      </c>
      <c r="G158">
        <v>24.975785714285699</v>
      </c>
      <c r="I158">
        <v>19.465333333333302</v>
      </c>
      <c r="J158">
        <v>47.737200000000001</v>
      </c>
      <c r="K158">
        <v>14.560499999999999</v>
      </c>
      <c r="L158">
        <v>53.305750000000003</v>
      </c>
      <c r="M158">
        <v>1.8056666666666701</v>
      </c>
      <c r="N158">
        <v>73.802999999999997</v>
      </c>
      <c r="O158">
        <v>56.819749999999999</v>
      </c>
      <c r="P158">
        <v>89.0762</v>
      </c>
      <c r="Q158">
        <v>99.906000000000006</v>
      </c>
      <c r="R158">
        <v>59.349333333333298</v>
      </c>
      <c r="S158">
        <v>54.654600000000002</v>
      </c>
      <c r="T158">
        <v>52.614833333333301</v>
      </c>
      <c r="U158">
        <v>33.3333333333333</v>
      </c>
    </row>
    <row r="159" spans="1:21" x14ac:dyDescent="0.2">
      <c r="A159" t="s">
        <v>91</v>
      </c>
      <c r="B159" t="s">
        <v>92</v>
      </c>
      <c r="E159">
        <v>99.72</v>
      </c>
      <c r="F159">
        <v>71.179124999999999</v>
      </c>
      <c r="G159">
        <v>82.965142857142794</v>
      </c>
      <c r="H159">
        <v>97.292666666666705</v>
      </c>
      <c r="I159">
        <v>65.001750000000001</v>
      </c>
      <c r="J159">
        <v>73.111400000000003</v>
      </c>
      <c r="K159">
        <v>84.682666666666705</v>
      </c>
      <c r="L159">
        <v>76.227000000000004</v>
      </c>
      <c r="M159">
        <v>51.975000000000001</v>
      </c>
      <c r="N159">
        <v>73.018500000000003</v>
      </c>
      <c r="O159">
        <v>78.729249999999993</v>
      </c>
      <c r="P159">
        <v>76.2053333333333</v>
      </c>
      <c r="Q159">
        <v>85.323333333333295</v>
      </c>
      <c r="S159">
        <v>60.462200000000003</v>
      </c>
      <c r="T159">
        <v>74.9041</v>
      </c>
      <c r="U159">
        <v>75.393500000000003</v>
      </c>
    </row>
    <row r="160" spans="1:21" x14ac:dyDescent="0.2">
      <c r="A160" t="s">
        <v>351</v>
      </c>
      <c r="B160" t="s">
        <v>352</v>
      </c>
      <c r="E160">
        <v>0</v>
      </c>
      <c r="F160">
        <v>23.323499999999999</v>
      </c>
      <c r="G160">
        <v>26.4950714285714</v>
      </c>
      <c r="H160">
        <v>1.6443333333333301</v>
      </c>
      <c r="I160">
        <v>52.054499999999997</v>
      </c>
      <c r="J160">
        <v>40.572800000000001</v>
      </c>
      <c r="K160">
        <v>26.0893333333333</v>
      </c>
      <c r="L160">
        <v>50.898666666666699</v>
      </c>
      <c r="M160">
        <v>2.121</v>
      </c>
      <c r="N160">
        <v>21.175999999999998</v>
      </c>
      <c r="O160">
        <v>13.1045</v>
      </c>
      <c r="P160">
        <v>74.591800000000006</v>
      </c>
      <c r="Q160">
        <v>99.611500000000007</v>
      </c>
      <c r="S160">
        <v>74.720200000000006</v>
      </c>
      <c r="T160">
        <v>46.154000000000003</v>
      </c>
      <c r="U160">
        <v>40.737333333333297</v>
      </c>
    </row>
    <row r="161" spans="1:21" x14ac:dyDescent="0.2">
      <c r="A161" t="s">
        <v>257</v>
      </c>
      <c r="B161" t="s">
        <v>258</v>
      </c>
      <c r="E161">
        <v>22.431000000000001</v>
      </c>
      <c r="F161">
        <v>57.205571428571403</v>
      </c>
      <c r="G161">
        <v>61.754083333333298</v>
      </c>
      <c r="H161">
        <v>83.542000000000002</v>
      </c>
      <c r="I161">
        <v>47.197499999999998</v>
      </c>
      <c r="J161">
        <v>61.174999999999997</v>
      </c>
      <c r="K161">
        <v>41.604500000000002</v>
      </c>
      <c r="L161">
        <v>62.66</v>
      </c>
      <c r="M161">
        <v>19.0398</v>
      </c>
      <c r="N161">
        <v>26.680499999999999</v>
      </c>
      <c r="O161">
        <v>58.329333333333302</v>
      </c>
      <c r="P161">
        <v>76.922833333333301</v>
      </c>
      <c r="Q161">
        <v>96.675333333333398</v>
      </c>
      <c r="R161">
        <v>85.272833333333296</v>
      </c>
      <c r="S161">
        <v>75.334500000000006</v>
      </c>
      <c r="T161">
        <v>76.787499999999994</v>
      </c>
      <c r="U161">
        <v>46.841000000000001</v>
      </c>
    </row>
    <row r="162" spans="1:21" x14ac:dyDescent="0.2">
      <c r="A162" t="s">
        <v>203</v>
      </c>
      <c r="B162" t="s">
        <v>204</v>
      </c>
      <c r="E162">
        <v>52.006999999999998</v>
      </c>
      <c r="F162">
        <v>62.8732857142857</v>
      </c>
      <c r="G162">
        <v>69.669214285714304</v>
      </c>
      <c r="H162">
        <v>68.9286666666667</v>
      </c>
      <c r="I162">
        <v>64.346500000000006</v>
      </c>
      <c r="J162">
        <v>73.400599999999997</v>
      </c>
      <c r="K162">
        <v>89.456333333333404</v>
      </c>
      <c r="L162">
        <v>72.7744</v>
      </c>
      <c r="M162">
        <v>35.34225</v>
      </c>
      <c r="O162">
        <v>85.871250000000003</v>
      </c>
      <c r="P162">
        <v>75.269833333333295</v>
      </c>
      <c r="Q162">
        <v>73.948999999999998</v>
      </c>
      <c r="R162">
        <v>79.581166666666704</v>
      </c>
      <c r="S162">
        <v>77.960800000000006</v>
      </c>
      <c r="T162">
        <v>67.111777777777803</v>
      </c>
      <c r="U162">
        <v>62.204666666666697</v>
      </c>
    </row>
    <row r="163" spans="1:21" x14ac:dyDescent="0.2">
      <c r="A163" t="s">
        <v>65</v>
      </c>
      <c r="B163" t="s">
        <v>66</v>
      </c>
      <c r="E163">
        <v>98.241500000000002</v>
      </c>
      <c r="F163">
        <v>72.012</v>
      </c>
      <c r="G163">
        <v>87.055846153846204</v>
      </c>
      <c r="H163">
        <v>94.221374999999995</v>
      </c>
      <c r="I163">
        <v>71.860500000000002</v>
      </c>
      <c r="J163">
        <v>84.921000000000006</v>
      </c>
      <c r="K163">
        <v>92.514666666666699</v>
      </c>
      <c r="L163">
        <v>80.888999999999996</v>
      </c>
      <c r="M163">
        <v>64.208500000000001</v>
      </c>
      <c r="N163">
        <v>90.947999999999993</v>
      </c>
      <c r="O163">
        <v>86.798500000000004</v>
      </c>
      <c r="P163">
        <v>66.995333333333306</v>
      </c>
      <c r="Q163">
        <v>72.358999999999995</v>
      </c>
      <c r="S163">
        <v>89.628399999999999</v>
      </c>
      <c r="T163">
        <v>81.228333333333296</v>
      </c>
      <c r="U163">
        <v>55.475250000000003</v>
      </c>
    </row>
    <row r="164" spans="1:21" x14ac:dyDescent="0.2">
      <c r="A164" t="s">
        <v>45</v>
      </c>
      <c r="B164" t="s">
        <v>46</v>
      </c>
      <c r="E164">
        <v>99.837999999999994</v>
      </c>
      <c r="F164">
        <v>59.009625</v>
      </c>
      <c r="G164">
        <v>91.823230769230804</v>
      </c>
      <c r="H164">
        <v>99.110666666666702</v>
      </c>
      <c r="I164">
        <v>76.131</v>
      </c>
      <c r="J164">
        <v>92.556600000000003</v>
      </c>
      <c r="K164">
        <v>93.838666666666697</v>
      </c>
      <c r="L164">
        <v>88.141999999999996</v>
      </c>
      <c r="M164">
        <v>73.308999999999997</v>
      </c>
      <c r="N164">
        <v>100</v>
      </c>
      <c r="O164">
        <v>90.256</v>
      </c>
      <c r="P164">
        <v>58.0625</v>
      </c>
      <c r="Q164">
        <v>61.55</v>
      </c>
      <c r="R164">
        <v>64.922799999999995</v>
      </c>
      <c r="S164">
        <v>88.456599999999995</v>
      </c>
      <c r="T164">
        <v>87.956500000000005</v>
      </c>
      <c r="U164">
        <v>62.253250000000001</v>
      </c>
    </row>
    <row r="165" spans="1:21" x14ac:dyDescent="0.2">
      <c r="A165" t="s">
        <v>23</v>
      </c>
      <c r="B165" t="s">
        <v>24</v>
      </c>
      <c r="E165">
        <v>99.384</v>
      </c>
      <c r="F165">
        <v>62.9285</v>
      </c>
      <c r="G165">
        <v>96.465583333333299</v>
      </c>
      <c r="H165">
        <v>99.420041666666705</v>
      </c>
      <c r="I165">
        <v>91.365750000000006</v>
      </c>
      <c r="J165">
        <v>93.391999999999996</v>
      </c>
      <c r="K165">
        <v>98.887</v>
      </c>
      <c r="L165">
        <v>83.271666666666704</v>
      </c>
      <c r="M165">
        <v>97.435333333333404</v>
      </c>
      <c r="N165">
        <v>94.245000000000005</v>
      </c>
      <c r="O165">
        <v>95.292249999999996</v>
      </c>
      <c r="P165">
        <v>56.882666666666701</v>
      </c>
      <c r="Q165">
        <v>65.294333333333299</v>
      </c>
      <c r="R165">
        <v>66.016666666666694</v>
      </c>
      <c r="S165">
        <v>79.903599999999997</v>
      </c>
      <c r="T165">
        <v>86.8386</v>
      </c>
      <c r="U165">
        <v>88.408249999999995</v>
      </c>
    </row>
    <row r="166" spans="1:21" x14ac:dyDescent="0.2">
      <c r="A166" t="s">
        <v>283</v>
      </c>
      <c r="B166" t="s">
        <v>284</v>
      </c>
      <c r="E166">
        <v>29.643999999999998</v>
      </c>
      <c r="F166">
        <v>50.396875000000001</v>
      </c>
      <c r="G166">
        <v>40.901142857142901</v>
      </c>
      <c r="H166">
        <v>66.768000000000001</v>
      </c>
      <c r="I166">
        <v>64.27</v>
      </c>
      <c r="J166">
        <v>45.3718</v>
      </c>
      <c r="K166">
        <v>61.412500000000001</v>
      </c>
      <c r="L166">
        <v>45.432000000000002</v>
      </c>
      <c r="M166">
        <v>14.065</v>
      </c>
      <c r="N166">
        <v>0</v>
      </c>
      <c r="O166">
        <v>78.912000000000006</v>
      </c>
      <c r="P166">
        <v>71.155666666666704</v>
      </c>
      <c r="Q166">
        <v>84.135666666666694</v>
      </c>
      <c r="S166">
        <v>65.202500000000001</v>
      </c>
      <c r="T166">
        <v>59.827111111111101</v>
      </c>
      <c r="U166">
        <v>61.076749999999997</v>
      </c>
    </row>
    <row r="167" spans="1:21" x14ac:dyDescent="0.2">
      <c r="A167" t="s">
        <v>393</v>
      </c>
      <c r="B167" t="s">
        <v>394</v>
      </c>
    </row>
    <row r="168" spans="1:21" x14ac:dyDescent="0.2">
      <c r="A168" t="s">
        <v>279</v>
      </c>
      <c r="B168" t="s">
        <v>280</v>
      </c>
      <c r="F168">
        <v>34.123833333333302</v>
      </c>
      <c r="G168">
        <v>66.597785714285706</v>
      </c>
      <c r="H168">
        <v>56.716999999999999</v>
      </c>
      <c r="I168">
        <v>33.301000000000002</v>
      </c>
      <c r="J168">
        <v>66.355400000000003</v>
      </c>
      <c r="K168">
        <v>86.063666666666705</v>
      </c>
      <c r="L168">
        <v>60.487666666666698</v>
      </c>
      <c r="M168">
        <v>14.410833333333301</v>
      </c>
      <c r="N168">
        <v>46.572000000000003</v>
      </c>
      <c r="O168">
        <v>45.393250000000002</v>
      </c>
      <c r="P168">
        <v>88.177666666666696</v>
      </c>
      <c r="Q168">
        <v>93.052499999999995</v>
      </c>
      <c r="R168">
        <v>50.081000000000003</v>
      </c>
      <c r="S168">
        <v>54.688000000000002</v>
      </c>
      <c r="T168">
        <v>48.847999999999999</v>
      </c>
      <c r="U168">
        <v>48.968666666666699</v>
      </c>
    </row>
    <row r="169" spans="1:21" x14ac:dyDescent="0.2">
      <c r="A169" t="s">
        <v>347</v>
      </c>
      <c r="B169" t="s">
        <v>348</v>
      </c>
      <c r="E169">
        <v>20.73</v>
      </c>
      <c r="F169">
        <v>32.216285714285704</v>
      </c>
      <c r="G169">
        <v>21.5365</v>
      </c>
      <c r="H169">
        <v>14.4646666666667</v>
      </c>
      <c r="I169">
        <v>26.8215</v>
      </c>
      <c r="J169">
        <v>39.9696</v>
      </c>
      <c r="K169">
        <v>2.0390000000000001</v>
      </c>
      <c r="L169">
        <v>55.779600000000002</v>
      </c>
      <c r="M169">
        <v>8.2186666666666692</v>
      </c>
      <c r="N169">
        <v>35.493000000000002</v>
      </c>
      <c r="O169">
        <v>26.78125</v>
      </c>
      <c r="P169">
        <v>90.888666666666694</v>
      </c>
      <c r="Q169">
        <v>99.6815</v>
      </c>
      <c r="S169">
        <v>71.691000000000003</v>
      </c>
      <c r="T169">
        <v>34.695</v>
      </c>
      <c r="U169">
        <v>46.356666666666698</v>
      </c>
    </row>
    <row r="170" spans="1:21" x14ac:dyDescent="0.2">
      <c r="A170" t="s">
        <v>291</v>
      </c>
      <c r="B170" t="s">
        <v>292</v>
      </c>
      <c r="E170">
        <v>18.113</v>
      </c>
      <c r="F170">
        <v>60.415875</v>
      </c>
      <c r="G170">
        <v>42.294071428571399</v>
      </c>
      <c r="H170">
        <v>69.277000000000001</v>
      </c>
      <c r="I170">
        <v>42.451250000000002</v>
      </c>
      <c r="J170">
        <v>49.711199999999998</v>
      </c>
      <c r="K170">
        <v>28.494333333333302</v>
      </c>
      <c r="L170">
        <v>64.168499999999995</v>
      </c>
      <c r="M170">
        <v>14.586166666666699</v>
      </c>
      <c r="N170">
        <v>29.848500000000001</v>
      </c>
      <c r="O170">
        <v>38.875250000000001</v>
      </c>
      <c r="P170">
        <v>93.240333333333297</v>
      </c>
      <c r="Q170">
        <v>98.837000000000003</v>
      </c>
      <c r="R170">
        <v>71.861500000000007</v>
      </c>
      <c r="S170">
        <v>73.201499999999996</v>
      </c>
      <c r="T170">
        <v>53.9951111111111</v>
      </c>
      <c r="U170">
        <v>55.504249999999999</v>
      </c>
    </row>
    <row r="171" spans="1:21" x14ac:dyDescent="0.2">
      <c r="A171" t="s">
        <v>105</v>
      </c>
      <c r="B171" t="s">
        <v>106</v>
      </c>
      <c r="E171">
        <v>100</v>
      </c>
      <c r="F171">
        <v>59.771999999999998</v>
      </c>
      <c r="G171">
        <v>77.826499999999996</v>
      </c>
      <c r="H171">
        <v>89.767666666666699</v>
      </c>
      <c r="I171">
        <v>69.273750000000007</v>
      </c>
      <c r="J171">
        <v>76.923400000000001</v>
      </c>
      <c r="K171">
        <v>83.432666666666705</v>
      </c>
      <c r="L171">
        <v>75.453166666666704</v>
      </c>
      <c r="M171">
        <v>55.155333333333303</v>
      </c>
      <c r="N171">
        <v>61.26</v>
      </c>
      <c r="O171">
        <v>81.672749999999994</v>
      </c>
      <c r="P171">
        <v>77.090666666666706</v>
      </c>
      <c r="Q171">
        <v>87.036000000000001</v>
      </c>
      <c r="R171">
        <v>68.156000000000006</v>
      </c>
      <c r="S171">
        <v>66.503399999999999</v>
      </c>
      <c r="T171">
        <v>70.418999999999997</v>
      </c>
      <c r="U171">
        <v>61.473750000000003</v>
      </c>
    </row>
    <row r="172" spans="1:21" x14ac:dyDescent="0.2">
      <c r="A172" t="s">
        <v>189</v>
      </c>
      <c r="B172" t="s">
        <v>190</v>
      </c>
      <c r="E172">
        <v>89.245999999999995</v>
      </c>
      <c r="F172">
        <v>59.594999999999999</v>
      </c>
      <c r="G172">
        <v>69.208928571428601</v>
      </c>
      <c r="H172">
        <v>97.992666666666693</v>
      </c>
      <c r="I172">
        <v>54.532499999999999</v>
      </c>
      <c r="J172">
        <v>59.65</v>
      </c>
      <c r="K172">
        <v>91.108333333333405</v>
      </c>
      <c r="L172">
        <v>69.380600000000001</v>
      </c>
      <c r="M172">
        <v>11.811</v>
      </c>
      <c r="N172">
        <v>74.563999999999993</v>
      </c>
      <c r="O172">
        <v>77.420749999999998</v>
      </c>
      <c r="P172">
        <v>85.774799999999999</v>
      </c>
      <c r="Q172">
        <v>94.264499999999998</v>
      </c>
      <c r="S172">
        <v>68.892799999999994</v>
      </c>
      <c r="T172">
        <v>73.445374999999999</v>
      </c>
      <c r="U172">
        <v>50.110750000000003</v>
      </c>
    </row>
    <row r="173" spans="1:21" x14ac:dyDescent="0.2">
      <c r="A173" t="s">
        <v>201</v>
      </c>
      <c r="B173" t="s">
        <v>202</v>
      </c>
      <c r="E173">
        <v>29.3735</v>
      </c>
      <c r="F173">
        <v>53.962571428571401</v>
      </c>
      <c r="G173">
        <v>68.733999999999995</v>
      </c>
      <c r="H173">
        <v>88.824883333333304</v>
      </c>
      <c r="I173">
        <v>58.353999999999999</v>
      </c>
      <c r="J173">
        <v>58.629800000000003</v>
      </c>
      <c r="K173">
        <v>81.333666666666701</v>
      </c>
      <c r="L173">
        <v>65.365600000000001</v>
      </c>
      <c r="M173">
        <v>12.4504</v>
      </c>
      <c r="O173">
        <v>80.218999999999994</v>
      </c>
      <c r="P173">
        <v>82.761166666666696</v>
      </c>
      <c r="Q173">
        <v>48.246499999999997</v>
      </c>
      <c r="S173">
        <v>63.843800000000002</v>
      </c>
      <c r="T173">
        <v>73.254125000000002</v>
      </c>
      <c r="U173">
        <v>42.768999999999998</v>
      </c>
    </row>
    <row r="174" spans="1:21" x14ac:dyDescent="0.2">
      <c r="A174" t="s">
        <v>395</v>
      </c>
      <c r="B174" t="s">
        <v>396</v>
      </c>
    </row>
    <row r="175" spans="1:21" x14ac:dyDescent="0.2">
      <c r="A175" t="s">
        <v>397</v>
      </c>
      <c r="B175" t="s">
        <v>398</v>
      </c>
    </row>
    <row r="176" spans="1:21" x14ac:dyDescent="0.2">
      <c r="A176" t="s">
        <v>247</v>
      </c>
      <c r="B176" t="s">
        <v>248</v>
      </c>
      <c r="E176">
        <v>98.531499999999994</v>
      </c>
      <c r="F176">
        <v>55.298499999999997</v>
      </c>
      <c r="G176">
        <v>80.950285714285698</v>
      </c>
      <c r="H176">
        <v>91.126999999999995</v>
      </c>
      <c r="I176">
        <v>65.886750000000006</v>
      </c>
      <c r="J176">
        <v>74.054000000000002</v>
      </c>
      <c r="K176">
        <v>88.5506666666667</v>
      </c>
      <c r="L176">
        <v>75.088499999999996</v>
      </c>
      <c r="M176">
        <v>29.2923333333333</v>
      </c>
      <c r="O176">
        <v>76.747333333333302</v>
      </c>
      <c r="P176">
        <v>65.614333333333306</v>
      </c>
      <c r="Q176">
        <v>29.0625</v>
      </c>
      <c r="R176">
        <v>51.804166666666703</v>
      </c>
      <c r="S176">
        <v>53.686</v>
      </c>
      <c r="T176">
        <v>60.382599999999996</v>
      </c>
      <c r="U176">
        <v>55.473333333333301</v>
      </c>
    </row>
    <row r="177" spans="1:21" x14ac:dyDescent="0.2">
      <c r="A177" t="s">
        <v>135</v>
      </c>
      <c r="B177" t="s">
        <v>136</v>
      </c>
      <c r="E177">
        <v>97.069000000000003</v>
      </c>
      <c r="F177">
        <v>55.104714285714302</v>
      </c>
      <c r="G177">
        <v>76.452785714285696</v>
      </c>
      <c r="H177">
        <v>87.773333333333298</v>
      </c>
      <c r="I177">
        <v>47.430999999999997</v>
      </c>
      <c r="J177">
        <v>63.3262</v>
      </c>
      <c r="K177">
        <v>92.027333333333303</v>
      </c>
      <c r="L177">
        <v>57.965666666666699</v>
      </c>
      <c r="M177">
        <v>42.943666666666701</v>
      </c>
      <c r="N177">
        <v>70.703999999999994</v>
      </c>
      <c r="O177">
        <v>70.928250000000006</v>
      </c>
      <c r="P177">
        <v>86.843833333333293</v>
      </c>
      <c r="Q177">
        <v>90.798666666666705</v>
      </c>
      <c r="R177">
        <v>64.364500000000007</v>
      </c>
      <c r="S177">
        <v>67.494</v>
      </c>
      <c r="T177">
        <v>69.508499999999998</v>
      </c>
      <c r="U177">
        <v>73.804500000000004</v>
      </c>
    </row>
    <row r="178" spans="1:21" x14ac:dyDescent="0.2">
      <c r="A178" t="s">
        <v>436</v>
      </c>
      <c r="B178" t="s">
        <v>164</v>
      </c>
      <c r="E178">
        <v>99.623999999999995</v>
      </c>
      <c r="F178">
        <v>65.067999999999998</v>
      </c>
      <c r="G178">
        <v>82.927999999999997</v>
      </c>
      <c r="H178">
        <v>96.272999999999996</v>
      </c>
      <c r="I178">
        <v>46.329749999999997</v>
      </c>
      <c r="J178">
        <v>75.128399999999999</v>
      </c>
      <c r="K178">
        <v>89.161000000000001</v>
      </c>
      <c r="L178">
        <v>59.060666666666698</v>
      </c>
      <c r="M178">
        <v>60.301499999999997</v>
      </c>
      <c r="N178">
        <v>38.104999999999997</v>
      </c>
      <c r="O178">
        <v>73.987499999999997</v>
      </c>
      <c r="P178">
        <v>79.810833333333406</v>
      </c>
      <c r="Q178">
        <v>86.967666666666702</v>
      </c>
      <c r="R178">
        <v>51.998166666666698</v>
      </c>
      <c r="S178">
        <v>53.259399999999999</v>
      </c>
      <c r="T178">
        <v>66.496444444444407</v>
      </c>
      <c r="U178">
        <v>71.963250000000002</v>
      </c>
    </row>
    <row r="179" spans="1:21" x14ac:dyDescent="0.2">
      <c r="A179" t="s">
        <v>399</v>
      </c>
      <c r="B179" t="s">
        <v>400</v>
      </c>
    </row>
    <row r="180" spans="1:21" x14ac:dyDescent="0.2">
      <c r="A180" t="s">
        <v>287</v>
      </c>
      <c r="B180" t="s">
        <v>288</v>
      </c>
      <c r="E180">
        <v>18.7605</v>
      </c>
      <c r="F180">
        <v>59.784374999999997</v>
      </c>
      <c r="G180">
        <v>44.318785714285703</v>
      </c>
      <c r="H180">
        <v>53.064999999999998</v>
      </c>
      <c r="I180">
        <v>72.904750000000007</v>
      </c>
      <c r="J180">
        <v>50.101799999999997</v>
      </c>
      <c r="K180">
        <v>34.643999999999998</v>
      </c>
      <c r="L180">
        <v>66.92</v>
      </c>
      <c r="M180">
        <v>22.425166666666701</v>
      </c>
      <c r="N180">
        <v>46.791499999999999</v>
      </c>
      <c r="O180">
        <v>63.05</v>
      </c>
      <c r="P180">
        <v>92.164333333333303</v>
      </c>
      <c r="Q180">
        <v>99.216999999999999</v>
      </c>
      <c r="R180">
        <v>75.266499999999994</v>
      </c>
      <c r="S180">
        <v>60.3444</v>
      </c>
      <c r="T180">
        <v>54.285899999999998</v>
      </c>
      <c r="U180">
        <v>45.302750000000003</v>
      </c>
    </row>
    <row r="181" spans="1:21" x14ac:dyDescent="0.2">
      <c r="A181" t="s">
        <v>301</v>
      </c>
      <c r="B181" t="s">
        <v>302</v>
      </c>
      <c r="E181">
        <v>23.664000000000001</v>
      </c>
      <c r="F181">
        <v>64.421428571428606</v>
      </c>
      <c r="G181">
        <v>47.9220714285714</v>
      </c>
      <c r="H181">
        <v>60.499000000000002</v>
      </c>
      <c r="I181">
        <v>60.577249999999999</v>
      </c>
      <c r="J181">
        <v>44.933799999999998</v>
      </c>
      <c r="K181">
        <v>18.454499999999999</v>
      </c>
      <c r="L181">
        <v>62.1905</v>
      </c>
      <c r="M181">
        <v>28.4806666666667</v>
      </c>
      <c r="N181">
        <v>39.457999999999998</v>
      </c>
      <c r="O181">
        <v>43.779499999999999</v>
      </c>
      <c r="P181">
        <v>88.549000000000007</v>
      </c>
      <c r="Q181">
        <v>99.229333333333301</v>
      </c>
      <c r="S181">
        <v>63.533000000000001</v>
      </c>
      <c r="T181">
        <v>47.980600000000003</v>
      </c>
      <c r="U181">
        <v>47.100250000000003</v>
      </c>
    </row>
    <row r="182" spans="1:21" x14ac:dyDescent="0.2">
      <c r="A182" t="s">
        <v>95</v>
      </c>
      <c r="B182" t="s">
        <v>96</v>
      </c>
      <c r="E182">
        <v>99.774000000000001</v>
      </c>
      <c r="F182">
        <v>63.821624999999997</v>
      </c>
      <c r="G182">
        <v>75.911142857142906</v>
      </c>
      <c r="H182">
        <v>91.917666666666705</v>
      </c>
      <c r="I182">
        <v>67.210999999999999</v>
      </c>
      <c r="J182">
        <v>78.688999999999993</v>
      </c>
      <c r="K182">
        <v>91.711666666666702</v>
      </c>
      <c r="L182">
        <v>71.707833333333298</v>
      </c>
      <c r="M182">
        <v>39.0075</v>
      </c>
      <c r="N182">
        <v>98.811000000000007</v>
      </c>
      <c r="O182">
        <v>75.473749999999995</v>
      </c>
      <c r="P182">
        <v>81.846833333333294</v>
      </c>
      <c r="Q182">
        <v>86.463999999999999</v>
      </c>
      <c r="R182">
        <v>58.004166666666698</v>
      </c>
      <c r="S182">
        <v>63.6828</v>
      </c>
      <c r="T182">
        <v>65.385300000000001</v>
      </c>
      <c r="U182">
        <v>74.259</v>
      </c>
    </row>
    <row r="183" spans="1:21" x14ac:dyDescent="0.2">
      <c r="A183" t="s">
        <v>83</v>
      </c>
      <c r="B183" t="s">
        <v>84</v>
      </c>
      <c r="E183">
        <v>99.932000000000002</v>
      </c>
      <c r="F183">
        <v>67.540875</v>
      </c>
      <c r="G183">
        <v>82.819461538461596</v>
      </c>
      <c r="H183">
        <v>88.769000000000005</v>
      </c>
      <c r="I183">
        <v>73.439750000000004</v>
      </c>
      <c r="J183">
        <v>78.3142</v>
      </c>
      <c r="K183">
        <v>96.891666666666694</v>
      </c>
      <c r="L183">
        <v>75.407833333333301</v>
      </c>
      <c r="M183">
        <v>45.055833333333297</v>
      </c>
      <c r="N183">
        <v>49.453499999999998</v>
      </c>
      <c r="O183">
        <v>90.046666666666695</v>
      </c>
      <c r="P183">
        <v>61.883666666666699</v>
      </c>
      <c r="Q183">
        <v>85.9613333333333</v>
      </c>
      <c r="R183">
        <v>61.643000000000001</v>
      </c>
      <c r="S183">
        <v>58.8142</v>
      </c>
      <c r="T183">
        <v>73.253200000000007</v>
      </c>
      <c r="U183">
        <v>78.062333333333299</v>
      </c>
    </row>
    <row r="184" spans="1:21" x14ac:dyDescent="0.2">
      <c r="A184" t="s">
        <v>97</v>
      </c>
      <c r="B184" t="s">
        <v>98</v>
      </c>
      <c r="E184">
        <v>99.233500000000006</v>
      </c>
      <c r="F184">
        <v>69.135374999999996</v>
      </c>
      <c r="G184">
        <v>88.681642857142904</v>
      </c>
      <c r="H184">
        <v>99.241375000000005</v>
      </c>
      <c r="I184">
        <v>74.352000000000004</v>
      </c>
      <c r="J184">
        <v>84.271799999999999</v>
      </c>
      <c r="K184">
        <v>93.531000000000006</v>
      </c>
      <c r="L184">
        <v>76.600166666666695</v>
      </c>
      <c r="M184">
        <v>93.947166666666703</v>
      </c>
      <c r="N184">
        <v>46.956000000000003</v>
      </c>
      <c r="O184">
        <v>92.593000000000004</v>
      </c>
      <c r="P184">
        <v>53.583500000000001</v>
      </c>
      <c r="Q184">
        <v>52.6636666666667</v>
      </c>
      <c r="R184">
        <v>64.618666666666698</v>
      </c>
      <c r="S184">
        <v>60.594200000000001</v>
      </c>
      <c r="T184">
        <v>73.345699999999994</v>
      </c>
      <c r="U184">
        <v>68.8155</v>
      </c>
    </row>
    <row r="185" spans="1:21" x14ac:dyDescent="0.2">
      <c r="A185" t="s">
        <v>157</v>
      </c>
      <c r="B185" t="s">
        <v>158</v>
      </c>
      <c r="E185">
        <v>75.784499999999994</v>
      </c>
      <c r="F185">
        <v>65.3818571428571</v>
      </c>
      <c r="G185">
        <v>78.214357142857097</v>
      </c>
      <c r="H185">
        <v>97.399333333333303</v>
      </c>
      <c r="I185">
        <v>73.114500000000007</v>
      </c>
      <c r="J185">
        <v>58.3596</v>
      </c>
      <c r="K185">
        <v>87.047333333333398</v>
      </c>
      <c r="L185">
        <v>62.424500000000002</v>
      </c>
      <c r="M185">
        <v>27.628833333333301</v>
      </c>
      <c r="N185">
        <v>51.165999999999997</v>
      </c>
      <c r="O185">
        <v>75.944000000000003</v>
      </c>
      <c r="P185">
        <v>91.454800000000006</v>
      </c>
      <c r="Q185">
        <v>93.114666666666693</v>
      </c>
      <c r="S185">
        <v>60.653199999999998</v>
      </c>
      <c r="T185">
        <v>74.368624999999994</v>
      </c>
      <c r="U185">
        <v>56.286499999999997</v>
      </c>
    </row>
    <row r="186" spans="1:21" x14ac:dyDescent="0.2">
      <c r="A186" t="s">
        <v>401</v>
      </c>
      <c r="B186" t="s">
        <v>402</v>
      </c>
    </row>
    <row r="187" spans="1:21" x14ac:dyDescent="0.2">
      <c r="A187" t="s">
        <v>253</v>
      </c>
      <c r="B187" t="s">
        <v>254</v>
      </c>
      <c r="E187">
        <v>13.244</v>
      </c>
      <c r="F187">
        <v>43.225857142857102</v>
      </c>
      <c r="G187">
        <v>65.286785714285699</v>
      </c>
      <c r="H187">
        <v>82.244666666666703</v>
      </c>
      <c r="I187">
        <v>66.278000000000006</v>
      </c>
      <c r="J187">
        <v>78.134799999999998</v>
      </c>
      <c r="K187">
        <v>92.111999999999995</v>
      </c>
      <c r="L187">
        <v>70.762799999999999</v>
      </c>
      <c r="M187">
        <v>32.317333333333302</v>
      </c>
      <c r="N187">
        <v>21.608000000000001</v>
      </c>
      <c r="O187">
        <v>47.579666666666697</v>
      </c>
      <c r="P187">
        <v>81.572500000000005</v>
      </c>
      <c r="Q187">
        <v>85.691999999999993</v>
      </c>
      <c r="R187">
        <v>64.511666666666699</v>
      </c>
      <c r="S187">
        <v>69.027000000000001</v>
      </c>
      <c r="T187">
        <v>34.133777777777802</v>
      </c>
      <c r="U187">
        <v>60.781999999999996</v>
      </c>
    </row>
    <row r="188" spans="1:21" x14ac:dyDescent="0.2">
      <c r="A188" t="s">
        <v>129</v>
      </c>
      <c r="B188" t="s">
        <v>130</v>
      </c>
      <c r="E188">
        <v>95.142499999999998</v>
      </c>
      <c r="F188">
        <v>71.032624999999996</v>
      </c>
      <c r="G188">
        <v>72.467428571428599</v>
      </c>
      <c r="H188">
        <v>97.107666666666702</v>
      </c>
      <c r="I188">
        <v>72.203249999999997</v>
      </c>
      <c r="J188">
        <v>73.138000000000005</v>
      </c>
      <c r="K188">
        <v>83.200333333333305</v>
      </c>
      <c r="L188">
        <v>72.149166666666702</v>
      </c>
      <c r="M188">
        <v>43.975666666666697</v>
      </c>
      <c r="N188">
        <v>70.499499999999998</v>
      </c>
      <c r="O188">
        <v>80.116249999999994</v>
      </c>
      <c r="P188">
        <v>91.899666666666704</v>
      </c>
      <c r="Q188">
        <v>93.97</v>
      </c>
      <c r="R188">
        <v>49.192166666666701</v>
      </c>
      <c r="S188">
        <v>46.689</v>
      </c>
      <c r="T188">
        <v>65.959999999999994</v>
      </c>
      <c r="U188">
        <v>59.681249999999999</v>
      </c>
    </row>
    <row r="189" spans="1:21" x14ac:dyDescent="0.2">
      <c r="A189" t="s">
        <v>403</v>
      </c>
      <c r="B189" t="s">
        <v>404</v>
      </c>
      <c r="E189">
        <v>52.396999999999998</v>
      </c>
      <c r="F189">
        <v>46.080571428571403</v>
      </c>
      <c r="G189">
        <v>64.413333333333298</v>
      </c>
      <c r="H189">
        <v>73.073333333333295</v>
      </c>
      <c r="I189">
        <v>37.122666666666703</v>
      </c>
      <c r="J189">
        <v>51.84675</v>
      </c>
      <c r="K189">
        <v>34.416499999999999</v>
      </c>
      <c r="L189">
        <v>79.150666666666694</v>
      </c>
      <c r="M189">
        <v>31.470500000000001</v>
      </c>
      <c r="N189">
        <v>62.270499999999998</v>
      </c>
      <c r="O189">
        <v>85.555999999999997</v>
      </c>
      <c r="P189">
        <v>66.106833333333299</v>
      </c>
      <c r="Q189">
        <v>96.003</v>
      </c>
      <c r="R189">
        <v>68.516666666666694</v>
      </c>
      <c r="S189">
        <v>52.825000000000003</v>
      </c>
      <c r="T189">
        <v>68.416166666666697</v>
      </c>
      <c r="U189">
        <v>59.234999999999999</v>
      </c>
    </row>
    <row r="190" spans="1:21" x14ac:dyDescent="0.2">
      <c r="A190" t="s">
        <v>405</v>
      </c>
      <c r="B190" t="s">
        <v>406</v>
      </c>
    </row>
    <row r="191" spans="1:21" x14ac:dyDescent="0.2">
      <c r="A191" t="s">
        <v>345</v>
      </c>
      <c r="B191" t="s">
        <v>346</v>
      </c>
      <c r="F191">
        <v>40.703714285714298</v>
      </c>
      <c r="G191">
        <v>44.696428571428598</v>
      </c>
      <c r="H191">
        <v>55.689</v>
      </c>
      <c r="I191">
        <v>13.44</v>
      </c>
      <c r="J191">
        <v>38.433799999999998</v>
      </c>
      <c r="K191">
        <v>60.905000000000001</v>
      </c>
      <c r="L191">
        <v>49.2946666666667</v>
      </c>
      <c r="M191">
        <v>8.9401666666666699</v>
      </c>
      <c r="N191">
        <v>48.930500000000002</v>
      </c>
      <c r="O191">
        <v>42.881500000000003</v>
      </c>
      <c r="P191">
        <v>91.545833333333405</v>
      </c>
      <c r="Q191">
        <v>97.463999999999999</v>
      </c>
      <c r="R191">
        <v>77.504999999999995</v>
      </c>
      <c r="S191">
        <v>47.747999999999998</v>
      </c>
      <c r="T191">
        <v>37.058500000000002</v>
      </c>
      <c r="U191">
        <v>51.118333333333297</v>
      </c>
    </row>
    <row r="192" spans="1:21" x14ac:dyDescent="0.2">
      <c r="A192" t="s">
        <v>239</v>
      </c>
      <c r="B192" t="s">
        <v>240</v>
      </c>
      <c r="E192">
        <v>44.186500000000002</v>
      </c>
      <c r="F192">
        <v>58.587499999999999</v>
      </c>
      <c r="G192">
        <v>51.881928571428602</v>
      </c>
      <c r="H192">
        <v>81.096666666666707</v>
      </c>
      <c r="I192">
        <v>83.996250000000003</v>
      </c>
      <c r="J192">
        <v>64.019400000000005</v>
      </c>
      <c r="K192">
        <v>81.325666666666706</v>
      </c>
      <c r="L192">
        <v>60.639666666666699</v>
      </c>
      <c r="M192">
        <v>61.4255</v>
      </c>
      <c r="N192">
        <v>0</v>
      </c>
      <c r="O192">
        <v>78.90625</v>
      </c>
      <c r="P192">
        <v>81.484333333333296</v>
      </c>
      <c r="Q192">
        <v>79.385333333333307</v>
      </c>
      <c r="R192">
        <v>64.602500000000006</v>
      </c>
      <c r="S192">
        <v>58.981999999999999</v>
      </c>
      <c r="T192">
        <v>58.616</v>
      </c>
      <c r="U192">
        <v>74.472999999999999</v>
      </c>
    </row>
    <row r="193" spans="1:21" x14ac:dyDescent="0.2">
      <c r="A193" t="s">
        <v>309</v>
      </c>
      <c r="B193" t="s">
        <v>310</v>
      </c>
      <c r="E193">
        <v>9.2974999999999994</v>
      </c>
      <c r="F193">
        <v>60.968857142857097</v>
      </c>
      <c r="G193">
        <v>48.593642857142903</v>
      </c>
      <c r="H193">
        <v>66.055666666666696</v>
      </c>
      <c r="I193">
        <v>59.292999999999999</v>
      </c>
      <c r="J193">
        <v>51.0242</v>
      </c>
      <c r="K193">
        <v>47.136666666666699</v>
      </c>
      <c r="L193">
        <v>56.783999999999999</v>
      </c>
      <c r="M193">
        <v>17.202999999999999</v>
      </c>
      <c r="N193">
        <v>0.46600000000000003</v>
      </c>
      <c r="O193">
        <v>55.722499999999997</v>
      </c>
      <c r="P193">
        <v>93.203500000000005</v>
      </c>
      <c r="Q193">
        <v>98.111999999999995</v>
      </c>
      <c r="S193">
        <v>69.192999999999998</v>
      </c>
      <c r="T193">
        <v>51.497100000000003</v>
      </c>
      <c r="U193">
        <v>55.09225</v>
      </c>
    </row>
    <row r="194" spans="1:21" x14ac:dyDescent="0.2">
      <c r="A194" t="s">
        <v>295</v>
      </c>
      <c r="B194" t="s">
        <v>296</v>
      </c>
      <c r="F194">
        <v>47.881</v>
      </c>
      <c r="G194">
        <v>43.284714285714301</v>
      </c>
      <c r="H194">
        <v>82.089666666666702</v>
      </c>
      <c r="I194">
        <v>78.370500000000007</v>
      </c>
      <c r="J194">
        <v>49.406999999999996</v>
      </c>
      <c r="K194">
        <v>47.021333333333303</v>
      </c>
      <c r="L194">
        <v>61.496499999999997</v>
      </c>
      <c r="M194">
        <v>17.817799999999998</v>
      </c>
      <c r="N194">
        <v>34.073999999999998</v>
      </c>
      <c r="O194">
        <v>58.692</v>
      </c>
      <c r="P194">
        <v>94.748500000000007</v>
      </c>
      <c r="Q194">
        <v>97.182666666666705</v>
      </c>
      <c r="S194">
        <v>77.3994</v>
      </c>
      <c r="T194">
        <v>49.215499999999999</v>
      </c>
      <c r="U194">
        <v>60.246000000000002</v>
      </c>
    </row>
    <row r="195" spans="1:21" x14ac:dyDescent="0.2">
      <c r="A195" t="s">
        <v>407</v>
      </c>
      <c r="B195" t="s">
        <v>408</v>
      </c>
      <c r="E195">
        <v>94.880499999999998</v>
      </c>
      <c r="F195">
        <v>57.769142857142903</v>
      </c>
      <c r="G195">
        <v>74.467285714285694</v>
      </c>
      <c r="H195">
        <v>92.748999999999995</v>
      </c>
      <c r="I195">
        <v>61.264499999999998</v>
      </c>
      <c r="J195">
        <v>68.965000000000003</v>
      </c>
      <c r="K195">
        <v>87.534333333333294</v>
      </c>
      <c r="L195">
        <v>68.671333333333294</v>
      </c>
      <c r="M195">
        <v>46.55</v>
      </c>
      <c r="N195">
        <v>71.955500000000001</v>
      </c>
      <c r="O195">
        <v>73.393000000000001</v>
      </c>
      <c r="P195">
        <v>80.139666666666699</v>
      </c>
      <c r="Q195">
        <v>82.084666666666706</v>
      </c>
      <c r="S195">
        <v>65.510800000000003</v>
      </c>
      <c r="T195">
        <v>61.084555555555603</v>
      </c>
      <c r="U195">
        <v>65.266000000000005</v>
      </c>
    </row>
    <row r="196" spans="1:21" x14ac:dyDescent="0.2">
      <c r="A196" t="s">
        <v>409</v>
      </c>
      <c r="B196" t="s">
        <v>410</v>
      </c>
      <c r="E196">
        <v>79.069500000000005</v>
      </c>
      <c r="F196">
        <v>65.100250000000003</v>
      </c>
      <c r="G196">
        <v>69.0749285714286</v>
      </c>
      <c r="H196">
        <v>89.970333333333301</v>
      </c>
      <c r="I196">
        <v>55.713000000000001</v>
      </c>
      <c r="J196">
        <v>62.945999999999998</v>
      </c>
      <c r="K196">
        <v>72.656999999999996</v>
      </c>
      <c r="L196">
        <v>69.557833333333306</v>
      </c>
      <c r="M196">
        <v>54.789166666666702</v>
      </c>
      <c r="N196">
        <v>28.6815</v>
      </c>
      <c r="O196">
        <v>64.653750000000002</v>
      </c>
      <c r="P196">
        <v>89.328166666666704</v>
      </c>
      <c r="Q196">
        <v>92.137</v>
      </c>
      <c r="R196">
        <v>59.342333333333301</v>
      </c>
      <c r="S196">
        <v>51.407800000000002</v>
      </c>
      <c r="T196">
        <v>63.0824</v>
      </c>
      <c r="U196">
        <v>50.225499999999997</v>
      </c>
    </row>
    <row r="197" spans="1:21" x14ac:dyDescent="0.2">
      <c r="A197" t="s">
        <v>411</v>
      </c>
      <c r="B197" t="s">
        <v>412</v>
      </c>
      <c r="E197">
        <v>79.245999999999995</v>
      </c>
      <c r="F197">
        <v>63.70675</v>
      </c>
      <c r="G197">
        <v>75.597571428571399</v>
      </c>
      <c r="H197">
        <v>87.724999999999994</v>
      </c>
      <c r="I197">
        <v>71.519750000000002</v>
      </c>
      <c r="J197">
        <v>80.575199999999995</v>
      </c>
      <c r="K197">
        <v>88.947000000000003</v>
      </c>
      <c r="L197">
        <v>66.422499999999999</v>
      </c>
      <c r="M197">
        <v>45.210500000000003</v>
      </c>
      <c r="N197">
        <v>16.076000000000001</v>
      </c>
      <c r="O197">
        <v>75.08175</v>
      </c>
      <c r="P197">
        <v>79.844333333333296</v>
      </c>
      <c r="Q197">
        <v>91.838999999999999</v>
      </c>
      <c r="R197">
        <v>56.198166666666701</v>
      </c>
      <c r="S197">
        <v>59.997</v>
      </c>
      <c r="T197">
        <v>59.531599999999997</v>
      </c>
      <c r="U197">
        <v>68.276499999999999</v>
      </c>
    </row>
    <row r="198" spans="1:21" x14ac:dyDescent="0.2">
      <c r="A198" t="s">
        <v>413</v>
      </c>
      <c r="B198" t="s">
        <v>414</v>
      </c>
      <c r="E198">
        <v>87.592500000000001</v>
      </c>
      <c r="F198">
        <v>61.610500000000002</v>
      </c>
      <c r="G198">
        <v>72.901142857142901</v>
      </c>
      <c r="H198">
        <v>84.991666666666703</v>
      </c>
      <c r="I198">
        <v>42.244500000000002</v>
      </c>
      <c r="J198">
        <v>57.504199999999997</v>
      </c>
      <c r="K198">
        <v>87.553333333333299</v>
      </c>
      <c r="L198">
        <v>62.106999999999999</v>
      </c>
      <c r="M198">
        <v>46.222333333333303</v>
      </c>
      <c r="N198">
        <v>61.985999999999997</v>
      </c>
      <c r="O198">
        <v>64.275499999999994</v>
      </c>
      <c r="P198">
        <v>83.457499999999996</v>
      </c>
      <c r="Q198">
        <v>83.146333333333303</v>
      </c>
      <c r="R198">
        <v>59.552999999999997</v>
      </c>
      <c r="S198">
        <v>55.774999999999999</v>
      </c>
      <c r="T198">
        <v>66.631124999999997</v>
      </c>
      <c r="U198">
        <v>63.149333333333303</v>
      </c>
    </row>
    <row r="199" spans="1:21" x14ac:dyDescent="0.2">
      <c r="A199" t="s">
        <v>415</v>
      </c>
      <c r="B199" t="s">
        <v>416</v>
      </c>
      <c r="E199">
        <v>34.152000000000001</v>
      </c>
      <c r="F199">
        <v>34.269599999999997</v>
      </c>
      <c r="G199">
        <v>47.2754166666667</v>
      </c>
      <c r="H199">
        <v>65.254000000000005</v>
      </c>
      <c r="I199">
        <v>43.688333333333297</v>
      </c>
      <c r="J199">
        <v>13.683999999999999</v>
      </c>
      <c r="K199">
        <v>38.241</v>
      </c>
      <c r="L199">
        <v>70.382999999999996</v>
      </c>
      <c r="M199">
        <v>10.83675</v>
      </c>
      <c r="N199">
        <v>33.768500000000003</v>
      </c>
      <c r="O199">
        <v>76.470500000000001</v>
      </c>
      <c r="P199">
        <v>67.141499999999994</v>
      </c>
      <c r="Q199">
        <v>97.7</v>
      </c>
      <c r="R199">
        <v>59.486800000000002</v>
      </c>
      <c r="S199">
        <v>49.347333333333303</v>
      </c>
      <c r="T199">
        <v>62.545250000000003</v>
      </c>
      <c r="U199">
        <v>47.100499999999997</v>
      </c>
    </row>
    <row r="200" spans="1:21" x14ac:dyDescent="0.2">
      <c r="A200" t="s">
        <v>417</v>
      </c>
      <c r="B200" t="s">
        <v>418</v>
      </c>
      <c r="E200">
        <v>97.888499999999993</v>
      </c>
      <c r="F200">
        <v>69.367125000000001</v>
      </c>
      <c r="G200">
        <v>89.001923076923106</v>
      </c>
      <c r="H200">
        <v>92.368484848484897</v>
      </c>
      <c r="I200">
        <v>74.22475</v>
      </c>
      <c r="J200">
        <v>84.175200000000004</v>
      </c>
      <c r="K200">
        <v>92.593666666666707</v>
      </c>
      <c r="L200">
        <v>77.25</v>
      </c>
      <c r="M200">
        <v>87.698333333333295</v>
      </c>
      <c r="N200">
        <v>57.741500000000002</v>
      </c>
      <c r="O200">
        <v>88.251750000000001</v>
      </c>
      <c r="P200">
        <v>62.630666666666698</v>
      </c>
      <c r="Q200">
        <v>65.906999999999996</v>
      </c>
      <c r="R200">
        <v>60.917666666666697</v>
      </c>
      <c r="S200">
        <v>65.873000000000005</v>
      </c>
      <c r="T200">
        <v>76.598200000000006</v>
      </c>
      <c r="U200">
        <v>70.042000000000002</v>
      </c>
    </row>
    <row r="201" spans="1:21" x14ac:dyDescent="0.2">
      <c r="A201" t="s">
        <v>419</v>
      </c>
      <c r="B201" t="s">
        <v>420</v>
      </c>
      <c r="E201">
        <v>59.3825</v>
      </c>
      <c r="F201">
        <v>51.510857142857098</v>
      </c>
      <c r="G201">
        <v>63.9464166666667</v>
      </c>
      <c r="H201">
        <v>82.837000000000003</v>
      </c>
      <c r="I201">
        <v>62.895000000000003</v>
      </c>
      <c r="J201">
        <v>62.353400000000001</v>
      </c>
      <c r="K201">
        <v>67.638000000000005</v>
      </c>
      <c r="L201">
        <v>71.241666666666703</v>
      </c>
      <c r="M201">
        <v>35.043999999999997</v>
      </c>
      <c r="N201">
        <v>33.825499999999998</v>
      </c>
      <c r="O201">
        <v>76.988</v>
      </c>
      <c r="P201">
        <v>72.628</v>
      </c>
      <c r="Q201">
        <v>76.832999999999998</v>
      </c>
      <c r="R201">
        <v>66.646333333333303</v>
      </c>
      <c r="S201">
        <v>56.96</v>
      </c>
      <c r="T201">
        <v>64.497666666666703</v>
      </c>
      <c r="U201">
        <v>56.617249999999999</v>
      </c>
    </row>
    <row r="202" spans="1:21" x14ac:dyDescent="0.2">
      <c r="A202" t="s">
        <v>421</v>
      </c>
      <c r="B202" t="s">
        <v>422</v>
      </c>
      <c r="E202">
        <v>21.4785</v>
      </c>
      <c r="F202">
        <v>57.578874999999996</v>
      </c>
      <c r="G202">
        <v>40.695357142857098</v>
      </c>
      <c r="H202">
        <v>49.601999999999997</v>
      </c>
      <c r="I202">
        <v>52.215000000000003</v>
      </c>
      <c r="J202">
        <v>50.318199999999997</v>
      </c>
      <c r="K202">
        <v>39.398000000000003</v>
      </c>
      <c r="L202">
        <v>59.398166666666697</v>
      </c>
      <c r="M202">
        <v>21.5178333333333</v>
      </c>
      <c r="N202">
        <v>25.544499999999999</v>
      </c>
      <c r="O202">
        <v>47.247250000000001</v>
      </c>
      <c r="P202">
        <v>91.287833333333296</v>
      </c>
      <c r="Q202">
        <v>97.582999999999998</v>
      </c>
      <c r="R202">
        <v>66.204833333333298</v>
      </c>
      <c r="S202">
        <v>66.209000000000003</v>
      </c>
      <c r="T202">
        <v>50.184800000000003</v>
      </c>
      <c r="U202">
        <v>46.292749999999998</v>
      </c>
    </row>
    <row r="203" spans="1:21" x14ac:dyDescent="0.2">
      <c r="A203" t="s">
        <v>423</v>
      </c>
      <c r="B203" t="s">
        <v>424</v>
      </c>
      <c r="E203">
        <v>18.077000000000002</v>
      </c>
      <c r="F203">
        <v>54.290125000000003</v>
      </c>
      <c r="G203">
        <v>42.657928571428599</v>
      </c>
      <c r="H203">
        <v>47.216333333333303</v>
      </c>
      <c r="I203">
        <v>46.429000000000002</v>
      </c>
      <c r="J203">
        <v>45.261600000000001</v>
      </c>
      <c r="K203">
        <v>42.337000000000003</v>
      </c>
      <c r="L203">
        <v>52.461666666666702</v>
      </c>
      <c r="M203">
        <v>11.2608333333333</v>
      </c>
      <c r="N203">
        <v>48.554499999999997</v>
      </c>
      <c r="O203">
        <v>46.0625</v>
      </c>
      <c r="P203">
        <v>91.237499999999997</v>
      </c>
      <c r="Q203">
        <v>99.089666666666702</v>
      </c>
      <c r="R203">
        <v>68.735333333333301</v>
      </c>
      <c r="S203">
        <v>61.190399999999997</v>
      </c>
      <c r="T203">
        <v>48.746200000000002</v>
      </c>
      <c r="U203">
        <v>42.722999999999999</v>
      </c>
    </row>
    <row r="204" spans="1:21" x14ac:dyDescent="0.2">
      <c r="A204" t="s">
        <v>425</v>
      </c>
      <c r="B204" t="s">
        <v>426</v>
      </c>
      <c r="E204">
        <v>58.029000000000003</v>
      </c>
      <c r="F204">
        <v>56.780374999999999</v>
      </c>
      <c r="G204">
        <v>57.455357142857103</v>
      </c>
      <c r="H204">
        <v>78.900000000000006</v>
      </c>
      <c r="I204">
        <v>43.625</v>
      </c>
      <c r="J204">
        <v>57.805599999999998</v>
      </c>
      <c r="K204">
        <v>65.276666666666699</v>
      </c>
      <c r="L204">
        <v>66.671999999999997</v>
      </c>
      <c r="M204">
        <v>36.203666666666699</v>
      </c>
      <c r="N204">
        <v>30.079000000000001</v>
      </c>
      <c r="O204">
        <v>54.201250000000002</v>
      </c>
      <c r="P204">
        <v>91.590999999999994</v>
      </c>
      <c r="Q204">
        <v>96.189666666666696</v>
      </c>
      <c r="R204">
        <v>61.629166666666698</v>
      </c>
      <c r="S204">
        <v>57.363199999999999</v>
      </c>
      <c r="T204">
        <v>58.311</v>
      </c>
      <c r="U204">
        <v>50.765000000000001</v>
      </c>
    </row>
    <row r="205" spans="1:21" x14ac:dyDescent="0.2">
      <c r="A205" t="s">
        <v>427</v>
      </c>
      <c r="B205" t="s">
        <v>428</v>
      </c>
      <c r="E205">
        <v>92.108500000000006</v>
      </c>
      <c r="F205">
        <v>71.605374999999995</v>
      </c>
      <c r="G205">
        <v>78.1960714285714</v>
      </c>
      <c r="H205">
        <v>94.504000000000005</v>
      </c>
      <c r="I205">
        <v>70.861249999999998</v>
      </c>
      <c r="J205">
        <v>71.242599999999996</v>
      </c>
      <c r="K205">
        <v>81.991333333333301</v>
      </c>
      <c r="L205">
        <v>69.189166666666694</v>
      </c>
      <c r="M205">
        <v>64.533000000000001</v>
      </c>
      <c r="N205">
        <v>24.817</v>
      </c>
      <c r="O205">
        <v>76.517250000000004</v>
      </c>
      <c r="P205">
        <v>84.104833333333303</v>
      </c>
      <c r="Q205">
        <v>86.852999999999994</v>
      </c>
      <c r="R205">
        <v>57.028500000000001</v>
      </c>
      <c r="S205">
        <v>53.5426</v>
      </c>
      <c r="T205">
        <v>69.025899999999993</v>
      </c>
      <c r="U205">
        <v>57.018749999999997</v>
      </c>
    </row>
    <row r="206" spans="1:21" x14ac:dyDescent="0.2">
      <c r="A206" t="s">
        <v>429</v>
      </c>
      <c r="B206" t="s">
        <v>430</v>
      </c>
      <c r="E206">
        <v>99.165499999999994</v>
      </c>
      <c r="F206">
        <v>70.729249999999993</v>
      </c>
      <c r="G206">
        <v>91.111714285714299</v>
      </c>
      <c r="H206">
        <v>98.427666666666696</v>
      </c>
      <c r="I206">
        <v>74.328500000000005</v>
      </c>
      <c r="J206">
        <v>73.448599999999999</v>
      </c>
      <c r="K206">
        <v>93.126999999999995</v>
      </c>
      <c r="L206">
        <v>80.222833333333298</v>
      </c>
      <c r="M206">
        <v>91.532333333333298</v>
      </c>
      <c r="N206">
        <v>67.876499999999993</v>
      </c>
      <c r="O206">
        <v>89.362499999999997</v>
      </c>
      <c r="P206">
        <v>58.4418333333333</v>
      </c>
      <c r="Q206">
        <v>59.805</v>
      </c>
      <c r="R206">
        <v>61.375</v>
      </c>
      <c r="S206">
        <v>68.299599999999998</v>
      </c>
      <c r="T206">
        <v>80.307199999999995</v>
      </c>
      <c r="U206">
        <v>70.677750000000003</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05"/>
  <sheetViews>
    <sheetView workbookViewId="0">
      <selection activeCell="C1" sqref="C1"/>
    </sheetView>
  </sheetViews>
  <sheetFormatPr defaultRowHeight="15" x14ac:dyDescent="0.25"/>
  <cols>
    <col min="1" max="1" width="13" customWidth="1"/>
    <col min="3" max="3" width="9.140625" style="2"/>
    <col min="4" max="4" width="9.140625" style="3"/>
    <col min="5" max="21" width="11.42578125" style="4" customWidth="1"/>
  </cols>
  <sheetData>
    <row r="1" spans="1:21" ht="45" x14ac:dyDescent="0.25">
      <c r="A1" s="5" t="s">
        <v>0</v>
      </c>
      <c r="B1" s="5" t="s">
        <v>437</v>
      </c>
      <c r="C1" s="6" t="s">
        <v>438</v>
      </c>
      <c r="D1" s="7" t="s">
        <v>439</v>
      </c>
      <c r="E1" s="8" t="s">
        <v>4</v>
      </c>
      <c r="F1" s="8" t="s">
        <v>5</v>
      </c>
      <c r="G1" s="8" t="s">
        <v>6</v>
      </c>
      <c r="H1" s="8" t="s">
        <v>7</v>
      </c>
      <c r="I1" s="8" t="s">
        <v>8</v>
      </c>
      <c r="J1" s="8" t="s">
        <v>9</v>
      </c>
      <c r="K1" s="8" t="s">
        <v>10</v>
      </c>
      <c r="L1" s="8" t="s">
        <v>11</v>
      </c>
      <c r="M1" s="8" t="s">
        <v>12</v>
      </c>
      <c r="N1" s="8" t="s">
        <v>13</v>
      </c>
      <c r="O1" s="8" t="s">
        <v>14</v>
      </c>
      <c r="P1" s="8" t="s">
        <v>15</v>
      </c>
      <c r="Q1" s="8" t="s">
        <v>16</v>
      </c>
      <c r="R1" s="8" t="s">
        <v>17</v>
      </c>
      <c r="S1" s="8" t="s">
        <v>18</v>
      </c>
      <c r="T1" s="8" t="s">
        <v>19</v>
      </c>
      <c r="U1" s="8" t="s">
        <v>20</v>
      </c>
    </row>
    <row r="2" spans="1:21" x14ac:dyDescent="0.25">
      <c r="A2" t="s">
        <v>23</v>
      </c>
      <c r="B2" t="s">
        <v>24</v>
      </c>
      <c r="C2" s="2">
        <v>84.724062669683263</v>
      </c>
      <c r="D2" s="3">
        <v>1</v>
      </c>
      <c r="E2" s="4">
        <v>99.033000000000001</v>
      </c>
      <c r="F2" s="4">
        <v>67.674999999999997</v>
      </c>
      <c r="G2" s="4">
        <v>96.629083333333313</v>
      </c>
      <c r="H2" s="4">
        <v>99.719948717948725</v>
      </c>
      <c r="I2" s="4">
        <v>89.381999999999991</v>
      </c>
      <c r="J2" s="4">
        <v>93.39200000000001</v>
      </c>
      <c r="K2" s="4">
        <v>98.677999999999997</v>
      </c>
      <c r="L2" s="4">
        <v>83.603199999999987</v>
      </c>
      <c r="M2" s="4">
        <v>96.913166666666669</v>
      </c>
      <c r="N2" s="4">
        <v>93.49</v>
      </c>
      <c r="O2" s="4">
        <v>88.846999999999994</v>
      </c>
      <c r="P2" s="4">
        <v>55.901333333333334</v>
      </c>
      <c r="Q2" s="4">
        <v>66.361000000000004</v>
      </c>
      <c r="R2" s="4">
        <v>54.040800000000004</v>
      </c>
      <c r="S2" s="4">
        <v>80.156199999999998</v>
      </c>
      <c r="T2" s="4">
        <v>85.361333333333334</v>
      </c>
      <c r="U2" s="4">
        <v>91.125999999999991</v>
      </c>
    </row>
    <row r="3" spans="1:21" x14ac:dyDescent="0.25">
      <c r="A3" t="s">
        <v>25</v>
      </c>
      <c r="B3" t="s">
        <v>26</v>
      </c>
      <c r="C3" s="2">
        <v>84.558775788264001</v>
      </c>
      <c r="D3" s="3">
        <v>2</v>
      </c>
      <c r="E3" s="4">
        <v>99.579499999999996</v>
      </c>
      <c r="F3" s="4">
        <v>71.409142857142868</v>
      </c>
      <c r="G3" s="4">
        <v>94.493285714285733</v>
      </c>
      <c r="H3" s="4">
        <v>99.102948717948721</v>
      </c>
      <c r="I3" s="4">
        <v>85.96350000000001</v>
      </c>
      <c r="J3" s="4">
        <v>90.917999999999992</v>
      </c>
      <c r="K3" s="4">
        <v>94.214666666666673</v>
      </c>
      <c r="L3" s="4">
        <v>85.275199999999984</v>
      </c>
      <c r="M3" s="4">
        <v>96.853999999999999</v>
      </c>
      <c r="N3" s="4">
        <v>97.546000000000006</v>
      </c>
      <c r="O3" s="4">
        <v>89.348333333333315</v>
      </c>
      <c r="P3" s="4">
        <v>42.624499999999998</v>
      </c>
      <c r="Q3" s="4">
        <v>62.520999999999994</v>
      </c>
      <c r="R3" s="4">
        <v>58.08</v>
      </c>
      <c r="S3" s="4">
        <v>92.936999999999983</v>
      </c>
      <c r="T3" s="4">
        <v>92.764111111111106</v>
      </c>
      <c r="U3" s="4">
        <v>83.867999999999995</v>
      </c>
    </row>
    <row r="4" spans="1:21" x14ac:dyDescent="0.25">
      <c r="A4" t="s">
        <v>21</v>
      </c>
      <c r="B4" t="s">
        <v>22</v>
      </c>
      <c r="C4" s="2">
        <v>83.772759495080081</v>
      </c>
      <c r="D4" s="3">
        <v>3</v>
      </c>
      <c r="E4" s="4">
        <v>99.837999999999994</v>
      </c>
      <c r="F4" s="4">
        <v>61.113000000000007</v>
      </c>
      <c r="G4" s="4">
        <v>94.896857142857158</v>
      </c>
      <c r="H4" s="4">
        <v>98.08194871794872</v>
      </c>
      <c r="I4" s="4">
        <v>91.232249999999993</v>
      </c>
      <c r="J4" s="4">
        <v>94.440599999999989</v>
      </c>
      <c r="K4" s="4">
        <v>96.322000000000003</v>
      </c>
      <c r="L4" s="4">
        <v>85.665400000000005</v>
      </c>
      <c r="M4" s="4">
        <v>93.881500000000003</v>
      </c>
      <c r="N4" s="4">
        <v>96.748999999999995</v>
      </c>
      <c r="O4" s="4">
        <v>85.367999999999995</v>
      </c>
      <c r="P4" s="4">
        <v>54.681333333333328</v>
      </c>
      <c r="Q4" s="4">
        <v>61.098000000000006</v>
      </c>
      <c r="R4" s="4">
        <v>62.779599999999995</v>
      </c>
      <c r="S4" s="4">
        <v>85.05019999999999</v>
      </c>
      <c r="T4" s="4">
        <v>94.458222222222219</v>
      </c>
      <c r="U4" s="4">
        <v>68.480999999999995</v>
      </c>
    </row>
    <row r="5" spans="1:21" x14ac:dyDescent="0.25">
      <c r="A5" t="s">
        <v>31</v>
      </c>
      <c r="B5" t="s">
        <v>32</v>
      </c>
      <c r="C5" s="2">
        <v>81.128541241111833</v>
      </c>
      <c r="D5" s="3">
        <v>4</v>
      </c>
      <c r="E5" s="4">
        <v>99.543000000000006</v>
      </c>
      <c r="F5" s="4">
        <v>70.337857142857146</v>
      </c>
      <c r="G5" s="4">
        <v>92.58442857142856</v>
      </c>
      <c r="H5" s="4">
        <v>99.459282051282045</v>
      </c>
      <c r="I5" s="4">
        <v>86.716500000000011</v>
      </c>
      <c r="J5" s="4">
        <v>85.992599999999996</v>
      </c>
      <c r="K5" s="4">
        <v>96.762666666666675</v>
      </c>
      <c r="L5" s="4">
        <v>78.452600000000004</v>
      </c>
      <c r="M5" s="4">
        <v>86.231333333333339</v>
      </c>
      <c r="N5" s="4">
        <v>83.623000000000005</v>
      </c>
      <c r="O5" s="4">
        <v>89.432000000000002</v>
      </c>
      <c r="P5" s="4">
        <v>57.418000000000006</v>
      </c>
      <c r="Q5" s="4">
        <v>73.943666666666672</v>
      </c>
      <c r="R5" s="4">
        <v>67.637200000000007</v>
      </c>
      <c r="S5" s="4">
        <v>70.802400000000006</v>
      </c>
      <c r="T5" s="4">
        <v>73.976333333333343</v>
      </c>
      <c r="U5" s="4">
        <v>66.272333333333336</v>
      </c>
    </row>
    <row r="6" spans="1:21" x14ac:dyDescent="0.25">
      <c r="A6" t="s">
        <v>27</v>
      </c>
      <c r="B6" t="s">
        <v>28</v>
      </c>
      <c r="C6" s="2">
        <v>80.77438596566833</v>
      </c>
      <c r="D6" s="3">
        <v>5</v>
      </c>
      <c r="E6" s="4">
        <v>99.635999999999996</v>
      </c>
      <c r="F6" s="4">
        <v>70.047714285714278</v>
      </c>
      <c r="G6" s="4">
        <v>93.473142857142861</v>
      </c>
      <c r="H6" s="4">
        <v>98.330615384615385</v>
      </c>
      <c r="I6" s="4">
        <v>77.346000000000004</v>
      </c>
      <c r="J6" s="4">
        <v>84.495800000000003</v>
      </c>
      <c r="K6" s="4">
        <v>93.429333333333332</v>
      </c>
      <c r="L6" s="4">
        <v>84.962599999999995</v>
      </c>
      <c r="M6" s="4">
        <v>92.308333333333337</v>
      </c>
      <c r="N6" s="4">
        <v>82.408000000000001</v>
      </c>
      <c r="O6" s="4">
        <v>88.995000000000005</v>
      </c>
      <c r="P6" s="4">
        <v>52.434333333333335</v>
      </c>
      <c r="Q6" s="4">
        <v>62.437333333333335</v>
      </c>
      <c r="R6" s="4">
        <v>52.420800000000007</v>
      </c>
      <c r="S6" s="4">
        <v>79.328000000000003</v>
      </c>
      <c r="T6" s="4">
        <v>81.89255555555556</v>
      </c>
      <c r="U6" s="4">
        <v>79.218999999999994</v>
      </c>
    </row>
    <row r="7" spans="1:21" x14ac:dyDescent="0.25">
      <c r="A7" t="s">
        <v>33</v>
      </c>
      <c r="B7" t="s">
        <v>34</v>
      </c>
      <c r="C7" s="2">
        <v>80.757919439057687</v>
      </c>
      <c r="D7" s="3">
        <v>6</v>
      </c>
      <c r="E7" s="4">
        <v>99.48</v>
      </c>
      <c r="F7" s="4">
        <v>59.215714285714292</v>
      </c>
      <c r="G7" s="4">
        <v>97.079928571428567</v>
      </c>
      <c r="H7" s="4">
        <v>99.048615384615388</v>
      </c>
      <c r="I7" s="4">
        <v>87.828249999999997</v>
      </c>
      <c r="J7" s="4">
        <v>80.404200000000003</v>
      </c>
      <c r="K7" s="4">
        <v>98.661000000000001</v>
      </c>
      <c r="L7" s="4">
        <v>82.818600000000004</v>
      </c>
      <c r="M7" s="4">
        <v>91.288833333333329</v>
      </c>
      <c r="N7" s="4">
        <v>100</v>
      </c>
      <c r="O7" s="4">
        <v>87.241</v>
      </c>
      <c r="P7" s="4">
        <v>44.540666666666674</v>
      </c>
      <c r="Q7" s="4">
        <v>20.932333333333336</v>
      </c>
      <c r="R7" s="4">
        <v>66.904600000000002</v>
      </c>
      <c r="S7" s="4">
        <v>70.106000000000009</v>
      </c>
      <c r="T7" s="4">
        <v>87.705222222222218</v>
      </c>
      <c r="U7" s="4">
        <v>99.629666666666665</v>
      </c>
    </row>
    <row r="8" spans="1:21" x14ac:dyDescent="0.25">
      <c r="A8" t="s">
        <v>29</v>
      </c>
      <c r="B8" t="s">
        <v>30</v>
      </c>
      <c r="C8" s="2">
        <v>80.698546306830437</v>
      </c>
      <c r="D8" s="3">
        <v>7</v>
      </c>
      <c r="E8" s="4">
        <v>99.192000000000007</v>
      </c>
      <c r="F8" s="4">
        <v>71.622142857142862</v>
      </c>
      <c r="G8" s="4">
        <v>92.054692307692292</v>
      </c>
      <c r="H8" s="4">
        <v>98.219615384615395</v>
      </c>
      <c r="I8" s="4">
        <v>81.967250000000007</v>
      </c>
      <c r="J8" s="4">
        <v>89.599400000000003</v>
      </c>
      <c r="K8" s="4">
        <v>94.124333333333325</v>
      </c>
      <c r="L8" s="4">
        <v>83.285600000000002</v>
      </c>
      <c r="M8" s="4">
        <v>93.39233333333334</v>
      </c>
      <c r="N8" s="4">
        <v>87.417000000000002</v>
      </c>
      <c r="O8" s="4">
        <v>88.40100000000001</v>
      </c>
      <c r="P8" s="4">
        <v>46.713166666666666</v>
      </c>
      <c r="Q8" s="4">
        <v>56.46</v>
      </c>
      <c r="S8" s="4">
        <v>73.018200000000007</v>
      </c>
      <c r="T8" s="4">
        <v>93.722444444444449</v>
      </c>
      <c r="U8" s="4">
        <v>63.345333333333336</v>
      </c>
    </row>
    <row r="9" spans="1:21" x14ac:dyDescent="0.25">
      <c r="A9" t="s">
        <v>435</v>
      </c>
      <c r="B9" t="s">
        <v>36</v>
      </c>
      <c r="C9" s="2">
        <v>80.576676451195866</v>
      </c>
      <c r="D9" s="3">
        <v>8</v>
      </c>
      <c r="E9" s="4">
        <v>99.415000000000006</v>
      </c>
      <c r="F9" s="4">
        <v>63.981142857142864</v>
      </c>
      <c r="G9" s="4">
        <v>90.956071428571434</v>
      </c>
      <c r="H9" s="4">
        <v>97.652615384615387</v>
      </c>
      <c r="I9" s="4">
        <v>72.556250000000006</v>
      </c>
      <c r="J9" s="4">
        <v>85.545600000000007</v>
      </c>
      <c r="K9" s="4">
        <v>91.933333333333337</v>
      </c>
      <c r="L9" s="4">
        <v>85.982399999999998</v>
      </c>
      <c r="M9" s="4">
        <v>78.439000000000007</v>
      </c>
      <c r="N9" s="4">
        <v>92.977000000000004</v>
      </c>
      <c r="O9" s="4">
        <v>89.085333333333324</v>
      </c>
      <c r="P9" s="4">
        <v>69.284333333333336</v>
      </c>
      <c r="Q9" s="4">
        <v>68.921333333333337</v>
      </c>
      <c r="S9" s="4">
        <v>92.056200000000004</v>
      </c>
      <c r="T9" s="4">
        <v>81.563111111111127</v>
      </c>
      <c r="U9" s="4">
        <v>50.113999999999997</v>
      </c>
    </row>
    <row r="10" spans="1:21" x14ac:dyDescent="0.25">
      <c r="A10" t="s">
        <v>59</v>
      </c>
      <c r="B10" t="s">
        <v>60</v>
      </c>
      <c r="C10" s="2">
        <v>80.371472053436776</v>
      </c>
      <c r="D10" s="3">
        <v>9</v>
      </c>
      <c r="E10" s="4">
        <v>99.613</v>
      </c>
      <c r="F10" s="4">
        <v>66.666857142857154</v>
      </c>
      <c r="G10" s="4">
        <v>95.416285714285735</v>
      </c>
      <c r="H10" s="4">
        <v>99.443615384615399</v>
      </c>
      <c r="I10" s="4">
        <v>80.288499999999999</v>
      </c>
      <c r="J10" s="4">
        <v>88.62660000000001</v>
      </c>
      <c r="K10" s="4">
        <v>92.113</v>
      </c>
      <c r="L10" s="4">
        <v>84.082199999999986</v>
      </c>
      <c r="M10" s="4">
        <v>89.903666666666666</v>
      </c>
      <c r="N10" s="4">
        <v>96.213999999999999</v>
      </c>
      <c r="O10" s="4">
        <v>92.578666666666663</v>
      </c>
      <c r="P10" s="4">
        <v>47.709833333333336</v>
      </c>
      <c r="Q10" s="4">
        <v>56.019333333333329</v>
      </c>
      <c r="R10" s="4">
        <v>51.370600000000003</v>
      </c>
      <c r="S10" s="4">
        <v>81.787200000000013</v>
      </c>
      <c r="T10" s="4">
        <v>82.930999999999997</v>
      </c>
      <c r="U10" s="4">
        <v>61.550666666666672</v>
      </c>
    </row>
    <row r="11" spans="1:21" x14ac:dyDescent="0.25">
      <c r="A11" t="s">
        <v>39</v>
      </c>
      <c r="B11" t="s">
        <v>40</v>
      </c>
      <c r="C11" s="2">
        <v>80.061000233426725</v>
      </c>
      <c r="D11" s="3">
        <v>10</v>
      </c>
      <c r="E11" s="4">
        <v>99.704000000000008</v>
      </c>
      <c r="F11" s="4">
        <v>61.508428571428567</v>
      </c>
      <c r="G11" s="4">
        <v>87.099714285714299</v>
      </c>
      <c r="H11" s="4">
        <v>96.722666666666669</v>
      </c>
      <c r="I11" s="4">
        <v>76.333749999999995</v>
      </c>
      <c r="J11" s="4">
        <v>88.497800000000012</v>
      </c>
      <c r="K11" s="4">
        <v>90.22</v>
      </c>
      <c r="L11" s="4">
        <v>88.011600000000016</v>
      </c>
      <c r="M11" s="4">
        <v>74.35466666666666</v>
      </c>
      <c r="N11" s="4">
        <v>79.231000000000009</v>
      </c>
      <c r="O11" s="4">
        <v>91.257333333333335</v>
      </c>
      <c r="P11" s="4">
        <v>59.379333333333328</v>
      </c>
      <c r="Q11" s="4">
        <v>57.701000000000001</v>
      </c>
      <c r="R11" s="4">
        <v>82.593999999999994</v>
      </c>
      <c r="S11" s="4">
        <v>96.241599999999991</v>
      </c>
      <c r="T11" s="4">
        <v>88.662777777777791</v>
      </c>
      <c r="U11" s="4">
        <v>43.51733333333334</v>
      </c>
    </row>
    <row r="12" spans="1:21" x14ac:dyDescent="0.25">
      <c r="A12" t="s">
        <v>57</v>
      </c>
      <c r="B12" t="s">
        <v>58</v>
      </c>
      <c r="C12" s="2">
        <v>79.955404313007236</v>
      </c>
      <c r="D12" s="3">
        <v>11</v>
      </c>
      <c r="E12" s="4">
        <v>99.543000000000006</v>
      </c>
      <c r="F12" s="4">
        <v>69.369285714285724</v>
      </c>
      <c r="G12" s="4">
        <v>92.730166666666662</v>
      </c>
      <c r="H12" s="4">
        <v>98.3666153846154</v>
      </c>
      <c r="I12" s="4">
        <v>85.228999999999985</v>
      </c>
      <c r="J12" s="4">
        <v>71.732200000000006</v>
      </c>
      <c r="K12" s="4">
        <v>93.689333333333323</v>
      </c>
      <c r="L12" s="4">
        <v>82.412599999999998</v>
      </c>
      <c r="M12" s="4">
        <v>89.037999999999997</v>
      </c>
      <c r="N12" s="4">
        <v>94.772000000000006</v>
      </c>
      <c r="O12" s="4">
        <v>83.865333333333339</v>
      </c>
      <c r="P12" s="4">
        <v>55.770166666666675</v>
      </c>
      <c r="Q12" s="4">
        <v>62.818999999999996</v>
      </c>
      <c r="R12" s="4">
        <v>46.58775</v>
      </c>
      <c r="S12" s="4">
        <v>84.319199999999995</v>
      </c>
      <c r="T12" s="4">
        <v>84.862555555555559</v>
      </c>
      <c r="U12" s="4">
        <v>64.135666666666665</v>
      </c>
    </row>
    <row r="13" spans="1:21" x14ac:dyDescent="0.25">
      <c r="A13" t="s">
        <v>45</v>
      </c>
      <c r="B13" t="s">
        <v>46</v>
      </c>
      <c r="C13" s="2">
        <v>79.800248858004736</v>
      </c>
      <c r="D13" s="3">
        <v>12</v>
      </c>
      <c r="E13" s="4">
        <v>99.669499999999999</v>
      </c>
      <c r="F13" s="4">
        <v>66.370285714285728</v>
      </c>
      <c r="G13" s="4">
        <v>91.533461538461552</v>
      </c>
      <c r="H13" s="4">
        <v>97.580666666666673</v>
      </c>
      <c r="I13" s="4">
        <v>77.101249999999993</v>
      </c>
      <c r="J13" s="4">
        <v>92.556600000000017</v>
      </c>
      <c r="K13" s="4">
        <v>93.737000000000009</v>
      </c>
      <c r="L13" s="4">
        <v>88.118799999999993</v>
      </c>
      <c r="M13" s="4">
        <v>73.194999999999993</v>
      </c>
      <c r="N13" s="4">
        <v>100</v>
      </c>
      <c r="O13" s="4">
        <v>83.22966666666666</v>
      </c>
      <c r="P13" s="4">
        <v>57.323000000000008</v>
      </c>
      <c r="Q13" s="4">
        <v>63.559000000000005</v>
      </c>
      <c r="R13" s="4">
        <v>46.266999999999996</v>
      </c>
      <c r="S13" s="4">
        <v>84.881</v>
      </c>
      <c r="T13" s="4">
        <v>86.96833333333332</v>
      </c>
      <c r="U13" s="4">
        <v>54.513666666666666</v>
      </c>
    </row>
    <row r="14" spans="1:21" x14ac:dyDescent="0.25">
      <c r="A14" t="s">
        <v>41</v>
      </c>
      <c r="B14" t="s">
        <v>42</v>
      </c>
      <c r="C14" s="2">
        <v>79.789097030094084</v>
      </c>
      <c r="D14" s="3">
        <v>13</v>
      </c>
      <c r="E14" s="4">
        <v>99.692499999999995</v>
      </c>
      <c r="F14" s="4">
        <v>67.454428571428579</v>
      </c>
      <c r="G14" s="4">
        <v>93.616583333333338</v>
      </c>
      <c r="H14" s="4">
        <v>97.977282051282074</v>
      </c>
      <c r="I14" s="4">
        <v>84.304500000000004</v>
      </c>
      <c r="J14" s="4">
        <v>92.44980000000001</v>
      </c>
      <c r="K14" s="4">
        <v>93.63266666666668</v>
      </c>
      <c r="L14" s="4">
        <v>82.272600000000011</v>
      </c>
      <c r="M14" s="4">
        <v>89.757000000000005</v>
      </c>
      <c r="N14" s="4">
        <v>73.307000000000002</v>
      </c>
      <c r="O14" s="4">
        <v>90.991</v>
      </c>
      <c r="P14" s="4">
        <v>53.301666666666669</v>
      </c>
      <c r="Q14" s="4">
        <v>59.137666666666668</v>
      </c>
      <c r="R14" s="4">
        <v>64.730199999999996</v>
      </c>
      <c r="S14" s="4">
        <v>76.836200000000005</v>
      </c>
      <c r="T14" s="4">
        <v>85.13355555555556</v>
      </c>
      <c r="U14" s="4">
        <v>51.82</v>
      </c>
    </row>
    <row r="15" spans="1:21" x14ac:dyDescent="0.25">
      <c r="A15" t="s">
        <v>53</v>
      </c>
      <c r="B15" t="s">
        <v>54</v>
      </c>
      <c r="C15" s="2">
        <v>79.381031017022195</v>
      </c>
      <c r="D15" s="3">
        <v>14</v>
      </c>
      <c r="E15" s="4">
        <v>99.686000000000007</v>
      </c>
      <c r="F15" s="4">
        <v>75.765714285714282</v>
      </c>
      <c r="G15" s="4">
        <v>93.762714285714281</v>
      </c>
      <c r="H15" s="4">
        <v>99.745948717948707</v>
      </c>
      <c r="I15" s="4">
        <v>73.911749999999998</v>
      </c>
      <c r="J15" s="4">
        <v>87.28540000000001</v>
      </c>
      <c r="K15" s="4">
        <v>93.078999999999994</v>
      </c>
      <c r="L15" s="4">
        <v>86.474600000000009</v>
      </c>
      <c r="M15" s="4">
        <v>81.557500000000005</v>
      </c>
      <c r="N15" s="4">
        <v>84.096000000000004</v>
      </c>
      <c r="O15" s="4">
        <v>86.249333333333325</v>
      </c>
      <c r="P15" s="4">
        <v>44.302166666666665</v>
      </c>
      <c r="Q15" s="4">
        <v>60.244333333333337</v>
      </c>
      <c r="R15" s="4">
        <v>61.343800000000009</v>
      </c>
      <c r="S15" s="4">
        <v>89.651600000000002</v>
      </c>
      <c r="T15" s="4">
        <v>90.572333333333333</v>
      </c>
      <c r="U15" s="4">
        <v>41.749333333333333</v>
      </c>
    </row>
    <row r="16" spans="1:21" x14ac:dyDescent="0.25">
      <c r="A16" t="s">
        <v>49</v>
      </c>
      <c r="B16" t="s">
        <v>50</v>
      </c>
      <c r="C16" s="2">
        <v>79.350896802413288</v>
      </c>
      <c r="D16" s="3">
        <v>15</v>
      </c>
      <c r="E16" s="4">
        <v>99.881</v>
      </c>
      <c r="F16" s="4">
        <v>67.547000000000011</v>
      </c>
      <c r="G16" s="4">
        <v>96.587076923076907</v>
      </c>
      <c r="H16" s="4">
        <v>99.597948717948725</v>
      </c>
      <c r="I16" s="4">
        <v>83.833500000000001</v>
      </c>
      <c r="J16" s="4">
        <v>89.801599999999993</v>
      </c>
      <c r="K16" s="4">
        <v>96.36733333333332</v>
      </c>
      <c r="L16" s="4">
        <v>79.440599999999989</v>
      </c>
      <c r="M16" s="4">
        <v>96.6785</v>
      </c>
      <c r="N16" s="4">
        <v>80.918000000000006</v>
      </c>
      <c r="O16" s="4">
        <v>97.991666666666674</v>
      </c>
      <c r="P16" s="4">
        <v>40.29066666666666</v>
      </c>
      <c r="Q16" s="4">
        <v>61.17733333333333</v>
      </c>
      <c r="S16" s="4">
        <v>65.394800000000004</v>
      </c>
      <c r="T16" s="4">
        <v>82.694111111111113</v>
      </c>
      <c r="U16" s="4">
        <v>51.423333333333339</v>
      </c>
    </row>
    <row r="17" spans="1:21" x14ac:dyDescent="0.25">
      <c r="A17" t="s">
        <v>73</v>
      </c>
      <c r="B17" t="s">
        <v>74</v>
      </c>
      <c r="C17" s="2">
        <v>79.202936130440122</v>
      </c>
      <c r="D17" s="3">
        <v>16</v>
      </c>
      <c r="E17" s="4">
        <v>99.973500000000001</v>
      </c>
      <c r="F17" s="4">
        <v>66.611428571428561</v>
      </c>
      <c r="G17" s="4">
        <v>93.183142857142869</v>
      </c>
      <c r="I17" s="4">
        <v>85.335250000000002</v>
      </c>
      <c r="J17" s="4">
        <v>92.337400000000002</v>
      </c>
      <c r="K17" s="4">
        <v>95.762666666666675</v>
      </c>
      <c r="L17" s="4">
        <v>87.154000000000011</v>
      </c>
      <c r="M17" s="4">
        <v>87.307833333333335</v>
      </c>
      <c r="O17" s="4">
        <v>81.967666666666673</v>
      </c>
      <c r="P17" s="4">
        <v>43.811333333333344</v>
      </c>
      <c r="Q17" s="4">
        <v>68.63600000000001</v>
      </c>
      <c r="R17" s="4">
        <v>61.790600000000005</v>
      </c>
      <c r="S17" s="4">
        <v>49.5458</v>
      </c>
      <c r="T17" s="4">
        <v>91.785222222222217</v>
      </c>
      <c r="U17" s="4">
        <v>68.583666666666673</v>
      </c>
    </row>
    <row r="18" spans="1:21" x14ac:dyDescent="0.25">
      <c r="A18" t="s">
        <v>61</v>
      </c>
      <c r="B18" t="s">
        <v>62</v>
      </c>
      <c r="C18" s="2">
        <v>79.166125228039945</v>
      </c>
      <c r="D18" s="3">
        <v>17</v>
      </c>
      <c r="E18" s="4">
        <v>98.991500000000002</v>
      </c>
      <c r="F18" s="4">
        <v>74.117571428571424</v>
      </c>
      <c r="G18" s="4">
        <v>94.136714285714291</v>
      </c>
      <c r="H18" s="4">
        <v>99.745948717948707</v>
      </c>
      <c r="I18" s="4">
        <v>58.759749999999997</v>
      </c>
      <c r="J18" s="4">
        <v>84.869</v>
      </c>
      <c r="K18" s="4">
        <v>93.51400000000001</v>
      </c>
      <c r="L18" s="4">
        <v>86.831400000000002</v>
      </c>
      <c r="M18" s="4">
        <v>90.409666666666666</v>
      </c>
      <c r="N18" s="4">
        <v>76.935000000000002</v>
      </c>
      <c r="O18" s="4">
        <v>76.673000000000002</v>
      </c>
      <c r="P18" s="4">
        <v>69.090333333333334</v>
      </c>
      <c r="Q18" s="4">
        <v>68.593666666666664</v>
      </c>
      <c r="R18" s="4">
        <v>52.366</v>
      </c>
      <c r="S18" s="4">
        <v>64.836800000000011</v>
      </c>
      <c r="T18" s="4">
        <v>90.430111111111103</v>
      </c>
      <c r="U18" s="4">
        <v>65.523666666666671</v>
      </c>
    </row>
    <row r="19" spans="1:21" x14ac:dyDescent="0.25">
      <c r="A19" t="s">
        <v>87</v>
      </c>
      <c r="B19" t="s">
        <v>88</v>
      </c>
      <c r="C19" s="2">
        <v>78.759140609880319</v>
      </c>
      <c r="D19" s="3">
        <v>18</v>
      </c>
      <c r="E19" s="4">
        <v>99.911500000000004</v>
      </c>
      <c r="F19" s="4">
        <v>61.329000000000008</v>
      </c>
      <c r="G19" s="4">
        <v>83.077571428571432</v>
      </c>
      <c r="H19" s="4">
        <v>95.372333333333344</v>
      </c>
      <c r="I19" s="4">
        <v>80.841999999999999</v>
      </c>
      <c r="J19" s="4">
        <v>79.721400000000003</v>
      </c>
      <c r="K19" s="4">
        <v>89.98</v>
      </c>
      <c r="L19" s="4">
        <v>75.394800000000004</v>
      </c>
      <c r="M19" s="4">
        <v>43.685333333333325</v>
      </c>
      <c r="N19" s="4">
        <v>85.372</v>
      </c>
      <c r="O19" s="4">
        <v>80.406000000000006</v>
      </c>
      <c r="P19" s="4">
        <v>87.67</v>
      </c>
      <c r="Q19" s="4">
        <v>90.656000000000006</v>
      </c>
      <c r="S19" s="4">
        <v>78.7898</v>
      </c>
      <c r="T19" s="4">
        <v>73.198875000000001</v>
      </c>
      <c r="U19" s="4">
        <v>74.581000000000003</v>
      </c>
    </row>
    <row r="20" spans="1:21" x14ac:dyDescent="0.25">
      <c r="A20" t="s">
        <v>43</v>
      </c>
      <c r="B20" t="s">
        <v>44</v>
      </c>
      <c r="C20" s="2">
        <v>78.400594187675082</v>
      </c>
      <c r="D20" s="3">
        <v>19</v>
      </c>
      <c r="E20" s="4">
        <v>98.466000000000008</v>
      </c>
      <c r="F20" s="4">
        <v>68.839285714285722</v>
      </c>
      <c r="G20" s="4">
        <v>86.053357142857152</v>
      </c>
      <c r="H20" s="4">
        <v>88.39266666666667</v>
      </c>
      <c r="I20" s="4">
        <v>61.872250000000001</v>
      </c>
      <c r="J20" s="4">
        <v>86.792600000000007</v>
      </c>
      <c r="K20" s="4">
        <v>89.466000000000008</v>
      </c>
      <c r="L20" s="4">
        <v>81.048000000000002</v>
      </c>
      <c r="M20" s="4">
        <v>62.59</v>
      </c>
      <c r="N20" s="4">
        <v>74.423000000000002</v>
      </c>
      <c r="O20" s="4">
        <v>76.040000000000006</v>
      </c>
      <c r="P20" s="4">
        <v>70.407833333333329</v>
      </c>
      <c r="Q20" s="4">
        <v>79.577333333333343</v>
      </c>
      <c r="R20" s="4">
        <v>79.286599999999993</v>
      </c>
      <c r="S20" s="4">
        <v>84.240800000000007</v>
      </c>
      <c r="T20" s="4">
        <v>73.745874999999998</v>
      </c>
      <c r="U20" s="4">
        <v>71.5685</v>
      </c>
    </row>
    <row r="21" spans="1:21" x14ac:dyDescent="0.25">
      <c r="A21" t="s">
        <v>81</v>
      </c>
      <c r="B21" t="s">
        <v>82</v>
      </c>
      <c r="C21" s="2">
        <v>78.341552887308779</v>
      </c>
      <c r="D21" s="3">
        <v>20</v>
      </c>
      <c r="E21" s="4">
        <v>99.024500000000003</v>
      </c>
      <c r="F21" s="4">
        <v>80.244428571428571</v>
      </c>
      <c r="G21" s="4">
        <v>91.706538461538457</v>
      </c>
      <c r="H21" s="4">
        <v>96.789615384615388</v>
      </c>
      <c r="I21" s="4">
        <v>65.489999999999995</v>
      </c>
      <c r="J21" s="4">
        <v>75.233200000000011</v>
      </c>
      <c r="K21" s="4">
        <v>92.481000000000009</v>
      </c>
      <c r="L21" s="4">
        <v>85.769800000000004</v>
      </c>
      <c r="M21" s="4">
        <v>98.761666666666656</v>
      </c>
      <c r="N21" s="4">
        <v>86.504000000000005</v>
      </c>
      <c r="O21" s="4">
        <v>80.724500000000006</v>
      </c>
      <c r="P21" s="4">
        <v>71.594333333333324</v>
      </c>
      <c r="Q21" s="4">
        <v>65.302999999999997</v>
      </c>
      <c r="R21" s="4">
        <v>58.007000000000005</v>
      </c>
      <c r="S21" s="4">
        <v>54.445400000000006</v>
      </c>
      <c r="T21" s="4">
        <v>75.143749999999997</v>
      </c>
      <c r="U21" s="4">
        <v>54.583666666666666</v>
      </c>
    </row>
    <row r="22" spans="1:21" x14ac:dyDescent="0.25">
      <c r="A22" t="s">
        <v>71</v>
      </c>
      <c r="B22" t="s">
        <v>72</v>
      </c>
      <c r="C22" s="2">
        <v>78.189728043525093</v>
      </c>
      <c r="D22" s="3">
        <v>21</v>
      </c>
      <c r="E22" s="4">
        <v>99.229500000000002</v>
      </c>
      <c r="F22" s="4">
        <v>63.837285714285713</v>
      </c>
      <c r="G22" s="4">
        <v>94.133692307692314</v>
      </c>
      <c r="H22" s="4">
        <v>99.745948717948707</v>
      </c>
      <c r="I22" s="4">
        <v>81.513249999999999</v>
      </c>
      <c r="J22" s="4">
        <v>85.899799999999999</v>
      </c>
      <c r="K22" s="4">
        <v>95.169333333333327</v>
      </c>
      <c r="L22" s="4">
        <v>84.335199999999986</v>
      </c>
      <c r="M22" s="4">
        <v>84.570333333333338</v>
      </c>
      <c r="N22" s="4">
        <v>78.847999999999999</v>
      </c>
      <c r="O22" s="4">
        <v>87.198666666666668</v>
      </c>
      <c r="P22" s="4">
        <v>51.178166666666669</v>
      </c>
      <c r="Q22" s="4">
        <v>53.079666666666668</v>
      </c>
      <c r="R22" s="4">
        <v>59.147799999999997</v>
      </c>
      <c r="S22" s="4">
        <v>59.048400000000001</v>
      </c>
      <c r="T22" s="4">
        <v>86.66</v>
      </c>
      <c r="U22" s="4">
        <v>65.630333333333326</v>
      </c>
    </row>
    <row r="23" spans="1:21" x14ac:dyDescent="0.25">
      <c r="A23" t="s">
        <v>51</v>
      </c>
      <c r="B23" t="s">
        <v>52</v>
      </c>
      <c r="C23" s="2">
        <v>78.110660313869147</v>
      </c>
      <c r="D23" s="3">
        <v>22</v>
      </c>
      <c r="E23" s="4">
        <v>98.078000000000003</v>
      </c>
      <c r="F23" s="4">
        <v>57.304142857142857</v>
      </c>
      <c r="G23" s="4">
        <v>93.609076923076927</v>
      </c>
      <c r="H23" s="4">
        <v>96.661000000000001</v>
      </c>
      <c r="I23" s="4">
        <v>85.141750000000002</v>
      </c>
      <c r="J23" s="4">
        <v>86.263400000000004</v>
      </c>
      <c r="K23" s="4">
        <v>94.491666666666674</v>
      </c>
      <c r="L23" s="4">
        <v>75.202799999999996</v>
      </c>
      <c r="M23" s="4">
        <v>85.705666666666673</v>
      </c>
      <c r="N23" s="4">
        <v>68.867999999999995</v>
      </c>
      <c r="O23" s="4">
        <v>87.87266666666666</v>
      </c>
      <c r="P23" s="4">
        <v>62.285166666666669</v>
      </c>
      <c r="Q23" s="4">
        <v>78.526666666666671</v>
      </c>
      <c r="R23" s="4">
        <v>61.194000000000003</v>
      </c>
      <c r="S23" s="4">
        <v>64.891000000000005</v>
      </c>
      <c r="T23" s="4">
        <v>79.643555555555551</v>
      </c>
      <c r="U23" s="4">
        <v>52.142666666666663</v>
      </c>
    </row>
    <row r="24" spans="1:21" x14ac:dyDescent="0.25">
      <c r="A24" t="s">
        <v>37</v>
      </c>
      <c r="B24" t="s">
        <v>38</v>
      </c>
      <c r="C24" s="2">
        <v>78.09870441313781</v>
      </c>
      <c r="D24" s="3">
        <v>23</v>
      </c>
      <c r="E24" s="4">
        <v>99.908500000000004</v>
      </c>
      <c r="F24" s="4">
        <v>65.344000000000008</v>
      </c>
      <c r="G24" s="4">
        <v>86.066571428571436</v>
      </c>
      <c r="H24" s="4">
        <v>98.227264705882348</v>
      </c>
      <c r="I24" s="4">
        <v>71.388750000000002</v>
      </c>
      <c r="J24" s="4">
        <v>84.522600000000011</v>
      </c>
      <c r="K24" s="4">
        <v>89.242999999999995</v>
      </c>
      <c r="L24" s="4">
        <v>85.88</v>
      </c>
      <c r="M24" s="4">
        <v>69.282333333333327</v>
      </c>
      <c r="N24" s="4">
        <v>56.481999999999999</v>
      </c>
      <c r="O24" s="4">
        <v>83.104333333333344</v>
      </c>
      <c r="P24" s="4">
        <v>75.698333333333338</v>
      </c>
      <c r="Q24" s="4">
        <v>78.003666666666675</v>
      </c>
      <c r="R24" s="4">
        <v>55.249199999999995</v>
      </c>
      <c r="S24" s="4">
        <v>92.380200000000002</v>
      </c>
      <c r="T24" s="4">
        <v>82.299888888888901</v>
      </c>
      <c r="U24" s="4">
        <v>54.597333333333331</v>
      </c>
    </row>
    <row r="25" spans="1:21" x14ac:dyDescent="0.25">
      <c r="A25" t="s">
        <v>47</v>
      </c>
      <c r="B25" t="s">
        <v>48</v>
      </c>
      <c r="C25" s="2">
        <v>77.734046545284755</v>
      </c>
      <c r="D25" s="3">
        <v>24</v>
      </c>
      <c r="E25" s="4">
        <v>98.753999999999991</v>
      </c>
      <c r="F25" s="4">
        <v>63.936285714285724</v>
      </c>
      <c r="G25" s="4">
        <v>83.286500000000018</v>
      </c>
      <c r="H25" s="4">
        <v>98.051000000000002</v>
      </c>
      <c r="I25" s="4">
        <v>77.220749999999995</v>
      </c>
      <c r="J25" s="4">
        <v>92.460399999999993</v>
      </c>
      <c r="K25" s="4">
        <v>93.28166666666668</v>
      </c>
      <c r="L25" s="4">
        <v>85.807400000000001</v>
      </c>
      <c r="M25" s="4">
        <v>59.975500000000004</v>
      </c>
      <c r="N25" s="4">
        <v>67.439000000000007</v>
      </c>
      <c r="O25" s="4">
        <v>87.35199999999999</v>
      </c>
      <c r="P25" s="4">
        <v>63.491999999999997</v>
      </c>
      <c r="Q25" s="4">
        <v>77.600666666666669</v>
      </c>
      <c r="R25" s="4">
        <v>60.689199999999992</v>
      </c>
      <c r="S25" s="4">
        <v>97.837199999999996</v>
      </c>
      <c r="T25" s="4">
        <v>78.150555555555556</v>
      </c>
      <c r="U25" s="4">
        <v>36.144666666666666</v>
      </c>
    </row>
    <row r="26" spans="1:21" x14ac:dyDescent="0.25">
      <c r="A26" t="s">
        <v>55</v>
      </c>
      <c r="B26" t="s">
        <v>56</v>
      </c>
      <c r="C26" s="2">
        <v>77.648565826330554</v>
      </c>
      <c r="D26" s="3">
        <v>25</v>
      </c>
      <c r="E26" s="4">
        <v>98.76400000000001</v>
      </c>
      <c r="F26" s="4">
        <v>58.940142857142867</v>
      </c>
      <c r="G26" s="4">
        <v>92.067142857142855</v>
      </c>
      <c r="H26" s="4">
        <v>98.204999999999998</v>
      </c>
      <c r="I26" s="4">
        <v>83.442999999999998</v>
      </c>
      <c r="J26" s="4">
        <v>85.485399999999998</v>
      </c>
      <c r="K26" s="4">
        <v>94.774000000000001</v>
      </c>
      <c r="L26" s="4">
        <v>82.536200000000008</v>
      </c>
      <c r="M26" s="4">
        <v>73.154333333333341</v>
      </c>
      <c r="N26" s="4">
        <v>58.768999999999998</v>
      </c>
      <c r="O26" s="4">
        <v>82.412666666666681</v>
      </c>
      <c r="P26" s="4">
        <v>62.526333333333334</v>
      </c>
      <c r="Q26" s="4">
        <v>76.932333333333332</v>
      </c>
      <c r="R26" s="4">
        <v>56.8658</v>
      </c>
      <c r="S26" s="4">
        <v>71.777600000000007</v>
      </c>
      <c r="T26" s="4">
        <v>86.278999999999996</v>
      </c>
      <c r="U26" s="4">
        <v>57.093666666666671</v>
      </c>
    </row>
    <row r="27" spans="1:21" x14ac:dyDescent="0.25">
      <c r="A27" t="s">
        <v>77</v>
      </c>
      <c r="B27" t="s">
        <v>78</v>
      </c>
      <c r="C27" s="2">
        <v>77.516800391438608</v>
      </c>
      <c r="D27" s="3">
        <v>26</v>
      </c>
      <c r="E27" s="4">
        <v>99.705500000000001</v>
      </c>
      <c r="F27" s="4">
        <v>62.059500000000014</v>
      </c>
      <c r="G27" s="4">
        <v>95.240785714285707</v>
      </c>
      <c r="H27" s="4">
        <v>98.597948717948725</v>
      </c>
      <c r="I27" s="4">
        <v>85.615333333333339</v>
      </c>
      <c r="J27" s="4">
        <v>74.643000000000001</v>
      </c>
      <c r="K27" s="4">
        <v>99.350333333333325</v>
      </c>
      <c r="L27" s="4">
        <v>83.063000000000002</v>
      </c>
      <c r="M27" s="4">
        <v>86.503666666666675</v>
      </c>
      <c r="N27" s="4">
        <v>93.793999999999997</v>
      </c>
      <c r="O27" s="4">
        <v>89.544333333333341</v>
      </c>
      <c r="P27" s="4">
        <v>27.679666666666666</v>
      </c>
      <c r="Q27" s="4">
        <v>55.646999999999998</v>
      </c>
      <c r="R27" s="4">
        <v>48.696399999999997</v>
      </c>
      <c r="S27" s="4">
        <v>51.401249999999997</v>
      </c>
      <c r="T27" s="4">
        <v>94.648222222222216</v>
      </c>
      <c r="U27" s="4">
        <v>71.595666666666673</v>
      </c>
    </row>
    <row r="28" spans="1:21" x14ac:dyDescent="0.25">
      <c r="A28" t="s">
        <v>65</v>
      </c>
      <c r="B28" t="s">
        <v>66</v>
      </c>
      <c r="C28" s="2">
        <v>77.510564826546002</v>
      </c>
      <c r="D28" s="3">
        <v>27</v>
      </c>
      <c r="E28" s="4">
        <v>98.231500000000011</v>
      </c>
      <c r="F28" s="4">
        <v>67.7427142857143</v>
      </c>
      <c r="G28" s="4">
        <v>87.328785714285715</v>
      </c>
      <c r="H28" s="4">
        <v>93.927615384615407</v>
      </c>
      <c r="I28" s="4">
        <v>69.507999999999996</v>
      </c>
      <c r="J28" s="4">
        <v>84.921000000000006</v>
      </c>
      <c r="K28" s="4">
        <v>91.808333333333337</v>
      </c>
      <c r="L28" s="4">
        <v>82.218400000000003</v>
      </c>
      <c r="M28" s="4">
        <v>61.26466666666667</v>
      </c>
      <c r="N28" s="4">
        <v>81.896000000000001</v>
      </c>
      <c r="O28" s="4">
        <v>81.573999999999998</v>
      </c>
      <c r="P28" s="4">
        <v>67.325166666666675</v>
      </c>
      <c r="Q28" s="4">
        <v>74.248000000000005</v>
      </c>
      <c r="S28" s="4">
        <v>87.985200000000006</v>
      </c>
      <c r="T28" s="4">
        <v>79.796111111111117</v>
      </c>
      <c r="U28" s="4">
        <v>48.563333333333333</v>
      </c>
    </row>
    <row r="29" spans="1:21" x14ac:dyDescent="0.25">
      <c r="A29" t="s">
        <v>79</v>
      </c>
      <c r="B29" t="s">
        <v>80</v>
      </c>
      <c r="C29" s="2">
        <v>77.419163118580755</v>
      </c>
      <c r="D29" s="3">
        <v>28</v>
      </c>
      <c r="E29" s="4">
        <v>98.956500000000005</v>
      </c>
      <c r="F29" s="4">
        <v>67.862857142857138</v>
      </c>
      <c r="G29" s="4">
        <v>85.545071428571433</v>
      </c>
      <c r="H29" s="4">
        <v>96.50200000000001</v>
      </c>
      <c r="I29" s="4">
        <v>70.688000000000002</v>
      </c>
      <c r="J29" s="4">
        <v>93.30619999999999</v>
      </c>
      <c r="K29" s="4">
        <v>90.995333333333335</v>
      </c>
      <c r="L29" s="4">
        <v>81.281199999999984</v>
      </c>
      <c r="M29" s="4">
        <v>61.125500000000009</v>
      </c>
      <c r="N29" s="4">
        <v>32.314999999999998</v>
      </c>
      <c r="O29" s="4">
        <v>80.304666666666677</v>
      </c>
      <c r="P29" s="4">
        <v>79.047833333333315</v>
      </c>
      <c r="Q29" s="4">
        <v>86.48566666666666</v>
      </c>
      <c r="R29" s="4">
        <v>73.406800000000004</v>
      </c>
      <c r="S29" s="4">
        <v>57.864200000000004</v>
      </c>
      <c r="T29" s="4">
        <v>76.00244444444445</v>
      </c>
      <c r="U29" s="4">
        <v>84.436499999999995</v>
      </c>
    </row>
    <row r="30" spans="1:21" x14ac:dyDescent="0.25">
      <c r="A30" t="s">
        <v>63</v>
      </c>
      <c r="B30" t="s">
        <v>64</v>
      </c>
      <c r="C30" s="2">
        <v>77.336211400560245</v>
      </c>
      <c r="D30" s="3">
        <v>29</v>
      </c>
      <c r="E30" s="4">
        <v>98.968000000000004</v>
      </c>
      <c r="F30" s="4">
        <v>68.04457142857143</v>
      </c>
      <c r="G30" s="4">
        <v>84.45578571428571</v>
      </c>
      <c r="H30" s="4">
        <v>94.245666666666679</v>
      </c>
      <c r="I30" s="4">
        <v>63.641249999999999</v>
      </c>
      <c r="J30" s="4">
        <v>88.715999999999994</v>
      </c>
      <c r="K30" s="4">
        <v>91.706333333333347</v>
      </c>
      <c r="L30" s="4">
        <v>83.157200000000003</v>
      </c>
      <c r="M30" s="4">
        <v>62.993666666666662</v>
      </c>
      <c r="N30" s="4">
        <v>76.558000000000007</v>
      </c>
      <c r="O30" s="4">
        <v>85.102333333333334</v>
      </c>
      <c r="P30" s="4">
        <v>72.957166666666666</v>
      </c>
      <c r="Q30" s="4">
        <v>81.74166666666666</v>
      </c>
      <c r="S30" s="4">
        <v>88.935400000000001</v>
      </c>
      <c r="T30" s="4">
        <v>75.367111111111114</v>
      </c>
      <c r="U30" s="4">
        <v>38.784666666666666</v>
      </c>
    </row>
    <row r="31" spans="1:21" x14ac:dyDescent="0.25">
      <c r="A31" t="s">
        <v>67</v>
      </c>
      <c r="B31" t="s">
        <v>68</v>
      </c>
      <c r="C31" s="2">
        <v>77.011800280112041</v>
      </c>
      <c r="D31" s="3">
        <v>30</v>
      </c>
      <c r="E31" s="4">
        <v>97.307999999999993</v>
      </c>
      <c r="F31" s="4">
        <v>66.93485714285714</v>
      </c>
      <c r="G31" s="4">
        <v>93.690714285714293</v>
      </c>
      <c r="H31" s="4">
        <v>97.272666666666666</v>
      </c>
      <c r="I31" s="4">
        <v>71.031999999999996</v>
      </c>
      <c r="J31" s="4">
        <v>82.112200000000001</v>
      </c>
      <c r="K31" s="4">
        <v>93.531000000000006</v>
      </c>
      <c r="L31" s="4">
        <v>80.8964</v>
      </c>
      <c r="M31" s="4">
        <v>83.037833333333339</v>
      </c>
      <c r="N31" s="4">
        <v>68.09</v>
      </c>
      <c r="O31" s="4">
        <v>68.731999999999999</v>
      </c>
      <c r="P31" s="4">
        <v>62.609666666666662</v>
      </c>
      <c r="Q31" s="4">
        <v>78.518666666666661</v>
      </c>
      <c r="R31" s="4">
        <v>49.758600000000001</v>
      </c>
      <c r="S31" s="4">
        <v>80.263999999999996</v>
      </c>
      <c r="T31" s="4">
        <v>77.234666666666669</v>
      </c>
      <c r="U31" s="4">
        <v>58.177333333333337</v>
      </c>
    </row>
    <row r="32" spans="1:21" x14ac:dyDescent="0.25">
      <c r="A32" t="s">
        <v>97</v>
      </c>
      <c r="B32" t="s">
        <v>98</v>
      </c>
      <c r="C32" s="2">
        <v>76.428500764921338</v>
      </c>
      <c r="D32" s="3">
        <v>31</v>
      </c>
      <c r="E32" s="4">
        <v>98.929000000000002</v>
      </c>
      <c r="F32" s="4">
        <v>66.258714285714291</v>
      </c>
      <c r="G32" s="4">
        <v>88.850999999999985</v>
      </c>
      <c r="H32" s="4">
        <v>99.745948717948707</v>
      </c>
      <c r="I32" s="4">
        <v>73.963250000000002</v>
      </c>
      <c r="J32" s="4">
        <v>83.723199999999991</v>
      </c>
      <c r="K32" s="4">
        <v>93.373000000000005</v>
      </c>
      <c r="L32" s="4">
        <v>85.2042</v>
      </c>
      <c r="M32" s="4">
        <v>93.784999999999997</v>
      </c>
      <c r="N32" s="4">
        <v>47.661999999999999</v>
      </c>
      <c r="O32" s="4">
        <v>89.137666666666675</v>
      </c>
      <c r="P32" s="4">
        <v>54.722333333333331</v>
      </c>
      <c r="Q32" s="4">
        <v>58.05866666666666</v>
      </c>
      <c r="R32" s="4">
        <v>63.726600000000005</v>
      </c>
      <c r="S32" s="4">
        <v>59.534599999999998</v>
      </c>
      <c r="T32" s="4">
        <v>74.76400000000001</v>
      </c>
      <c r="U32" s="4">
        <v>67.845333333333329</v>
      </c>
    </row>
    <row r="33" spans="1:21" x14ac:dyDescent="0.25">
      <c r="A33" t="s">
        <v>101</v>
      </c>
      <c r="B33" t="s">
        <v>102</v>
      </c>
      <c r="C33" s="2">
        <v>75.966364608920486</v>
      </c>
      <c r="D33" s="3">
        <v>32</v>
      </c>
      <c r="E33" s="4">
        <v>99.754999999999995</v>
      </c>
      <c r="F33" s="4">
        <v>62.21557142857143</v>
      </c>
      <c r="G33" s="4">
        <v>91.807076923076934</v>
      </c>
      <c r="H33" s="4">
        <v>99.24133333333333</v>
      </c>
      <c r="I33" s="4">
        <v>60.433249999999994</v>
      </c>
      <c r="J33" s="4">
        <v>83.046000000000006</v>
      </c>
      <c r="K33" s="4">
        <v>94.497333333333344</v>
      </c>
      <c r="L33" s="4">
        <v>85.915500000000009</v>
      </c>
      <c r="M33" s="4">
        <v>66.459500000000006</v>
      </c>
      <c r="N33" s="4">
        <v>94.048000000000002</v>
      </c>
      <c r="O33" s="4">
        <v>84.446333333333328</v>
      </c>
      <c r="P33" s="4">
        <v>43.132166666666656</v>
      </c>
      <c r="Q33" s="4">
        <v>62.231333333333339</v>
      </c>
      <c r="R33" s="4">
        <v>59.669800000000009</v>
      </c>
      <c r="S33" s="4">
        <v>86.396999999999991</v>
      </c>
      <c r="T33" s="4">
        <v>75.168999999999997</v>
      </c>
      <c r="U33" s="4">
        <v>42.963999999999999</v>
      </c>
    </row>
    <row r="34" spans="1:21" x14ac:dyDescent="0.25">
      <c r="A34" t="s">
        <v>91</v>
      </c>
      <c r="B34" t="s">
        <v>92</v>
      </c>
      <c r="C34" s="2">
        <v>75.234805058993288</v>
      </c>
      <c r="D34" s="3">
        <v>33</v>
      </c>
      <c r="E34" s="4">
        <v>99.509500000000003</v>
      </c>
      <c r="F34" s="4">
        <v>62.338428571428572</v>
      </c>
      <c r="G34" s="4">
        <v>83.470785714285711</v>
      </c>
      <c r="H34" s="4">
        <v>95.075666666666663</v>
      </c>
      <c r="I34" s="4">
        <v>63.91225</v>
      </c>
      <c r="J34" s="4">
        <v>73.111399999999989</v>
      </c>
      <c r="K34" s="4">
        <v>84.394333333333336</v>
      </c>
      <c r="L34" s="4">
        <v>74.211600000000004</v>
      </c>
      <c r="M34" s="4">
        <v>49.436499999999995</v>
      </c>
      <c r="N34" s="4">
        <v>82.287000000000006</v>
      </c>
      <c r="O34" s="4">
        <v>71.728333333333339</v>
      </c>
      <c r="P34" s="4">
        <v>77.819666666666663</v>
      </c>
      <c r="Q34" s="4">
        <v>87.682666666666663</v>
      </c>
      <c r="S34" s="4">
        <v>61.733000000000004</v>
      </c>
      <c r="T34" s="4">
        <v>74.781777777777791</v>
      </c>
      <c r="U34" s="4">
        <v>78.581000000000003</v>
      </c>
    </row>
    <row r="35" spans="1:21" x14ac:dyDescent="0.25">
      <c r="A35" t="s">
        <v>137</v>
      </c>
      <c r="B35" t="s">
        <v>138</v>
      </c>
      <c r="C35" s="2">
        <v>75.214208058608051</v>
      </c>
      <c r="D35" s="3">
        <v>34</v>
      </c>
      <c r="E35" s="4">
        <v>99.881</v>
      </c>
      <c r="F35" s="4">
        <v>53.88128571428571</v>
      </c>
      <c r="G35" s="4">
        <v>90.838384615384626</v>
      </c>
      <c r="H35" s="4">
        <v>97.112000000000009</v>
      </c>
      <c r="I35" s="4">
        <v>72.165666666666667</v>
      </c>
      <c r="J35" s="4">
        <v>77.311799999999991</v>
      </c>
      <c r="K35" s="4">
        <v>92.39533333333334</v>
      </c>
      <c r="L35" s="4">
        <v>81.128400000000013</v>
      </c>
      <c r="M35" s="4">
        <v>71.926333333333346</v>
      </c>
      <c r="N35" s="4">
        <v>81.831000000000003</v>
      </c>
      <c r="O35" s="4">
        <v>77.338999999999999</v>
      </c>
      <c r="P35" s="4">
        <v>54.614666666666665</v>
      </c>
      <c r="Q35" s="4">
        <v>66.141999999999996</v>
      </c>
      <c r="R35" s="4">
        <v>59.716999999999999</v>
      </c>
      <c r="S35" s="4">
        <v>84.658500000000004</v>
      </c>
      <c r="T35" s="4">
        <v>81.226500000000016</v>
      </c>
      <c r="U35" s="4">
        <v>36.472666666666669</v>
      </c>
    </row>
    <row r="36" spans="1:21" x14ac:dyDescent="0.25">
      <c r="A36" t="s">
        <v>123</v>
      </c>
      <c r="B36" t="s">
        <v>124</v>
      </c>
      <c r="C36" s="2">
        <v>75.077653548085891</v>
      </c>
      <c r="D36" s="3">
        <v>35</v>
      </c>
      <c r="E36" s="4">
        <v>97.658500000000004</v>
      </c>
      <c r="F36" s="4">
        <v>55.034285714285708</v>
      </c>
      <c r="G36" s="4">
        <v>85.019285714285715</v>
      </c>
      <c r="H36" s="4">
        <v>85.655333333333331</v>
      </c>
      <c r="I36" s="4">
        <v>82.225750000000005</v>
      </c>
      <c r="J36" s="4">
        <v>80.412599999999998</v>
      </c>
      <c r="K36" s="4">
        <v>93.805999999999997</v>
      </c>
      <c r="L36" s="4">
        <v>74.980400000000003</v>
      </c>
      <c r="M36" s="4">
        <v>49.264166666666654</v>
      </c>
      <c r="N36" s="4">
        <v>35.454000000000001</v>
      </c>
      <c r="O36" s="4">
        <v>92.262999999999991</v>
      </c>
      <c r="P36" s="4">
        <v>81.302166666666679</v>
      </c>
      <c r="Q36" s="4">
        <v>83.82</v>
      </c>
      <c r="R36" s="4">
        <v>71.832799999999992</v>
      </c>
      <c r="S36" s="4">
        <v>53.23660000000001</v>
      </c>
      <c r="T36" s="4">
        <v>75.760888888888886</v>
      </c>
      <c r="U36" s="4">
        <v>78.594333333333338</v>
      </c>
    </row>
    <row r="37" spans="1:21" x14ac:dyDescent="0.25">
      <c r="A37" t="s">
        <v>93</v>
      </c>
      <c r="B37" t="s">
        <v>94</v>
      </c>
      <c r="C37" s="2">
        <v>74.950263186813189</v>
      </c>
      <c r="D37" s="3">
        <v>36</v>
      </c>
      <c r="E37" s="4">
        <v>98.510500000000008</v>
      </c>
      <c r="F37" s="4">
        <v>61.476285714285723</v>
      </c>
      <c r="G37" s="4">
        <v>83.804538461538471</v>
      </c>
      <c r="H37" s="4">
        <v>99.912333333333336</v>
      </c>
      <c r="I37" s="4">
        <v>73.528000000000006</v>
      </c>
      <c r="J37" s="4">
        <v>81.992800000000017</v>
      </c>
      <c r="K37" s="4">
        <v>80.169333333333341</v>
      </c>
      <c r="L37" s="4">
        <v>81.968599999999995</v>
      </c>
      <c r="M37" s="4">
        <v>59.892166666666668</v>
      </c>
      <c r="N37" s="4">
        <v>53.067999999999998</v>
      </c>
      <c r="O37" s="4">
        <v>76.49966666666667</v>
      </c>
      <c r="P37" s="4">
        <v>62.079333333333331</v>
      </c>
      <c r="Q37" s="4">
        <v>74.86633333333333</v>
      </c>
      <c r="R37" s="4">
        <v>70.113249999999994</v>
      </c>
      <c r="S37" s="4">
        <v>94.956000000000003</v>
      </c>
      <c r="T37" s="4">
        <v>76.47699999999999</v>
      </c>
      <c r="U37" s="4">
        <v>44.840333333333326</v>
      </c>
    </row>
    <row r="38" spans="1:21" x14ac:dyDescent="0.25">
      <c r="A38" t="s">
        <v>99</v>
      </c>
      <c r="B38" t="s">
        <v>100</v>
      </c>
      <c r="C38" s="2">
        <v>74.870323640738363</v>
      </c>
      <c r="D38" s="3">
        <v>37</v>
      </c>
      <c r="E38" s="4">
        <v>99.030500000000004</v>
      </c>
      <c r="F38" s="4">
        <v>56.179285714285712</v>
      </c>
      <c r="G38" s="4">
        <v>95.591928571428568</v>
      </c>
      <c r="H38" s="4">
        <v>99.745948717948707</v>
      </c>
      <c r="I38" s="4">
        <v>79.997749999999996</v>
      </c>
      <c r="J38" s="4">
        <v>94.953199999999995</v>
      </c>
      <c r="K38" s="4">
        <v>91.113</v>
      </c>
      <c r="L38" s="4">
        <v>82.659400000000005</v>
      </c>
      <c r="M38" s="4">
        <v>89.702500000000001</v>
      </c>
      <c r="N38" s="4">
        <v>73.451000000000008</v>
      </c>
      <c r="O38" s="4">
        <v>82.304333333333332</v>
      </c>
      <c r="P38" s="4">
        <v>42.794166666666662</v>
      </c>
      <c r="Q38" s="4">
        <v>15.087666666666669</v>
      </c>
      <c r="R38" s="4">
        <v>57.484200000000001</v>
      </c>
      <c r="S38" s="4">
        <v>62.700400000000002</v>
      </c>
      <c r="T38" s="4">
        <v>86.094555555555559</v>
      </c>
      <c r="U38" s="4">
        <v>63.905666666666662</v>
      </c>
    </row>
    <row r="39" spans="1:21" x14ac:dyDescent="0.25">
      <c r="A39" t="s">
        <v>89</v>
      </c>
      <c r="B39" t="s">
        <v>90</v>
      </c>
      <c r="C39" s="2">
        <v>74.781475280112019</v>
      </c>
      <c r="D39" s="3">
        <v>38</v>
      </c>
      <c r="E39" s="4">
        <v>99.085499999999996</v>
      </c>
      <c r="F39" s="4">
        <v>64.950857142857146</v>
      </c>
      <c r="G39" s="4">
        <v>80.202214285714291</v>
      </c>
      <c r="H39" s="4">
        <v>82.375666666666675</v>
      </c>
      <c r="I39" s="4">
        <v>57.406000000000006</v>
      </c>
      <c r="J39" s="4">
        <v>81.474800000000002</v>
      </c>
      <c r="K39" s="4">
        <v>88.649333333333331</v>
      </c>
      <c r="L39" s="4">
        <v>82.734799999999993</v>
      </c>
      <c r="M39" s="4">
        <v>53.254500000000007</v>
      </c>
      <c r="N39" s="4">
        <v>48.544000000000004</v>
      </c>
      <c r="O39" s="4">
        <v>79.36066666666666</v>
      </c>
      <c r="P39" s="4">
        <v>76.180999999999997</v>
      </c>
      <c r="Q39" s="4">
        <v>89.06</v>
      </c>
      <c r="R39" s="4">
        <v>65.460999999999999</v>
      </c>
      <c r="S39" s="4">
        <v>84.791200000000003</v>
      </c>
      <c r="T39" s="4">
        <v>77.108875000000012</v>
      </c>
      <c r="U39" s="4">
        <v>60.644666666666666</v>
      </c>
    </row>
    <row r="40" spans="1:21" x14ac:dyDescent="0.25">
      <c r="A40" t="s">
        <v>107</v>
      </c>
      <c r="B40" t="s">
        <v>108</v>
      </c>
      <c r="C40" s="2">
        <v>74.765975770308131</v>
      </c>
      <c r="D40" s="3">
        <v>39</v>
      </c>
      <c r="E40" s="4">
        <v>97.174000000000007</v>
      </c>
      <c r="F40" s="4">
        <v>63.575142857142851</v>
      </c>
      <c r="G40" s="4">
        <v>78.297428571428568</v>
      </c>
      <c r="H40" s="4">
        <v>67.600333333333325</v>
      </c>
      <c r="I40" s="4">
        <v>70.70474999999999</v>
      </c>
      <c r="J40" s="4">
        <v>70.860600000000005</v>
      </c>
      <c r="K40" s="4">
        <v>90.45</v>
      </c>
      <c r="L40" s="4">
        <v>81.753000000000014</v>
      </c>
      <c r="M40" s="4">
        <v>51.609833333333341</v>
      </c>
      <c r="N40" s="4">
        <v>62.169000000000004</v>
      </c>
      <c r="O40" s="4">
        <v>74.435666666666677</v>
      </c>
      <c r="P40" s="4">
        <v>74.967666666666673</v>
      </c>
      <c r="Q40" s="4">
        <v>80.914333333333346</v>
      </c>
      <c r="R40" s="4">
        <v>73.81450000000001</v>
      </c>
      <c r="S40" s="4">
        <v>94.489000000000004</v>
      </c>
      <c r="T40" s="4">
        <v>70.198999999999998</v>
      </c>
      <c r="U40" s="4">
        <v>68.007333333333335</v>
      </c>
    </row>
    <row r="41" spans="1:21" x14ac:dyDescent="0.25">
      <c r="A41" t="s">
        <v>115</v>
      </c>
      <c r="B41" t="s">
        <v>116</v>
      </c>
      <c r="C41" s="2">
        <v>74.596410597572344</v>
      </c>
      <c r="D41" s="3">
        <v>40</v>
      </c>
      <c r="E41" s="4">
        <v>99.232500000000002</v>
      </c>
      <c r="F41" s="4">
        <v>57.77628571428572</v>
      </c>
      <c r="G41" s="4">
        <v>94.688384615384606</v>
      </c>
      <c r="H41" s="4">
        <v>96.315615384615398</v>
      </c>
      <c r="I41" s="4">
        <v>73.924250000000001</v>
      </c>
      <c r="J41" s="4">
        <v>72.782799999999995</v>
      </c>
      <c r="K41" s="4">
        <v>94.327666666666673</v>
      </c>
      <c r="L41" s="4">
        <v>84.913200000000003</v>
      </c>
      <c r="M41" s="4">
        <v>93.298666666666676</v>
      </c>
      <c r="N41" s="4">
        <v>55.758000000000003</v>
      </c>
      <c r="O41" s="4">
        <v>79.788000000000011</v>
      </c>
      <c r="P41" s="4">
        <v>61.456833333333329</v>
      </c>
      <c r="Q41" s="4">
        <v>74.358333333333334</v>
      </c>
      <c r="R41" s="4">
        <v>47.706666666666671</v>
      </c>
      <c r="S41" s="4">
        <v>52.180999999999997</v>
      </c>
      <c r="T41" s="4">
        <v>72.399111111111125</v>
      </c>
      <c r="U41" s="4">
        <v>57.231666666666662</v>
      </c>
    </row>
    <row r="42" spans="1:21" x14ac:dyDescent="0.25">
      <c r="A42" t="s">
        <v>105</v>
      </c>
      <c r="B42" t="s">
        <v>106</v>
      </c>
      <c r="C42" s="2">
        <v>74.536290476190473</v>
      </c>
      <c r="D42" s="3">
        <v>41</v>
      </c>
      <c r="E42" s="4">
        <v>99.990499999999997</v>
      </c>
      <c r="F42" s="4">
        <v>62.895571428571436</v>
      </c>
      <c r="G42" s="4">
        <v>77.194000000000003</v>
      </c>
      <c r="H42" s="4">
        <v>88.683333333333337</v>
      </c>
      <c r="I42" s="4">
        <v>69.478999999999999</v>
      </c>
      <c r="J42" s="4">
        <v>76.923399999999987</v>
      </c>
      <c r="K42" s="4">
        <v>83.51166666666667</v>
      </c>
      <c r="L42" s="4">
        <v>81.564400000000006</v>
      </c>
      <c r="M42" s="4">
        <v>53.499500000000005</v>
      </c>
      <c r="N42" s="4">
        <v>62.27</v>
      </c>
      <c r="O42" s="4">
        <v>83.336666666666659</v>
      </c>
      <c r="P42" s="4">
        <v>78.342500000000001</v>
      </c>
      <c r="Q42" s="4">
        <v>87.453999999999994</v>
      </c>
      <c r="R42" s="4">
        <v>64.370999999999995</v>
      </c>
      <c r="S42" s="4">
        <v>67.469399999999993</v>
      </c>
      <c r="T42" s="4">
        <v>71.056333333333342</v>
      </c>
      <c r="U42" s="4">
        <v>59.07566666666667</v>
      </c>
    </row>
    <row r="43" spans="1:21" x14ac:dyDescent="0.25">
      <c r="A43" t="s">
        <v>69</v>
      </c>
      <c r="B43" t="s">
        <v>70</v>
      </c>
      <c r="C43" s="2">
        <v>74.443867243867246</v>
      </c>
      <c r="D43" s="3">
        <v>42</v>
      </c>
      <c r="E43" s="4">
        <v>99.649500000000003</v>
      </c>
      <c r="F43" s="4">
        <v>58.739333333333342</v>
      </c>
      <c r="G43" s="4">
        <v>76.223571428571418</v>
      </c>
      <c r="H43" s="4">
        <v>83.954666666666668</v>
      </c>
      <c r="I43" s="4">
        <v>70.164249999999996</v>
      </c>
      <c r="J43" s="4">
        <v>72.084999999999994</v>
      </c>
      <c r="K43" s="4">
        <v>88.264666666666656</v>
      </c>
      <c r="L43" s="4">
        <v>73.114400000000003</v>
      </c>
      <c r="M43" s="4">
        <v>26.670500000000004</v>
      </c>
      <c r="N43" s="4">
        <v>89.055999999999997</v>
      </c>
      <c r="O43" s="4">
        <v>79.87833333333333</v>
      </c>
      <c r="P43" s="4">
        <v>81.652500000000003</v>
      </c>
      <c r="Q43" s="4">
        <v>97.99366666666667</v>
      </c>
      <c r="S43" s="4">
        <v>64.56280000000001</v>
      </c>
      <c r="T43" s="4">
        <v>69.37211111111111</v>
      </c>
      <c r="U43" s="4">
        <v>75.24666666666667</v>
      </c>
    </row>
    <row r="44" spans="1:21" x14ac:dyDescent="0.25">
      <c r="A44" t="s">
        <v>75</v>
      </c>
      <c r="B44" t="s">
        <v>76</v>
      </c>
      <c r="C44" s="2">
        <v>74.329603921568633</v>
      </c>
      <c r="D44" s="3">
        <v>43</v>
      </c>
      <c r="E44" s="4">
        <v>96.679500000000004</v>
      </c>
      <c r="F44" s="4">
        <v>62.278000000000006</v>
      </c>
      <c r="G44" s="4">
        <v>87.177416666666659</v>
      </c>
      <c r="H44" s="4">
        <v>96.645333333333326</v>
      </c>
      <c r="I44" s="4">
        <v>63.450750000000006</v>
      </c>
      <c r="J44" s="4">
        <v>87.594200000000001</v>
      </c>
      <c r="K44" s="4">
        <v>91.278000000000006</v>
      </c>
      <c r="L44" s="4">
        <v>65.834199999999996</v>
      </c>
      <c r="M44" s="4">
        <v>69.50333333333333</v>
      </c>
      <c r="N44" s="4">
        <v>50.317999999999998</v>
      </c>
      <c r="O44" s="4">
        <v>81.710666666666668</v>
      </c>
      <c r="P44" s="4">
        <v>58.636000000000003</v>
      </c>
      <c r="Q44" s="4">
        <v>74.74466666666666</v>
      </c>
      <c r="R44" s="4">
        <v>68.454999999999998</v>
      </c>
      <c r="S44" s="4">
        <v>81.052199999999999</v>
      </c>
      <c r="T44" s="4">
        <v>72.954666666666654</v>
      </c>
      <c r="U44" s="4">
        <v>55.291333333333334</v>
      </c>
    </row>
    <row r="45" spans="1:21" x14ac:dyDescent="0.25">
      <c r="A45" t="s">
        <v>85</v>
      </c>
      <c r="B45" t="s">
        <v>86</v>
      </c>
      <c r="C45" s="2">
        <v>74.309226077713134</v>
      </c>
      <c r="D45" s="3">
        <v>44</v>
      </c>
      <c r="E45" s="4">
        <v>99.855000000000004</v>
      </c>
      <c r="F45" s="4">
        <v>67.122</v>
      </c>
      <c r="G45" s="4">
        <v>95.838285714285718</v>
      </c>
      <c r="H45" s="4">
        <v>95.651282051282053</v>
      </c>
      <c r="I45" s="4">
        <v>76.563000000000002</v>
      </c>
      <c r="J45" s="4">
        <v>79.132000000000005</v>
      </c>
      <c r="K45" s="4">
        <v>66.666666666666671</v>
      </c>
      <c r="L45" s="4">
        <v>69.978399999999993</v>
      </c>
      <c r="M45" s="4">
        <v>86.187000000000012</v>
      </c>
      <c r="N45" s="4">
        <v>79.510000000000005</v>
      </c>
      <c r="O45" s="4">
        <v>95.9</v>
      </c>
      <c r="P45" s="4">
        <v>20.165833333333335</v>
      </c>
      <c r="Q45" s="4">
        <v>45.377000000000002</v>
      </c>
      <c r="S45" s="4">
        <v>67.040600000000012</v>
      </c>
      <c r="T45" s="4">
        <v>90.206666666666663</v>
      </c>
      <c r="U45" s="4">
        <v>68.722333333333339</v>
      </c>
    </row>
    <row r="46" spans="1:21" x14ac:dyDescent="0.25">
      <c r="A46" t="s">
        <v>83</v>
      </c>
      <c r="B46" t="s">
        <v>84</v>
      </c>
      <c r="C46" s="2">
        <v>74.277688655462185</v>
      </c>
      <c r="D46" s="3">
        <v>45</v>
      </c>
      <c r="E46" s="4">
        <v>99.885999999999996</v>
      </c>
      <c r="F46" s="4">
        <v>61.348428571428585</v>
      </c>
      <c r="G46" s="4">
        <v>83.206928571428563</v>
      </c>
      <c r="H46" s="4">
        <v>88.418333333333337</v>
      </c>
      <c r="I46" s="4">
        <v>74.352249999999998</v>
      </c>
      <c r="J46" s="4">
        <v>78.3142</v>
      </c>
      <c r="K46" s="4">
        <v>96.85766666666666</v>
      </c>
      <c r="L46" s="4">
        <v>76.590999999999994</v>
      </c>
      <c r="M46" s="4">
        <v>44.612166666666667</v>
      </c>
      <c r="N46" s="4">
        <v>56.532000000000004</v>
      </c>
      <c r="O46" s="4">
        <v>86.57</v>
      </c>
      <c r="P46" s="4">
        <v>61.700500000000005</v>
      </c>
      <c r="Q46" s="4">
        <v>85.523666666666671</v>
      </c>
      <c r="R46" s="4">
        <v>60.0244</v>
      </c>
      <c r="S46" s="4">
        <v>53.042999999999992</v>
      </c>
      <c r="T46" s="4">
        <v>68.223666666666674</v>
      </c>
      <c r="U46" s="4">
        <v>87.516500000000008</v>
      </c>
    </row>
    <row r="47" spans="1:21" x14ac:dyDescent="0.25">
      <c r="A47" t="s">
        <v>167</v>
      </c>
      <c r="B47" t="s">
        <v>168</v>
      </c>
      <c r="C47" s="2">
        <v>74.260651213818861</v>
      </c>
      <c r="D47" s="3">
        <v>46</v>
      </c>
      <c r="E47" s="4">
        <v>88.355000000000004</v>
      </c>
      <c r="F47" s="4">
        <v>52.582571428571434</v>
      </c>
      <c r="G47" s="4">
        <v>77.463071428571425</v>
      </c>
      <c r="H47" s="4">
        <v>92.102000000000018</v>
      </c>
      <c r="I47" s="4">
        <v>77.620750000000001</v>
      </c>
      <c r="J47" s="4">
        <v>75.015000000000001</v>
      </c>
      <c r="K47" s="4">
        <v>91.722666666666669</v>
      </c>
      <c r="L47" s="4">
        <v>73.956000000000003</v>
      </c>
      <c r="M47" s="4">
        <v>35.157333333333334</v>
      </c>
      <c r="N47" s="4">
        <v>46.789000000000001</v>
      </c>
      <c r="O47" s="4">
        <v>89.949333333333342</v>
      </c>
      <c r="P47" s="4">
        <v>84.597166666666666</v>
      </c>
      <c r="Q47" s="4">
        <v>93.454000000000008</v>
      </c>
      <c r="R47" s="4">
        <v>78.748400000000004</v>
      </c>
      <c r="S47" s="4">
        <v>61.061</v>
      </c>
      <c r="T47" s="4">
        <v>63.057777777777773</v>
      </c>
      <c r="U47" s="4">
        <v>80.8</v>
      </c>
    </row>
    <row r="48" spans="1:21" x14ac:dyDescent="0.25">
      <c r="A48" t="s">
        <v>95</v>
      </c>
      <c r="B48" t="s">
        <v>96</v>
      </c>
      <c r="C48" s="2">
        <v>74.244860830999073</v>
      </c>
      <c r="D48" s="3">
        <v>47</v>
      </c>
      <c r="E48" s="4">
        <v>99.764499999999998</v>
      </c>
      <c r="F48" s="4">
        <v>57.53171428571428</v>
      </c>
      <c r="G48" s="4">
        <v>70.210214285714287</v>
      </c>
      <c r="H48" s="4">
        <v>91.682333333333347</v>
      </c>
      <c r="I48" s="4">
        <v>67.126750000000001</v>
      </c>
      <c r="J48" s="4">
        <v>78.620400000000004</v>
      </c>
      <c r="K48" s="4">
        <v>91.903666666666666</v>
      </c>
      <c r="L48" s="4">
        <v>72.510799999999989</v>
      </c>
      <c r="M48" s="4">
        <v>34.454666666666661</v>
      </c>
      <c r="N48" s="4">
        <v>98.685000000000002</v>
      </c>
      <c r="O48" s="4">
        <v>71.688000000000002</v>
      </c>
      <c r="P48" s="4">
        <v>82.733833333333337</v>
      </c>
      <c r="Q48" s="4">
        <v>89.481666666666669</v>
      </c>
      <c r="R48" s="4">
        <v>53.255600000000001</v>
      </c>
      <c r="S48" s="4">
        <v>64.209599999999995</v>
      </c>
      <c r="T48" s="4">
        <v>62.887222222222221</v>
      </c>
      <c r="U48" s="4">
        <v>75.416666666666671</v>
      </c>
    </row>
    <row r="49" spans="1:21" x14ac:dyDescent="0.25">
      <c r="A49" t="s">
        <v>145</v>
      </c>
      <c r="B49" t="s">
        <v>146</v>
      </c>
      <c r="C49" s="2">
        <v>73.893619753884465</v>
      </c>
      <c r="D49" s="3">
        <v>48</v>
      </c>
      <c r="E49" s="4">
        <v>97.959500000000006</v>
      </c>
      <c r="F49" s="4">
        <v>76.393571428571434</v>
      </c>
      <c r="G49" s="4">
        <v>79.841538461538462</v>
      </c>
      <c r="H49" s="4">
        <v>94.956092592592597</v>
      </c>
      <c r="I49" s="4">
        <v>75.745500000000007</v>
      </c>
      <c r="J49" s="4">
        <v>68.597200000000001</v>
      </c>
      <c r="K49" s="4">
        <v>69.408666666666662</v>
      </c>
      <c r="L49" s="4">
        <v>87.466000000000008</v>
      </c>
      <c r="M49" s="4">
        <v>72.145500000000013</v>
      </c>
      <c r="N49" s="4">
        <v>61.317999999999998</v>
      </c>
      <c r="O49" s="4">
        <v>75.908000000000001</v>
      </c>
      <c r="P49" s="4">
        <v>88.550833333333344</v>
      </c>
      <c r="Q49" s="4">
        <v>89.778999999999996</v>
      </c>
      <c r="R49" s="4">
        <v>50.507199999999997</v>
      </c>
      <c r="S49" s="4">
        <v>59.471600000000002</v>
      </c>
      <c r="T49" s="4">
        <v>63.787833333333332</v>
      </c>
      <c r="U49" s="4">
        <v>44.355500000000006</v>
      </c>
    </row>
    <row r="50" spans="1:21" x14ac:dyDescent="0.25">
      <c r="A50" t="s">
        <v>129</v>
      </c>
      <c r="B50" t="s">
        <v>130</v>
      </c>
      <c r="C50" s="2">
        <v>73.801900793650802</v>
      </c>
      <c r="D50" s="3">
        <v>49</v>
      </c>
      <c r="E50" s="4">
        <v>96.129000000000005</v>
      </c>
      <c r="F50" s="4">
        <v>67.641285714285715</v>
      </c>
      <c r="G50" s="4">
        <v>72.076999999999998</v>
      </c>
      <c r="H50" s="4">
        <v>96.613333333333344</v>
      </c>
      <c r="I50" s="4">
        <v>72.050250000000005</v>
      </c>
      <c r="J50" s="4">
        <v>73.138000000000005</v>
      </c>
      <c r="K50" s="4">
        <v>82.51100000000001</v>
      </c>
      <c r="L50" s="4">
        <v>74.917400000000015</v>
      </c>
      <c r="M50" s="4">
        <v>44.594833333333334</v>
      </c>
      <c r="N50" s="4">
        <v>77.123999999999995</v>
      </c>
      <c r="O50" s="4">
        <v>77.715000000000003</v>
      </c>
      <c r="P50" s="4">
        <v>92.755166666666682</v>
      </c>
      <c r="Q50" s="4">
        <v>95.719333333333338</v>
      </c>
      <c r="R50" s="4">
        <v>58.944000000000003</v>
      </c>
      <c r="S50" s="4">
        <v>46.649600000000007</v>
      </c>
      <c r="T50" s="4">
        <v>64.315444444444452</v>
      </c>
      <c r="U50" s="4">
        <v>61.737666666666662</v>
      </c>
    </row>
    <row r="51" spans="1:21" x14ac:dyDescent="0.25">
      <c r="A51" t="s">
        <v>113</v>
      </c>
      <c r="B51" t="s">
        <v>114</v>
      </c>
      <c r="C51" s="2">
        <v>73.478858543417374</v>
      </c>
      <c r="D51" s="3">
        <v>50</v>
      </c>
      <c r="E51" s="4">
        <v>99.728499999999997</v>
      </c>
      <c r="F51" s="4">
        <v>61.880285714285719</v>
      </c>
      <c r="G51" s="4">
        <v>78.588857142857137</v>
      </c>
      <c r="H51" s="4">
        <v>90.579063492063483</v>
      </c>
      <c r="I51" s="4">
        <v>40.138000000000005</v>
      </c>
      <c r="J51" s="4">
        <v>77.333200000000005</v>
      </c>
      <c r="K51" s="4">
        <v>79.504666666666665</v>
      </c>
      <c r="L51" s="4">
        <v>69.340400000000002</v>
      </c>
      <c r="M51" s="4">
        <v>33.097499999999997</v>
      </c>
      <c r="N51" s="4">
        <v>81.275999999999996</v>
      </c>
      <c r="O51" s="4">
        <v>72.349333333333348</v>
      </c>
      <c r="P51" s="4">
        <v>79.298500000000004</v>
      </c>
      <c r="Q51" s="4">
        <v>86.406333333333336</v>
      </c>
      <c r="R51" s="4">
        <v>58.396500000000003</v>
      </c>
      <c r="S51" s="4">
        <v>70.321399999999997</v>
      </c>
      <c r="T51" s="4">
        <v>72.668555555555557</v>
      </c>
      <c r="U51" s="4">
        <v>98.233499999999992</v>
      </c>
    </row>
    <row r="52" spans="1:21" x14ac:dyDescent="0.25">
      <c r="A52" t="s">
        <v>121</v>
      </c>
      <c r="B52" t="s">
        <v>122</v>
      </c>
      <c r="C52" s="2">
        <v>73.168055648926241</v>
      </c>
      <c r="D52" s="3">
        <v>51</v>
      </c>
      <c r="E52" s="4">
        <v>96.715000000000003</v>
      </c>
      <c r="F52" s="4">
        <v>64.520142857142858</v>
      </c>
      <c r="G52" s="4">
        <v>80.902214285714294</v>
      </c>
      <c r="H52" s="4">
        <v>94.971666666666678</v>
      </c>
      <c r="I52" s="4">
        <v>79.220999999999989</v>
      </c>
      <c r="J52" s="4">
        <v>79.063599999999994</v>
      </c>
      <c r="K52" s="4">
        <v>91.969666666666669</v>
      </c>
      <c r="L52" s="4">
        <v>69.470399999999998</v>
      </c>
      <c r="M52" s="4">
        <v>45.207666666666661</v>
      </c>
      <c r="N52" s="4">
        <v>45.992000000000004</v>
      </c>
      <c r="O52" s="4">
        <v>86.076333333333324</v>
      </c>
      <c r="P52" s="4">
        <v>77.761499999999998</v>
      </c>
      <c r="Q52" s="4">
        <v>86.489333333333335</v>
      </c>
      <c r="R52" s="4">
        <v>51.936999999999998</v>
      </c>
      <c r="S52" s="4">
        <v>59.869199999999999</v>
      </c>
      <c r="T52" s="4">
        <v>65.142222222222216</v>
      </c>
      <c r="U52" s="4">
        <v>68.548000000000002</v>
      </c>
    </row>
    <row r="53" spans="1:21" x14ac:dyDescent="0.25">
      <c r="A53" t="s">
        <v>109</v>
      </c>
      <c r="B53" t="s">
        <v>110</v>
      </c>
      <c r="C53" s="2">
        <v>73.010922192513377</v>
      </c>
      <c r="D53" s="3">
        <v>52</v>
      </c>
      <c r="E53" s="4">
        <v>84.328499999999991</v>
      </c>
      <c r="F53" s="4">
        <v>60.491</v>
      </c>
      <c r="G53" s="4">
        <v>72.65600000000002</v>
      </c>
      <c r="H53" s="4">
        <v>90.541999999999987</v>
      </c>
      <c r="I53" s="4">
        <v>62.182499999999997</v>
      </c>
      <c r="J53" s="4">
        <v>65.148600000000002</v>
      </c>
      <c r="K53" s="4">
        <v>90.328666666666663</v>
      </c>
      <c r="L53" s="4">
        <v>69.478999999999999</v>
      </c>
      <c r="M53" s="4">
        <v>28.426000000000002</v>
      </c>
      <c r="N53" s="4">
        <v>84.963000000000008</v>
      </c>
      <c r="O53" s="4">
        <v>83.84333333333332</v>
      </c>
      <c r="P53" s="4">
        <v>86.753833333333333</v>
      </c>
      <c r="Q53" s="4">
        <v>93.254000000000005</v>
      </c>
      <c r="S53" s="4">
        <v>71.079800000000006</v>
      </c>
      <c r="T53" s="4">
        <v>64.375</v>
      </c>
      <c r="U53" s="4">
        <v>74.416666666666671</v>
      </c>
    </row>
    <row r="54" spans="1:21" x14ac:dyDescent="0.25">
      <c r="A54" t="s">
        <v>119</v>
      </c>
      <c r="B54" t="s">
        <v>120</v>
      </c>
      <c r="C54" s="2">
        <v>72.672831979458437</v>
      </c>
      <c r="D54" s="3">
        <v>53</v>
      </c>
      <c r="E54" s="4">
        <v>86.352000000000004</v>
      </c>
      <c r="F54" s="4">
        <v>66.603857142857137</v>
      </c>
      <c r="G54" s="4">
        <v>78.422714285714292</v>
      </c>
      <c r="H54" s="4">
        <v>85.361666666666679</v>
      </c>
      <c r="I54" s="4">
        <v>69.804249999999996</v>
      </c>
      <c r="J54" s="4">
        <v>86.245599999999996</v>
      </c>
      <c r="K54" s="4">
        <v>94.319333333333319</v>
      </c>
      <c r="L54" s="4">
        <v>72.448800000000006</v>
      </c>
      <c r="M54" s="4">
        <v>59.049666666666667</v>
      </c>
      <c r="N54" s="4">
        <v>24.808</v>
      </c>
      <c r="O54" s="4">
        <v>79.531000000000006</v>
      </c>
      <c r="P54" s="4">
        <v>79.423500000000004</v>
      </c>
      <c r="Q54" s="4">
        <v>94.565666666666672</v>
      </c>
      <c r="R54" s="4">
        <v>70.894800000000004</v>
      </c>
      <c r="S54" s="4">
        <v>57.230399999999996</v>
      </c>
      <c r="T54" s="4">
        <v>55.634888888888888</v>
      </c>
      <c r="U54" s="4">
        <v>74.742000000000004</v>
      </c>
    </row>
    <row r="55" spans="1:21" x14ac:dyDescent="0.25">
      <c r="A55" t="s">
        <v>125</v>
      </c>
      <c r="B55" t="s">
        <v>126</v>
      </c>
      <c r="C55" s="2">
        <v>72.608897776080141</v>
      </c>
      <c r="D55" s="3">
        <v>54</v>
      </c>
      <c r="E55" s="4">
        <v>100</v>
      </c>
      <c r="F55" s="4">
        <v>61.759857142857143</v>
      </c>
      <c r="G55" s="4">
        <v>73.484999999999999</v>
      </c>
      <c r="H55" s="4">
        <v>88.282666666666671</v>
      </c>
      <c r="I55" s="4">
        <v>54.14875</v>
      </c>
      <c r="J55" s="4">
        <v>65.561200000000014</v>
      </c>
      <c r="K55" s="4">
        <v>90.90100000000001</v>
      </c>
      <c r="L55" s="4">
        <v>66.027199999999993</v>
      </c>
      <c r="M55" s="4">
        <v>34.636333333333333</v>
      </c>
      <c r="N55" s="4">
        <v>68.597000000000008</v>
      </c>
      <c r="O55" s="4">
        <v>85.414666666666662</v>
      </c>
      <c r="P55" s="4">
        <v>84.770499999999984</v>
      </c>
      <c r="Q55" s="4">
        <v>90.400666666666666</v>
      </c>
      <c r="S55" s="4">
        <v>66.704199999999986</v>
      </c>
      <c r="T55" s="4">
        <v>74.039777777777772</v>
      </c>
      <c r="U55" s="4">
        <v>70.704666666666668</v>
      </c>
    </row>
    <row r="56" spans="1:21" x14ac:dyDescent="0.25">
      <c r="A56" t="s">
        <v>111</v>
      </c>
      <c r="B56" t="s">
        <v>112</v>
      </c>
      <c r="C56" s="2">
        <v>72.58152218568587</v>
      </c>
      <c r="D56" s="3">
        <v>55</v>
      </c>
      <c r="F56" s="4">
        <v>58.415142857142861</v>
      </c>
      <c r="G56" s="4">
        <v>85.297499999999999</v>
      </c>
      <c r="H56" s="4">
        <v>95.458000000000013</v>
      </c>
      <c r="I56" s="4">
        <v>83.63</v>
      </c>
      <c r="J56" s="4">
        <v>74.502200000000002</v>
      </c>
      <c r="K56" s="4">
        <v>85.362666666666655</v>
      </c>
      <c r="L56" s="4">
        <v>91.853333333333339</v>
      </c>
      <c r="M56" s="4">
        <v>23.107833333333332</v>
      </c>
      <c r="O56" s="4">
        <v>56.179333333333339</v>
      </c>
      <c r="P56" s="4">
        <v>88.221999999999994</v>
      </c>
      <c r="Q56" s="4">
        <v>88.381500000000003</v>
      </c>
      <c r="R56" s="4">
        <v>66.894199999999998</v>
      </c>
      <c r="S56" s="4">
        <v>51.433599999999998</v>
      </c>
      <c r="T56" s="4">
        <v>64.70183333333334</v>
      </c>
      <c r="U56" s="4">
        <v>100</v>
      </c>
    </row>
    <row r="57" spans="1:21" x14ac:dyDescent="0.25">
      <c r="A57" t="s">
        <v>161</v>
      </c>
      <c r="B57" t="s">
        <v>162</v>
      </c>
      <c r="C57" s="2">
        <v>72.269622128851537</v>
      </c>
      <c r="D57" s="3">
        <v>56</v>
      </c>
      <c r="E57" s="4">
        <v>97.881</v>
      </c>
      <c r="F57" s="4">
        <v>54.580571428571439</v>
      </c>
      <c r="G57" s="4">
        <v>75.503571428571419</v>
      </c>
      <c r="H57" s="4">
        <v>90.485333333333344</v>
      </c>
      <c r="I57" s="4">
        <v>52.793500000000002</v>
      </c>
      <c r="J57" s="4">
        <v>61.034000000000006</v>
      </c>
      <c r="K57" s="4">
        <v>87.173333333333332</v>
      </c>
      <c r="L57" s="4">
        <v>67.032999999999987</v>
      </c>
      <c r="M57" s="4">
        <v>40.04</v>
      </c>
      <c r="N57" s="4">
        <v>88.67</v>
      </c>
      <c r="O57" s="4">
        <v>66.611666666666665</v>
      </c>
      <c r="P57" s="4">
        <v>88.36066666666666</v>
      </c>
      <c r="Q57" s="4">
        <v>92.091333333333338</v>
      </c>
      <c r="R57" s="4">
        <v>48.790399999999998</v>
      </c>
      <c r="S57" s="4">
        <v>62.181200000000011</v>
      </c>
      <c r="T57" s="4">
        <v>72.327333333333343</v>
      </c>
      <c r="U57" s="4">
        <v>83.026666666666657</v>
      </c>
    </row>
    <row r="58" spans="1:21" x14ac:dyDescent="0.25">
      <c r="A58" t="s">
        <v>117</v>
      </c>
      <c r="B58" t="s">
        <v>118</v>
      </c>
      <c r="C58" s="2">
        <v>71.92445354449471</v>
      </c>
      <c r="D58" s="3">
        <v>57</v>
      </c>
      <c r="E58" s="4">
        <v>99.960999999999999</v>
      </c>
      <c r="F58" s="4">
        <v>50.066200000000002</v>
      </c>
      <c r="G58" s="4">
        <v>76.618076923076927</v>
      </c>
      <c r="H58" s="4">
        <v>94.624000000000009</v>
      </c>
      <c r="I58" s="4">
        <v>66.337000000000003</v>
      </c>
      <c r="J58" s="4">
        <v>72.010999999999996</v>
      </c>
      <c r="K58" s="4">
        <v>91.009333333333345</v>
      </c>
      <c r="L58" s="4">
        <v>79.5886</v>
      </c>
      <c r="M58" s="4">
        <v>66.255166666666653</v>
      </c>
      <c r="N58" s="4">
        <v>53.484999999999999</v>
      </c>
      <c r="O58" s="4">
        <v>82.352999999999994</v>
      </c>
      <c r="P58" s="4">
        <v>77.839166666666671</v>
      </c>
      <c r="Q58" s="4">
        <v>76.716333333333338</v>
      </c>
      <c r="R58" s="4">
        <v>50.695800000000006</v>
      </c>
      <c r="S58" s="4">
        <v>66.147199999999998</v>
      </c>
      <c r="T58" s="4">
        <v>51.227499999999999</v>
      </c>
      <c r="U58" s="4">
        <v>67.781333333333336</v>
      </c>
    </row>
    <row r="59" spans="1:21" x14ac:dyDescent="0.25">
      <c r="A59" t="s">
        <v>103</v>
      </c>
      <c r="B59" t="s">
        <v>104</v>
      </c>
      <c r="C59" s="2">
        <v>71.880186274509811</v>
      </c>
      <c r="D59" s="3">
        <v>58</v>
      </c>
      <c r="E59" s="4">
        <v>85.77600000000001</v>
      </c>
      <c r="F59" s="4">
        <v>51.183857142857143</v>
      </c>
      <c r="G59" s="4">
        <v>73.187642857142848</v>
      </c>
      <c r="H59" s="4">
        <v>97.210333333333324</v>
      </c>
      <c r="I59" s="4">
        <v>58.860250000000008</v>
      </c>
      <c r="J59" s="4">
        <v>83.497600000000006</v>
      </c>
      <c r="K59" s="4">
        <v>88.089666666666673</v>
      </c>
      <c r="L59" s="4">
        <v>70.615600000000001</v>
      </c>
      <c r="M59" s="4">
        <v>37.145166666666668</v>
      </c>
      <c r="N59" s="4">
        <v>43.459000000000003</v>
      </c>
      <c r="O59" s="4">
        <v>83.286000000000001</v>
      </c>
      <c r="P59" s="4">
        <v>84.673000000000016</v>
      </c>
      <c r="Q59" s="4">
        <v>88.18</v>
      </c>
      <c r="R59" s="4">
        <v>64.282250000000005</v>
      </c>
      <c r="S59" s="4">
        <v>66.0608</v>
      </c>
      <c r="T59" s="4">
        <v>83.420333333333332</v>
      </c>
      <c r="U59" s="4">
        <v>63.035666666666664</v>
      </c>
    </row>
    <row r="60" spans="1:21" x14ac:dyDescent="0.25">
      <c r="A60" t="s">
        <v>191</v>
      </c>
      <c r="B60" t="s">
        <v>192</v>
      </c>
      <c r="C60" s="2">
        <v>71.813098832866473</v>
      </c>
      <c r="D60" s="3">
        <v>59</v>
      </c>
      <c r="E60" s="4">
        <v>95.787499999999994</v>
      </c>
      <c r="F60" s="4">
        <v>58.403571428571425</v>
      </c>
      <c r="G60" s="4">
        <v>79.147714285714301</v>
      </c>
      <c r="H60" s="4">
        <v>94.658000000000015</v>
      </c>
      <c r="I60" s="4">
        <v>43.792249999999996</v>
      </c>
      <c r="J60" s="4">
        <v>59.547399999999996</v>
      </c>
      <c r="K60" s="4">
        <v>88.418666666666653</v>
      </c>
      <c r="L60" s="4">
        <v>70.093400000000003</v>
      </c>
      <c r="M60" s="4">
        <v>54.475666666666676</v>
      </c>
      <c r="N60" s="4">
        <v>59.901000000000003</v>
      </c>
      <c r="O60" s="4">
        <v>75.290333333333322</v>
      </c>
      <c r="P60" s="4">
        <v>84.579666666666682</v>
      </c>
      <c r="Q60" s="4">
        <v>82.793666666666667</v>
      </c>
      <c r="R60" s="4">
        <v>75.8994</v>
      </c>
      <c r="S60" s="4">
        <v>67.022000000000006</v>
      </c>
      <c r="T60" s="4">
        <v>63.297111111111107</v>
      </c>
      <c r="U60" s="4">
        <v>67.715333333333334</v>
      </c>
    </row>
    <row r="61" spans="1:21" x14ac:dyDescent="0.25">
      <c r="A61" t="s">
        <v>175</v>
      </c>
      <c r="B61" t="s">
        <v>176</v>
      </c>
      <c r="C61" s="2">
        <v>71.758739495798324</v>
      </c>
      <c r="D61" s="3">
        <v>60</v>
      </c>
      <c r="E61" s="4">
        <v>99.980500000000006</v>
      </c>
      <c r="F61" s="4">
        <v>54.557142857142864</v>
      </c>
      <c r="G61" s="4">
        <v>79.46378571428572</v>
      </c>
      <c r="H61" s="4">
        <v>90.418000000000006</v>
      </c>
      <c r="I61" s="4">
        <v>55.861000000000004</v>
      </c>
      <c r="J61" s="4">
        <v>77.548200000000008</v>
      </c>
      <c r="K61" s="4">
        <v>91.097333333333324</v>
      </c>
      <c r="L61" s="4">
        <v>80.895600000000002</v>
      </c>
      <c r="M61" s="4">
        <v>71.45450000000001</v>
      </c>
      <c r="N61" s="4">
        <v>56.253999999999998</v>
      </c>
      <c r="O61" s="4">
        <v>83.88266666666668</v>
      </c>
      <c r="P61" s="4">
        <v>76.913166666666669</v>
      </c>
      <c r="Q61" s="4">
        <v>78.678333333333342</v>
      </c>
      <c r="R61" s="4">
        <v>55.998199999999997</v>
      </c>
      <c r="S61" s="4">
        <v>40.116</v>
      </c>
      <c r="T61" s="4">
        <v>71.69014285714286</v>
      </c>
      <c r="U61" s="4">
        <v>55.09</v>
      </c>
    </row>
    <row r="62" spans="1:21" x14ac:dyDescent="0.25">
      <c r="A62" t="s">
        <v>149</v>
      </c>
      <c r="B62" t="s">
        <v>150</v>
      </c>
      <c r="C62" s="2">
        <v>71.754564799253046</v>
      </c>
      <c r="D62" s="3">
        <v>61</v>
      </c>
      <c r="E62" s="4">
        <v>90.133499999999998</v>
      </c>
      <c r="F62" s="4">
        <v>63.375857142857157</v>
      </c>
      <c r="G62" s="4">
        <v>78.474999999999994</v>
      </c>
      <c r="H62" s="4">
        <v>95.446000000000012</v>
      </c>
      <c r="I62" s="4">
        <v>67.739500000000007</v>
      </c>
      <c r="J62" s="4">
        <v>80.327200000000005</v>
      </c>
      <c r="K62" s="4">
        <v>84.714333333333343</v>
      </c>
      <c r="L62" s="4">
        <v>75.472400000000007</v>
      </c>
      <c r="M62" s="4">
        <v>36.220166666666678</v>
      </c>
      <c r="N62" s="4">
        <v>39.825000000000003</v>
      </c>
      <c r="O62" s="4">
        <v>74.972999999999999</v>
      </c>
      <c r="P62" s="4">
        <v>86.99433333333333</v>
      </c>
      <c r="Q62" s="4">
        <v>93.818666666666672</v>
      </c>
      <c r="R62" s="4">
        <v>82.059200000000004</v>
      </c>
      <c r="S62" s="4">
        <v>55.259</v>
      </c>
      <c r="T62" s="4">
        <v>58.057777777777773</v>
      </c>
      <c r="U62" s="4">
        <v>56.936666666666667</v>
      </c>
    </row>
    <row r="63" spans="1:21" x14ac:dyDescent="0.25">
      <c r="A63" t="s">
        <v>139</v>
      </c>
      <c r="B63" t="s">
        <v>140</v>
      </c>
      <c r="C63" s="2">
        <v>71.399160381122158</v>
      </c>
      <c r="D63" s="3">
        <v>62</v>
      </c>
      <c r="E63" s="4">
        <v>89.953000000000003</v>
      </c>
      <c r="F63" s="4">
        <v>64.698714285714303</v>
      </c>
      <c r="G63" s="4">
        <v>80.208357142857139</v>
      </c>
      <c r="H63" s="4">
        <v>90.616666666666674</v>
      </c>
      <c r="I63" s="4">
        <v>55.477499999999999</v>
      </c>
      <c r="J63" s="4">
        <v>76.215999999999994</v>
      </c>
      <c r="K63" s="4">
        <v>80.422666666666672</v>
      </c>
      <c r="L63" s="4">
        <v>67.936400000000006</v>
      </c>
      <c r="M63" s="4">
        <v>35.323</v>
      </c>
      <c r="N63" s="4">
        <v>53.500999999999998</v>
      </c>
      <c r="O63" s="4">
        <v>72.503</v>
      </c>
      <c r="P63" s="4">
        <v>76.685333333333332</v>
      </c>
      <c r="Q63" s="4">
        <v>89.374000000000009</v>
      </c>
      <c r="S63" s="4">
        <v>79.94919999999999</v>
      </c>
      <c r="T63" s="4">
        <v>72.105111111111114</v>
      </c>
      <c r="U63" s="4">
        <v>69.89800000000001</v>
      </c>
    </row>
    <row r="64" spans="1:21" x14ac:dyDescent="0.25">
      <c r="A64" t="s">
        <v>135</v>
      </c>
      <c r="B64" t="s">
        <v>136</v>
      </c>
      <c r="C64" s="2">
        <v>71.372005882352937</v>
      </c>
      <c r="D64" s="3">
        <v>63</v>
      </c>
      <c r="E64" s="4">
        <v>97.802499999999995</v>
      </c>
      <c r="F64" s="4">
        <v>53.617857142857147</v>
      </c>
      <c r="G64" s="4">
        <v>74.672142857142845</v>
      </c>
      <c r="H64" s="4">
        <v>86.916333333333341</v>
      </c>
      <c r="I64" s="4">
        <v>49.939000000000007</v>
      </c>
      <c r="J64" s="4">
        <v>63.326199999999993</v>
      </c>
      <c r="K64" s="4">
        <v>91.987666666666655</v>
      </c>
      <c r="L64" s="4">
        <v>62.675199999999997</v>
      </c>
      <c r="M64" s="4">
        <v>41.810499999999998</v>
      </c>
      <c r="N64" s="4">
        <v>64.783000000000001</v>
      </c>
      <c r="O64" s="4">
        <v>65.044666666666672</v>
      </c>
      <c r="P64" s="4">
        <v>87.436833333333325</v>
      </c>
      <c r="Q64" s="4">
        <v>92.647666666666666</v>
      </c>
      <c r="R64" s="4">
        <v>63.460599999999999</v>
      </c>
      <c r="S64" s="4">
        <v>66.929600000000008</v>
      </c>
      <c r="T64" s="4">
        <v>69.642999999999986</v>
      </c>
      <c r="U64" s="4">
        <v>80.63133333333333</v>
      </c>
    </row>
    <row r="65" spans="1:21" x14ac:dyDescent="0.25">
      <c r="A65" t="s">
        <v>159</v>
      </c>
      <c r="B65" t="s">
        <v>160</v>
      </c>
      <c r="C65" s="2">
        <v>71.294600933706818</v>
      </c>
      <c r="D65" s="3">
        <v>64</v>
      </c>
      <c r="E65" s="4">
        <v>95.484999999999999</v>
      </c>
      <c r="F65" s="4">
        <v>56.761571428571422</v>
      </c>
      <c r="G65" s="4">
        <v>75.368499999999997</v>
      </c>
      <c r="H65" s="4">
        <v>83.708333333333329</v>
      </c>
      <c r="I65" s="4">
        <v>41.134500000000003</v>
      </c>
      <c r="J65" s="4">
        <v>65.227800000000002</v>
      </c>
      <c r="K65" s="4">
        <v>87.86066666666666</v>
      </c>
      <c r="L65" s="4">
        <v>66.945599999999985</v>
      </c>
      <c r="M65" s="4">
        <v>39.083000000000006</v>
      </c>
      <c r="N65" s="4">
        <v>65.486999999999995</v>
      </c>
      <c r="O65" s="4">
        <v>68.978999999999999</v>
      </c>
      <c r="P65" s="4">
        <v>91.37</v>
      </c>
      <c r="Q65" s="4">
        <v>95.689333333333323</v>
      </c>
      <c r="R65" s="4">
        <v>60.101600000000005</v>
      </c>
      <c r="S65" s="4">
        <v>78.370199999999997</v>
      </c>
      <c r="T65" s="4">
        <v>72.273777777777781</v>
      </c>
      <c r="U65" s="4">
        <v>68.162333333333336</v>
      </c>
    </row>
    <row r="66" spans="1:21" x14ac:dyDescent="0.25">
      <c r="A66" t="s">
        <v>151</v>
      </c>
      <c r="B66" t="s">
        <v>152</v>
      </c>
      <c r="C66" s="2">
        <v>71.058550577200577</v>
      </c>
      <c r="D66" s="3">
        <v>65</v>
      </c>
      <c r="E66" s="4">
        <v>99.885999999999996</v>
      </c>
      <c r="F66" s="4">
        <v>53.347285714285711</v>
      </c>
      <c r="G66" s="4">
        <v>77.67128571428573</v>
      </c>
      <c r="H66" s="4">
        <v>90.454000000000008</v>
      </c>
      <c r="I66" s="4">
        <v>77.037999999999997</v>
      </c>
      <c r="J66" s="4">
        <v>78.813400000000001</v>
      </c>
      <c r="K66" s="4">
        <v>83.606999999999999</v>
      </c>
      <c r="L66" s="4">
        <v>76.908000000000001</v>
      </c>
      <c r="M66" s="4">
        <v>40.971499999999999</v>
      </c>
      <c r="N66" s="4">
        <v>60.048000000000002</v>
      </c>
      <c r="O66" s="4">
        <v>83.661333333333332</v>
      </c>
      <c r="P66" s="4">
        <v>75.544333333333327</v>
      </c>
      <c r="Q66" s="4">
        <v>68.287666666666667</v>
      </c>
      <c r="S66" s="4">
        <v>58.636000000000003</v>
      </c>
      <c r="T66" s="4">
        <v>72.975111111111104</v>
      </c>
      <c r="U66" s="4">
        <v>51.228666666666669</v>
      </c>
    </row>
    <row r="67" spans="1:21" x14ac:dyDescent="0.25">
      <c r="A67" t="s">
        <v>157</v>
      </c>
      <c r="B67" t="s">
        <v>158</v>
      </c>
      <c r="C67" s="2">
        <v>71.018146842373312</v>
      </c>
      <c r="D67" s="3">
        <v>66</v>
      </c>
      <c r="E67" s="4">
        <v>67.498500000000007</v>
      </c>
      <c r="F67" s="4">
        <v>59.860428571428564</v>
      </c>
      <c r="G67" s="4">
        <v>77.411642857142866</v>
      </c>
      <c r="H67" s="4">
        <v>94.436333333333337</v>
      </c>
      <c r="I67" s="4">
        <v>73.894000000000005</v>
      </c>
      <c r="J67" s="4">
        <v>58.3596</v>
      </c>
      <c r="K67" s="4">
        <v>89.477000000000018</v>
      </c>
      <c r="L67" s="4">
        <v>70.881600000000006</v>
      </c>
      <c r="M67" s="4">
        <v>27.688833333333335</v>
      </c>
      <c r="N67" s="4">
        <v>51.166000000000004</v>
      </c>
      <c r="O67" s="4">
        <v>86.617666666666665</v>
      </c>
      <c r="P67" s="4">
        <v>91.454800000000006</v>
      </c>
      <c r="Q67" s="4">
        <v>94.089666666666673</v>
      </c>
      <c r="S67" s="4">
        <v>62.706600000000002</v>
      </c>
      <c r="T67" s="4">
        <v>76.764714285714277</v>
      </c>
      <c r="U67" s="4">
        <v>66.083333333333329</v>
      </c>
    </row>
    <row r="68" spans="1:21" x14ac:dyDescent="0.25">
      <c r="A68" t="s">
        <v>171</v>
      </c>
      <c r="B68" t="s">
        <v>172</v>
      </c>
      <c r="C68" s="2">
        <v>70.905391643324009</v>
      </c>
      <c r="D68" s="3">
        <v>67</v>
      </c>
      <c r="E68" s="4">
        <v>86.642499999999998</v>
      </c>
      <c r="F68" s="4">
        <v>59.438857142857138</v>
      </c>
      <c r="G68" s="4">
        <v>79.186428571428578</v>
      </c>
      <c r="H68" s="4">
        <v>84.325333333333333</v>
      </c>
      <c r="I68" s="4">
        <v>70.653750000000002</v>
      </c>
      <c r="J68" s="4">
        <v>81.160799999999995</v>
      </c>
      <c r="K68" s="4">
        <v>91.262</v>
      </c>
      <c r="L68" s="4">
        <v>69.601799999999997</v>
      </c>
      <c r="M68" s="4">
        <v>40.212166666666668</v>
      </c>
      <c r="N68" s="4">
        <v>21.914999999999999</v>
      </c>
      <c r="O68" s="4">
        <v>84.158000000000001</v>
      </c>
      <c r="P68" s="4">
        <v>86.16200000000002</v>
      </c>
      <c r="Q68" s="4">
        <v>90.037999999999997</v>
      </c>
      <c r="R68" s="4">
        <v>79.043800000000005</v>
      </c>
      <c r="S68" s="4">
        <v>57.184000000000005</v>
      </c>
      <c r="T68" s="4">
        <v>58.43255555555556</v>
      </c>
      <c r="U68" s="4">
        <v>65.974666666666664</v>
      </c>
    </row>
    <row r="69" spans="1:21" x14ac:dyDescent="0.25">
      <c r="A69" t="s">
        <v>127</v>
      </c>
      <c r="B69" t="s">
        <v>128</v>
      </c>
      <c r="C69" s="2">
        <v>70.817032679738574</v>
      </c>
      <c r="D69" s="3">
        <v>68</v>
      </c>
      <c r="E69" s="4">
        <v>95.535499999999999</v>
      </c>
      <c r="F69" s="4">
        <v>48.876000000000012</v>
      </c>
      <c r="G69" s="4">
        <v>78.144000000000005</v>
      </c>
      <c r="H69" s="4">
        <v>94.155666666666662</v>
      </c>
      <c r="I69" s="4">
        <v>54.548749999999998</v>
      </c>
      <c r="J69" s="4">
        <v>75.907600000000002</v>
      </c>
      <c r="K69" s="4">
        <v>86.844999999999999</v>
      </c>
      <c r="L69" s="4">
        <v>64.439599999999999</v>
      </c>
      <c r="M69" s="4">
        <v>29.071666666666673</v>
      </c>
      <c r="N69" s="4">
        <v>60.051000000000002</v>
      </c>
      <c r="O69" s="4">
        <v>75.01166666666667</v>
      </c>
      <c r="P69" s="4">
        <v>79.864833333333337</v>
      </c>
      <c r="Q69" s="4">
        <v>93.262999999999991</v>
      </c>
      <c r="R69" s="4">
        <v>50.303250000000006</v>
      </c>
      <c r="S69" s="4">
        <v>85.660799999999995</v>
      </c>
      <c r="T69" s="4">
        <v>66.620222222222239</v>
      </c>
      <c r="U69" s="4">
        <v>65.590999999999994</v>
      </c>
    </row>
    <row r="70" spans="1:21" x14ac:dyDescent="0.25">
      <c r="A70" t="s">
        <v>179</v>
      </c>
      <c r="B70" t="s">
        <v>180</v>
      </c>
      <c r="C70" s="2">
        <v>70.436346311858088</v>
      </c>
      <c r="D70" s="3">
        <v>69</v>
      </c>
      <c r="E70" s="4">
        <v>87.263000000000005</v>
      </c>
      <c r="F70" s="4">
        <v>56.827857142857155</v>
      </c>
      <c r="G70" s="4">
        <v>81.674785714285704</v>
      </c>
      <c r="H70" s="4">
        <v>99.584999999999994</v>
      </c>
      <c r="I70" s="4">
        <v>76.897000000000006</v>
      </c>
      <c r="J70" s="4">
        <v>78.78779999999999</v>
      </c>
      <c r="K70" s="4">
        <v>86.756999999999991</v>
      </c>
      <c r="L70" s="4">
        <v>73.456600000000009</v>
      </c>
      <c r="M70" s="4">
        <v>46.45333333333334</v>
      </c>
      <c r="N70" s="4">
        <v>21.527000000000001</v>
      </c>
      <c r="O70" s="4">
        <v>81.406999999999996</v>
      </c>
      <c r="P70" s="4">
        <v>81.061333333333337</v>
      </c>
      <c r="Q70" s="4">
        <v>89.148666666666671</v>
      </c>
      <c r="R70" s="4">
        <v>74.917600000000007</v>
      </c>
      <c r="S70" s="4">
        <v>47.373800000000003</v>
      </c>
      <c r="T70" s="4">
        <v>53.843444444444444</v>
      </c>
      <c r="U70" s="4">
        <v>60.436666666666667</v>
      </c>
    </row>
    <row r="71" spans="1:21" x14ac:dyDescent="0.25">
      <c r="A71" t="s">
        <v>436</v>
      </c>
      <c r="B71" t="s">
        <v>164</v>
      </c>
      <c r="C71" s="2">
        <v>70.30322351863822</v>
      </c>
      <c r="D71" s="3">
        <v>70</v>
      </c>
      <c r="E71" s="4">
        <v>99.679500000000004</v>
      </c>
      <c r="F71" s="4">
        <v>59.742285714285721</v>
      </c>
      <c r="G71" s="4">
        <v>81.169230769230779</v>
      </c>
      <c r="H71" s="4">
        <v>98.75566666666667</v>
      </c>
      <c r="I71" s="4">
        <v>46.246750000000006</v>
      </c>
      <c r="J71" s="4">
        <v>75.51700000000001</v>
      </c>
      <c r="K71" s="4">
        <v>88.661000000000001</v>
      </c>
      <c r="L71" s="4">
        <v>69.709400000000002</v>
      </c>
      <c r="M71" s="4">
        <v>59.342500000000001</v>
      </c>
      <c r="N71" s="4">
        <v>39.335000000000001</v>
      </c>
      <c r="O71" s="4">
        <v>70.392999999999986</v>
      </c>
      <c r="P71" s="4">
        <v>81.456000000000003</v>
      </c>
      <c r="Q71" s="4">
        <v>88.853666666666655</v>
      </c>
      <c r="R71" s="4">
        <v>45.892200000000003</v>
      </c>
      <c r="S71" s="4">
        <v>52.811599999999999</v>
      </c>
      <c r="T71" s="4">
        <v>65.690999999999988</v>
      </c>
      <c r="U71" s="4">
        <v>71.899000000000001</v>
      </c>
    </row>
    <row r="72" spans="1:21" x14ac:dyDescent="0.25">
      <c r="A72" t="s">
        <v>177</v>
      </c>
      <c r="B72" t="s">
        <v>178</v>
      </c>
      <c r="C72" s="2">
        <v>70.295398734109014</v>
      </c>
      <c r="D72" s="3">
        <v>71</v>
      </c>
      <c r="F72" s="4">
        <v>63.397571428571432</v>
      </c>
      <c r="G72" s="4">
        <v>85.059615384615398</v>
      </c>
      <c r="H72" s="4">
        <v>88.629333333333349</v>
      </c>
      <c r="I72" s="4">
        <v>73.715499999999992</v>
      </c>
      <c r="J72" s="4">
        <v>56.111599999999996</v>
      </c>
      <c r="K72" s="4">
        <v>90.719333333333338</v>
      </c>
      <c r="L72" s="4">
        <v>68.982250000000008</v>
      </c>
      <c r="M72" s="4">
        <v>73.569166666666675</v>
      </c>
      <c r="N72" s="4">
        <v>85.887</v>
      </c>
      <c r="O72" s="4">
        <v>77.511499999999998</v>
      </c>
      <c r="P72" s="4">
        <v>52.161833333333334</v>
      </c>
      <c r="Q72" s="4">
        <v>28.849333333333334</v>
      </c>
      <c r="R72" s="4">
        <v>67.086200000000005</v>
      </c>
      <c r="S72" s="4">
        <v>58.207666666666661</v>
      </c>
      <c r="T72" s="4">
        <v>79.581625000000003</v>
      </c>
      <c r="U72" s="4">
        <v>51.389000000000003</v>
      </c>
    </row>
    <row r="73" spans="1:21" x14ac:dyDescent="0.25">
      <c r="A73" t="s">
        <v>153</v>
      </c>
      <c r="B73" t="s">
        <v>154</v>
      </c>
      <c r="C73" s="2">
        <v>70.187862651727357</v>
      </c>
      <c r="D73" s="3">
        <v>72</v>
      </c>
      <c r="E73" s="4">
        <v>99.915500000000009</v>
      </c>
      <c r="F73" s="4">
        <v>50.318428571428576</v>
      </c>
      <c r="G73" s="4">
        <v>78.129214285714269</v>
      </c>
      <c r="H73" s="4">
        <v>96.725333333333353</v>
      </c>
      <c r="I73" s="4">
        <v>59.361499999999999</v>
      </c>
      <c r="J73" s="4">
        <v>69.834000000000003</v>
      </c>
      <c r="K73" s="4">
        <v>84.36</v>
      </c>
      <c r="L73" s="4">
        <v>69.288800000000009</v>
      </c>
      <c r="M73" s="4">
        <v>43.773833333333336</v>
      </c>
      <c r="N73" s="4">
        <v>63.372</v>
      </c>
      <c r="O73" s="4">
        <v>72.197333333333333</v>
      </c>
      <c r="P73" s="4">
        <v>60.421166666666664</v>
      </c>
      <c r="Q73" s="4">
        <v>85.931333333333328</v>
      </c>
      <c r="R73" s="4">
        <v>33.213250000000002</v>
      </c>
      <c r="S73" s="4">
        <v>51.981749999999998</v>
      </c>
      <c r="T73" s="4">
        <v>74.370222222222225</v>
      </c>
      <c r="U73" s="4">
        <v>100</v>
      </c>
    </row>
    <row r="74" spans="1:21" x14ac:dyDescent="0.25">
      <c r="A74" t="s">
        <v>143</v>
      </c>
      <c r="B74" t="s">
        <v>144</v>
      </c>
      <c r="C74" s="2">
        <v>70.165078151260502</v>
      </c>
      <c r="D74" s="3">
        <v>73</v>
      </c>
      <c r="E74" s="4">
        <v>95.364500000000007</v>
      </c>
      <c r="F74" s="4">
        <v>54.377571428571436</v>
      </c>
      <c r="G74" s="4">
        <v>67.770857142857139</v>
      </c>
      <c r="H74" s="4">
        <v>88.094333333333338</v>
      </c>
      <c r="I74" s="4">
        <v>72.219249999999988</v>
      </c>
      <c r="J74" s="4">
        <v>69.717200000000005</v>
      </c>
      <c r="K74" s="4">
        <v>90.025999999999996</v>
      </c>
      <c r="L74" s="4">
        <v>78.524200000000008</v>
      </c>
      <c r="M74" s="4">
        <v>33.869999999999997</v>
      </c>
      <c r="N74" s="4">
        <v>32.256</v>
      </c>
      <c r="O74" s="4">
        <v>80.192333333333337</v>
      </c>
      <c r="P74" s="4">
        <v>84.943000000000012</v>
      </c>
      <c r="Q74" s="4">
        <v>92.805000000000007</v>
      </c>
      <c r="R74" s="4">
        <v>75.373750000000001</v>
      </c>
      <c r="S74" s="4">
        <v>75.073000000000008</v>
      </c>
      <c r="T74" s="4">
        <v>54.784999999999997</v>
      </c>
      <c r="U74" s="4">
        <v>47.414333333333332</v>
      </c>
    </row>
    <row r="75" spans="1:21" x14ac:dyDescent="0.25">
      <c r="A75" t="s">
        <v>133</v>
      </c>
      <c r="B75" t="s">
        <v>134</v>
      </c>
      <c r="C75" s="2">
        <v>69.946921568627445</v>
      </c>
      <c r="D75" s="3">
        <v>74</v>
      </c>
      <c r="E75" s="4">
        <v>93.368500000000012</v>
      </c>
      <c r="F75" s="4">
        <v>51.29</v>
      </c>
      <c r="G75" s="4">
        <v>70.774083333333351</v>
      </c>
      <c r="H75" s="4">
        <v>97.507999999999996</v>
      </c>
      <c r="I75" s="4">
        <v>58.280999999999999</v>
      </c>
      <c r="J75" s="4">
        <v>76.740399999999994</v>
      </c>
      <c r="K75" s="4">
        <v>66.96350000000001</v>
      </c>
      <c r="L75" s="4">
        <v>83.451000000000008</v>
      </c>
      <c r="M75" s="4">
        <v>39.7014</v>
      </c>
      <c r="N75" s="4">
        <v>29.738</v>
      </c>
      <c r="O75" s="4">
        <v>95.593500000000006</v>
      </c>
      <c r="P75" s="4">
        <v>81.16</v>
      </c>
      <c r="Q75" s="4">
        <v>92.165000000000006</v>
      </c>
      <c r="R75" s="4">
        <v>59.210250000000002</v>
      </c>
      <c r="S75" s="4">
        <v>42.8202</v>
      </c>
      <c r="T75" s="4">
        <v>85.589500000000001</v>
      </c>
      <c r="U75" s="4">
        <v>64.743333333333325</v>
      </c>
    </row>
    <row r="76" spans="1:21" x14ac:dyDescent="0.25">
      <c r="A76" t="s">
        <v>131</v>
      </c>
      <c r="B76" t="s">
        <v>132</v>
      </c>
      <c r="C76" s="2">
        <v>69.860363228927923</v>
      </c>
      <c r="D76" s="3">
        <v>75</v>
      </c>
      <c r="E76" s="4">
        <v>93.183500000000009</v>
      </c>
      <c r="F76" s="4">
        <v>58.966000000000001</v>
      </c>
      <c r="G76" s="4">
        <v>77.385214285714298</v>
      </c>
      <c r="H76" s="4">
        <v>90.487000000000009</v>
      </c>
      <c r="I76" s="4">
        <v>58.067250000000001</v>
      </c>
      <c r="J76" s="4">
        <v>67.494200000000006</v>
      </c>
      <c r="K76" s="4">
        <v>94.97966666666666</v>
      </c>
      <c r="L76" s="4">
        <v>64.888599999999997</v>
      </c>
      <c r="M76" s="4">
        <v>33.428666666666672</v>
      </c>
      <c r="N76" s="4">
        <v>43.762999999999998</v>
      </c>
      <c r="O76" s="4">
        <v>67.221999999999994</v>
      </c>
      <c r="P76" s="4">
        <v>89.489500000000007</v>
      </c>
      <c r="Q76" s="4">
        <v>93.683333333333337</v>
      </c>
      <c r="S76" s="4">
        <v>61.083799999999997</v>
      </c>
      <c r="T76" s="4">
        <v>77.608999999999995</v>
      </c>
      <c r="U76" s="4">
        <v>56.977666666666664</v>
      </c>
    </row>
    <row r="77" spans="1:21" x14ac:dyDescent="0.25">
      <c r="A77" t="s">
        <v>199</v>
      </c>
      <c r="B77" t="s">
        <v>200</v>
      </c>
      <c r="C77" s="2">
        <v>69.668435650623891</v>
      </c>
      <c r="D77" s="3">
        <v>76</v>
      </c>
      <c r="F77" s="4">
        <v>58.321428571428569</v>
      </c>
      <c r="G77" s="4">
        <v>84.542071428571447</v>
      </c>
      <c r="H77" s="4">
        <v>89.241666666666674</v>
      </c>
      <c r="I77" s="4">
        <v>36.448</v>
      </c>
      <c r="J77" s="4">
        <v>51.162799999999997</v>
      </c>
      <c r="K77" s="4">
        <v>87.475666666666669</v>
      </c>
      <c r="L77" s="4">
        <v>73.913250000000005</v>
      </c>
      <c r="M77" s="4">
        <v>51.088833333333326</v>
      </c>
      <c r="O77" s="4">
        <v>77.878</v>
      </c>
      <c r="P77" s="4">
        <v>72.149500000000003</v>
      </c>
      <c r="Q77" s="4">
        <v>63.594999999999999</v>
      </c>
      <c r="R77" s="4">
        <v>70.242000000000004</v>
      </c>
      <c r="S77" s="4">
        <v>56.951000000000001</v>
      </c>
      <c r="T77" s="4">
        <v>80.198666666666668</v>
      </c>
      <c r="U77" s="4">
        <v>74.67</v>
      </c>
    </row>
    <row r="78" spans="1:21" x14ac:dyDescent="0.25">
      <c r="A78" t="s">
        <v>165</v>
      </c>
      <c r="B78" t="s">
        <v>166</v>
      </c>
      <c r="C78" s="2">
        <v>69.624196498599417</v>
      </c>
      <c r="D78" s="3">
        <v>77</v>
      </c>
      <c r="E78" s="4">
        <v>92.060500000000005</v>
      </c>
      <c r="F78" s="4">
        <v>52.950142857142851</v>
      </c>
      <c r="G78" s="4">
        <v>77.060214285714295</v>
      </c>
      <c r="H78" s="4">
        <v>76.051333333333332</v>
      </c>
      <c r="I78" s="4">
        <v>68.108750000000001</v>
      </c>
      <c r="J78" s="4">
        <v>75.805599999999998</v>
      </c>
      <c r="K78" s="4">
        <v>88.926666666666677</v>
      </c>
      <c r="L78" s="4">
        <v>70.6494</v>
      </c>
      <c r="M78" s="4">
        <v>20.045666666666666</v>
      </c>
      <c r="N78" s="4">
        <v>52.47</v>
      </c>
      <c r="O78" s="4">
        <v>89.309000000000012</v>
      </c>
      <c r="P78" s="4">
        <v>86.126333333333335</v>
      </c>
      <c r="Q78" s="4">
        <v>93.887999999999991</v>
      </c>
      <c r="R78" s="4">
        <v>49.3996</v>
      </c>
      <c r="S78" s="4">
        <v>65.971800000000002</v>
      </c>
      <c r="T78" s="4">
        <v>56.140333333333331</v>
      </c>
      <c r="U78" s="4">
        <v>68.64800000000001</v>
      </c>
    </row>
    <row r="79" spans="1:21" x14ac:dyDescent="0.25">
      <c r="A79" t="s">
        <v>189</v>
      </c>
      <c r="B79" t="s">
        <v>190</v>
      </c>
      <c r="C79" s="2">
        <v>69.431674013241647</v>
      </c>
      <c r="D79" s="3">
        <v>78</v>
      </c>
      <c r="E79" s="4">
        <v>87.707499999999996</v>
      </c>
      <c r="F79" s="4">
        <v>52.24316666666666</v>
      </c>
      <c r="G79" s="4">
        <v>69.055714285714288</v>
      </c>
      <c r="H79" s="4">
        <v>97.151333333333341</v>
      </c>
      <c r="I79" s="4">
        <v>48.512500000000003</v>
      </c>
      <c r="J79" s="4">
        <v>58.461599999999997</v>
      </c>
      <c r="K79" s="4">
        <v>91.23266666666666</v>
      </c>
      <c r="L79" s="4">
        <v>69.386400000000009</v>
      </c>
      <c r="M79" s="4">
        <v>11.896500000000001</v>
      </c>
      <c r="N79" s="4">
        <v>77.941000000000003</v>
      </c>
      <c r="O79" s="4">
        <v>80.277000000000001</v>
      </c>
      <c r="P79" s="4">
        <v>85.774799999999999</v>
      </c>
      <c r="Q79" s="4">
        <v>95.836500000000001</v>
      </c>
      <c r="S79" s="4">
        <v>69.62</v>
      </c>
      <c r="T79" s="4">
        <v>73.240666666666669</v>
      </c>
      <c r="U79" s="4">
        <v>53.083333333333336</v>
      </c>
    </row>
    <row r="80" spans="1:21" x14ac:dyDescent="0.25">
      <c r="A80" t="s">
        <v>193</v>
      </c>
      <c r="B80" t="s">
        <v>194</v>
      </c>
      <c r="C80" s="2">
        <v>69.267800664205069</v>
      </c>
      <c r="D80" s="3">
        <v>79</v>
      </c>
      <c r="E80" s="4">
        <v>85.825500000000005</v>
      </c>
      <c r="F80" s="4">
        <v>56.37885714285715</v>
      </c>
      <c r="G80" s="4">
        <v>71.016285714285715</v>
      </c>
      <c r="H80" s="4">
        <v>87.377666666666684</v>
      </c>
      <c r="I80" s="4">
        <v>69.235749999999996</v>
      </c>
      <c r="J80" s="4">
        <v>69.405600000000007</v>
      </c>
      <c r="K80" s="4">
        <v>71.725333333333325</v>
      </c>
      <c r="L80" s="4">
        <v>78.392399999999995</v>
      </c>
      <c r="M80" s="4">
        <v>25.4495</v>
      </c>
      <c r="N80" s="4">
        <v>53.515000000000001</v>
      </c>
      <c r="O80" s="4">
        <v>81.599000000000004</v>
      </c>
      <c r="P80" s="4">
        <v>85.670500000000004</v>
      </c>
      <c r="Q80" s="4">
        <v>93.567333333333337</v>
      </c>
      <c r="S80" s="4">
        <v>66.147599999999997</v>
      </c>
      <c r="T80" s="4">
        <v>47.80755555555556</v>
      </c>
      <c r="U80" s="4">
        <v>72.11</v>
      </c>
    </row>
    <row r="81" spans="1:21" x14ac:dyDescent="0.25">
      <c r="A81" t="s">
        <v>141</v>
      </c>
      <c r="B81" t="s">
        <v>142</v>
      </c>
      <c r="C81" s="2">
        <v>69.265110560224088</v>
      </c>
      <c r="D81" s="3">
        <v>80</v>
      </c>
      <c r="E81" s="4">
        <v>89.8155</v>
      </c>
      <c r="F81" s="4">
        <v>54.221600000000002</v>
      </c>
      <c r="G81" s="4">
        <v>67.757285714285715</v>
      </c>
      <c r="H81" s="4">
        <v>80.037999999999997</v>
      </c>
      <c r="I81" s="4">
        <v>48.952500000000001</v>
      </c>
      <c r="J81" s="4">
        <v>71.010999999999996</v>
      </c>
      <c r="K81" s="4">
        <v>74.500500000000002</v>
      </c>
      <c r="L81" s="4">
        <v>71.094750000000005</v>
      </c>
      <c r="M81" s="4">
        <v>33.354399999999998</v>
      </c>
      <c r="N81" s="4">
        <v>59.648000000000003</v>
      </c>
      <c r="O81" s="4">
        <v>82.586666666666659</v>
      </c>
      <c r="P81" s="4">
        <v>83.493833333333328</v>
      </c>
      <c r="Q81" s="4">
        <v>92.563500000000005</v>
      </c>
      <c r="S81" s="4">
        <v>65.002600000000001</v>
      </c>
      <c r="T81" s="4">
        <v>83.757857142857148</v>
      </c>
      <c r="U81" s="4">
        <v>63.556666666666672</v>
      </c>
    </row>
    <row r="82" spans="1:21" x14ac:dyDescent="0.25">
      <c r="A82" t="s">
        <v>213</v>
      </c>
      <c r="B82" t="s">
        <v>214</v>
      </c>
      <c r="C82" s="2">
        <v>69.190036227824464</v>
      </c>
      <c r="D82" s="3">
        <v>81</v>
      </c>
      <c r="E82" s="4">
        <v>93.8095</v>
      </c>
      <c r="F82" s="4">
        <v>52.295000000000002</v>
      </c>
      <c r="G82" s="4">
        <v>79.829571428571441</v>
      </c>
      <c r="H82" s="4">
        <v>80.094999999999999</v>
      </c>
      <c r="I82" s="4">
        <v>66.805250000000001</v>
      </c>
      <c r="J82" s="4">
        <v>78.512</v>
      </c>
      <c r="K82" s="4">
        <v>91.227999999999994</v>
      </c>
      <c r="L82" s="4">
        <v>77.134600000000006</v>
      </c>
      <c r="M82" s="4">
        <v>36.200833333333335</v>
      </c>
      <c r="N82" s="4">
        <v>29.388999999999999</v>
      </c>
      <c r="O82" s="4">
        <v>92.09333333333332</v>
      </c>
      <c r="P82" s="4">
        <v>77.563833333333335</v>
      </c>
      <c r="Q82" s="4">
        <v>86.335666666666668</v>
      </c>
      <c r="R82" s="4">
        <v>62.046000000000006</v>
      </c>
      <c r="S82" s="4">
        <v>60.487250000000003</v>
      </c>
      <c r="T82" s="4">
        <v>64.418777777777777</v>
      </c>
      <c r="U82" s="4">
        <v>47.987000000000002</v>
      </c>
    </row>
    <row r="83" spans="1:21" x14ac:dyDescent="0.25">
      <c r="A83" t="s">
        <v>241</v>
      </c>
      <c r="B83" t="s">
        <v>242</v>
      </c>
      <c r="C83" s="2">
        <v>68.83185367475663</v>
      </c>
      <c r="D83" s="3">
        <v>82</v>
      </c>
      <c r="F83" s="4">
        <v>66.39200000000001</v>
      </c>
      <c r="G83" s="4">
        <v>89.220923076923071</v>
      </c>
      <c r="H83" s="4">
        <v>95.12833333333333</v>
      </c>
      <c r="I83" s="4">
        <v>53.929499999999997</v>
      </c>
      <c r="J83" s="4">
        <v>71.344399999999993</v>
      </c>
      <c r="K83" s="4">
        <v>93.87</v>
      </c>
      <c r="L83" s="4">
        <v>79.518249999999995</v>
      </c>
      <c r="M83" s="4">
        <v>46.427333333333337</v>
      </c>
      <c r="O83" s="4">
        <v>52.007999999999996</v>
      </c>
      <c r="P83" s="4">
        <v>67.564666666666668</v>
      </c>
      <c r="Q83" s="4">
        <v>62.837333333333333</v>
      </c>
      <c r="R83" s="4">
        <v>65.149249999999995</v>
      </c>
      <c r="S83" s="4">
        <v>61.346000000000004</v>
      </c>
      <c r="T83" s="4">
        <v>69.613</v>
      </c>
      <c r="U83" s="4">
        <v>39.307000000000002</v>
      </c>
    </row>
    <row r="84" spans="1:21" x14ac:dyDescent="0.25">
      <c r="A84" t="s">
        <v>181</v>
      </c>
      <c r="B84" t="s">
        <v>182</v>
      </c>
      <c r="C84" s="2">
        <v>68.788552334267024</v>
      </c>
      <c r="D84" s="3">
        <v>83</v>
      </c>
      <c r="E84" s="4">
        <v>90.450500000000005</v>
      </c>
      <c r="F84" s="4">
        <v>59.299857142857149</v>
      </c>
      <c r="G84" s="4">
        <v>69.959571428571437</v>
      </c>
      <c r="H84" s="4">
        <v>84.407666666666671</v>
      </c>
      <c r="I84" s="4">
        <v>47.20975</v>
      </c>
      <c r="J84" s="4">
        <v>66.488399999999999</v>
      </c>
      <c r="K84" s="4">
        <v>92.71</v>
      </c>
      <c r="L84" s="4">
        <v>65.303799999999995</v>
      </c>
      <c r="M84" s="4">
        <v>43.453499999999998</v>
      </c>
      <c r="N84" s="4">
        <v>37.749000000000002</v>
      </c>
      <c r="O84" s="4">
        <v>59.879666666666672</v>
      </c>
      <c r="P84" s="4">
        <v>87.975833333333341</v>
      </c>
      <c r="Q84" s="4">
        <v>95.873666666666665</v>
      </c>
      <c r="R84" s="4">
        <v>65.608400000000003</v>
      </c>
      <c r="S84" s="4">
        <v>68.155999999999992</v>
      </c>
      <c r="T84" s="4">
        <v>77.565444444444466</v>
      </c>
      <c r="U84" s="4">
        <v>57.314333333333337</v>
      </c>
    </row>
    <row r="85" spans="1:21" x14ac:dyDescent="0.25">
      <c r="A85" t="s">
        <v>183</v>
      </c>
      <c r="B85" t="s">
        <v>184</v>
      </c>
      <c r="C85" s="2">
        <v>68.663718666953969</v>
      </c>
      <c r="D85" s="3">
        <v>84</v>
      </c>
      <c r="E85" s="4">
        <v>86.045000000000002</v>
      </c>
      <c r="F85" s="4">
        <v>49.747285714285702</v>
      </c>
      <c r="G85" s="4">
        <v>78.033153846153851</v>
      </c>
      <c r="H85" s="4">
        <v>76.896000000000001</v>
      </c>
      <c r="I85" s="4">
        <v>71.290750000000003</v>
      </c>
      <c r="J85" s="4">
        <v>70.640200000000007</v>
      </c>
      <c r="K85" s="4">
        <v>87.11866666666667</v>
      </c>
      <c r="L85" s="4">
        <v>77.729800000000012</v>
      </c>
      <c r="M85" s="4">
        <v>36.297000000000004</v>
      </c>
      <c r="N85" s="4">
        <v>37.701000000000001</v>
      </c>
      <c r="O85" s="4">
        <v>89.096000000000004</v>
      </c>
      <c r="P85" s="4">
        <v>78.185333333333347</v>
      </c>
      <c r="Q85" s="4">
        <v>89.954666666666682</v>
      </c>
      <c r="R85" s="4">
        <v>39.778999999999996</v>
      </c>
      <c r="S85" s="4">
        <v>57.701250000000002</v>
      </c>
      <c r="T85" s="4">
        <v>66.304777777777772</v>
      </c>
      <c r="U85" s="4">
        <v>74.763333333333335</v>
      </c>
    </row>
    <row r="86" spans="1:21" x14ac:dyDescent="0.25">
      <c r="A86" t="s">
        <v>227</v>
      </c>
      <c r="B86" t="s">
        <v>228</v>
      </c>
      <c r="C86" s="2">
        <v>68.655703081232502</v>
      </c>
      <c r="D86" s="3">
        <v>85</v>
      </c>
      <c r="E86" s="4">
        <v>84.919499999999999</v>
      </c>
      <c r="F86" s="4">
        <v>48.097428571428573</v>
      </c>
      <c r="G86" s="4">
        <v>77.025857142857149</v>
      </c>
      <c r="H86" s="4">
        <v>77.537333333333336</v>
      </c>
      <c r="I86" s="4">
        <v>83.881500000000003</v>
      </c>
      <c r="J86" s="4">
        <v>68.017200000000003</v>
      </c>
      <c r="K86" s="4">
        <v>72.403666666666666</v>
      </c>
      <c r="L86" s="4">
        <v>67.121600000000001</v>
      </c>
      <c r="M86" s="4">
        <v>14.691333333333333</v>
      </c>
      <c r="N86" s="4">
        <v>47.563000000000002</v>
      </c>
      <c r="O86" s="4">
        <v>77.589000000000013</v>
      </c>
      <c r="P86" s="4">
        <v>89.391000000000005</v>
      </c>
      <c r="Q86" s="4">
        <v>97.137666666666675</v>
      </c>
      <c r="R86" s="4">
        <v>71.127399999999994</v>
      </c>
      <c r="S86" s="4">
        <v>69.470799999999997</v>
      </c>
      <c r="T86" s="4">
        <v>59.243666666666662</v>
      </c>
      <c r="U86" s="4">
        <v>61.929000000000002</v>
      </c>
    </row>
    <row r="87" spans="1:21" x14ac:dyDescent="0.25">
      <c r="A87" t="s">
        <v>203</v>
      </c>
      <c r="B87" t="s">
        <v>204</v>
      </c>
      <c r="C87" s="2">
        <v>68.358949323062575</v>
      </c>
      <c r="D87" s="3">
        <v>86</v>
      </c>
      <c r="E87" s="4">
        <v>56.511000000000003</v>
      </c>
      <c r="F87" s="4">
        <v>61.889428571428574</v>
      </c>
      <c r="G87" s="4">
        <v>73.593857142857132</v>
      </c>
      <c r="H87" s="4">
        <v>66.805999999999997</v>
      </c>
      <c r="I87" s="4">
        <v>69.136750000000006</v>
      </c>
      <c r="J87" s="4">
        <v>73.400599999999997</v>
      </c>
      <c r="K87" s="4">
        <v>89.303333333333327</v>
      </c>
      <c r="L87" s="4">
        <v>75.591499999999996</v>
      </c>
      <c r="M87" s="4">
        <v>22.892000000000003</v>
      </c>
      <c r="O87" s="4">
        <v>83.040333333333351</v>
      </c>
      <c r="P87" s="4">
        <v>75.131833333333333</v>
      </c>
      <c r="Q87" s="4">
        <v>76.206999999999994</v>
      </c>
      <c r="R87" s="4">
        <v>77.306600000000003</v>
      </c>
      <c r="S87" s="4">
        <v>77.489999999999995</v>
      </c>
      <c r="T87" s="4">
        <v>69.192625000000007</v>
      </c>
      <c r="U87" s="4">
        <v>76.105000000000004</v>
      </c>
    </row>
    <row r="88" spans="1:21" x14ac:dyDescent="0.25">
      <c r="A88" t="s">
        <v>187</v>
      </c>
      <c r="B88" t="s">
        <v>188</v>
      </c>
      <c r="C88" s="2">
        <v>68.28651775120305</v>
      </c>
      <c r="D88" s="3">
        <v>87</v>
      </c>
      <c r="E88" s="4">
        <v>92.319500000000005</v>
      </c>
      <c r="F88" s="4">
        <v>48.946285714285715</v>
      </c>
      <c r="G88" s="4">
        <v>84.703769230769225</v>
      </c>
      <c r="H88" s="4">
        <v>97.553333333333327</v>
      </c>
      <c r="I88" s="4">
        <v>72.027249999999995</v>
      </c>
      <c r="J88" s="4">
        <v>59.290600000000005</v>
      </c>
      <c r="K88" s="4">
        <v>99.714500000000001</v>
      </c>
      <c r="L88" s="4">
        <v>73.786750000000012</v>
      </c>
      <c r="M88" s="4">
        <v>37.929749999999999</v>
      </c>
      <c r="O88" s="4">
        <v>79.207000000000008</v>
      </c>
      <c r="P88" s="4">
        <v>44.672499999999999</v>
      </c>
      <c r="Q88" s="4">
        <v>71.284999999999997</v>
      </c>
      <c r="R88" s="4">
        <v>43.522999999999996</v>
      </c>
      <c r="S88" s="4">
        <v>66.612499999999997</v>
      </c>
      <c r="T88" s="4">
        <v>73.168285714285716</v>
      </c>
      <c r="U88" s="4">
        <v>77.626499999999993</v>
      </c>
    </row>
    <row r="89" spans="1:21" x14ac:dyDescent="0.25">
      <c r="A89" t="s">
        <v>223</v>
      </c>
      <c r="B89" t="s">
        <v>224</v>
      </c>
      <c r="C89" s="2">
        <v>68.151804108309989</v>
      </c>
      <c r="D89" s="3">
        <v>88</v>
      </c>
      <c r="F89" s="4">
        <v>49.157714285714285</v>
      </c>
      <c r="G89" s="4">
        <v>87.687083333333348</v>
      </c>
      <c r="H89" s="4">
        <v>94.878666666666675</v>
      </c>
      <c r="I89" s="4">
        <v>64.176333333333332</v>
      </c>
      <c r="J89" s="4">
        <v>70.575749999999999</v>
      </c>
      <c r="K89" s="4">
        <v>90.299333333333337</v>
      </c>
      <c r="L89" s="4">
        <v>64.0595</v>
      </c>
      <c r="M89" s="4">
        <v>62.178500000000007</v>
      </c>
      <c r="O89" s="4">
        <v>100</v>
      </c>
      <c r="P89" s="4">
        <v>52.220666666666659</v>
      </c>
      <c r="Q89" s="4">
        <v>13.312333333333333</v>
      </c>
      <c r="R89" s="4">
        <v>65.623500000000007</v>
      </c>
      <c r="S89" s="4">
        <v>69.8874</v>
      </c>
      <c r="T89" s="4">
        <v>61.452333333333335</v>
      </c>
      <c r="U89" s="4">
        <v>72.16</v>
      </c>
    </row>
    <row r="90" spans="1:21" x14ac:dyDescent="0.25">
      <c r="A90" t="s">
        <v>173</v>
      </c>
      <c r="B90" t="s">
        <v>174</v>
      </c>
      <c r="C90" s="2">
        <v>68.053710690943035</v>
      </c>
      <c r="D90" s="3">
        <v>89</v>
      </c>
      <c r="E90" s="4">
        <v>90.795000000000002</v>
      </c>
      <c r="F90" s="4">
        <v>52.786999999999999</v>
      </c>
      <c r="G90" s="4">
        <v>75.661642857142866</v>
      </c>
      <c r="H90" s="4">
        <v>69.14</v>
      </c>
      <c r="I90" s="4">
        <v>42.360249999999994</v>
      </c>
      <c r="J90" s="4">
        <v>57.515200000000007</v>
      </c>
      <c r="K90" s="4">
        <v>92.312999999999988</v>
      </c>
      <c r="L90" s="4">
        <v>63.332599999999999</v>
      </c>
      <c r="M90" s="4">
        <v>51.374166666666667</v>
      </c>
      <c r="N90" s="4">
        <v>61.814</v>
      </c>
      <c r="O90" s="4">
        <v>74.853666666666655</v>
      </c>
      <c r="P90" s="4">
        <v>87.269333333333336</v>
      </c>
      <c r="Q90" s="4">
        <v>91.084000000000003</v>
      </c>
      <c r="R90" s="4">
        <v>57.896999999999998</v>
      </c>
      <c r="S90" s="4">
        <v>50.682000000000002</v>
      </c>
      <c r="T90" s="4">
        <v>73.766222222222211</v>
      </c>
      <c r="U90" s="4">
        <v>64.268000000000001</v>
      </c>
    </row>
    <row r="91" spans="1:21" x14ac:dyDescent="0.25">
      <c r="A91" t="s">
        <v>195</v>
      </c>
      <c r="B91" t="s">
        <v>196</v>
      </c>
      <c r="C91" s="2">
        <v>67.707408554027666</v>
      </c>
      <c r="D91" s="3">
        <v>90</v>
      </c>
      <c r="E91" s="4">
        <v>94.902000000000001</v>
      </c>
      <c r="F91" s="4">
        <v>70.83942857142857</v>
      </c>
      <c r="G91" s="4">
        <v>72.447642857142867</v>
      </c>
      <c r="H91" s="4">
        <v>78.896000000000001</v>
      </c>
      <c r="I91" s="4">
        <v>66.141999999999996</v>
      </c>
      <c r="J91" s="4">
        <v>77.21520000000001</v>
      </c>
      <c r="K91" s="4">
        <v>87.525000000000006</v>
      </c>
      <c r="L91" s="4">
        <v>76.766199999999998</v>
      </c>
      <c r="M91" s="4">
        <v>28.274166666666673</v>
      </c>
      <c r="N91" s="4">
        <v>35.140999999999998</v>
      </c>
      <c r="O91" s="4">
        <v>78.324666666666658</v>
      </c>
      <c r="P91" s="4">
        <v>75.891166666666678</v>
      </c>
      <c r="Q91" s="4">
        <v>88.467500000000001</v>
      </c>
      <c r="S91" s="4">
        <v>51.030799999999999</v>
      </c>
      <c r="T91" s="4">
        <v>48.390111111111111</v>
      </c>
      <c r="U91" s="4">
        <v>58.444333333333333</v>
      </c>
    </row>
    <row r="92" spans="1:21" x14ac:dyDescent="0.25">
      <c r="A92" t="s">
        <v>155</v>
      </c>
      <c r="B92" t="s">
        <v>156</v>
      </c>
      <c r="C92" s="2">
        <v>67.590506884292182</v>
      </c>
      <c r="D92" s="3">
        <v>91</v>
      </c>
      <c r="E92" s="4">
        <v>91.753500000000003</v>
      </c>
      <c r="F92" s="4">
        <v>44.888428571428577</v>
      </c>
      <c r="G92" s="4">
        <v>85.256538461538469</v>
      </c>
      <c r="H92" s="4">
        <v>95.934000000000012</v>
      </c>
      <c r="I92" s="4">
        <v>42.493250000000003</v>
      </c>
      <c r="J92" s="4">
        <v>76.032200000000003</v>
      </c>
      <c r="K92" s="4">
        <v>96.742000000000004</v>
      </c>
      <c r="L92" s="4">
        <v>75.572000000000003</v>
      </c>
      <c r="M92" s="4">
        <v>33.632199999999997</v>
      </c>
      <c r="N92" s="4">
        <v>10.997</v>
      </c>
      <c r="O92" s="4">
        <v>86.019333333333336</v>
      </c>
      <c r="P92" s="4">
        <v>63.070666666666661</v>
      </c>
      <c r="Q92" s="4">
        <v>87.76400000000001</v>
      </c>
      <c r="R92" s="4">
        <v>60.753</v>
      </c>
      <c r="S92" s="4">
        <v>51.95</v>
      </c>
      <c r="T92" s="4">
        <v>69.310500000000005</v>
      </c>
      <c r="U92" s="4">
        <v>76.87</v>
      </c>
    </row>
    <row r="93" spans="1:21" x14ac:dyDescent="0.25">
      <c r="A93" t="s">
        <v>197</v>
      </c>
      <c r="B93" t="s">
        <v>198</v>
      </c>
      <c r="C93" s="2">
        <v>67.178333634992455</v>
      </c>
      <c r="D93" s="3">
        <v>92</v>
      </c>
      <c r="E93" s="4">
        <v>54.6845</v>
      </c>
      <c r="F93" s="4">
        <v>40.185199999999995</v>
      </c>
      <c r="G93" s="4">
        <v>73.532538461538465</v>
      </c>
      <c r="H93" s="4">
        <v>81.187666666666658</v>
      </c>
      <c r="I93" s="4">
        <v>72.430000000000007</v>
      </c>
      <c r="J93" s="4">
        <v>73.094999999999999</v>
      </c>
      <c r="K93" s="4">
        <v>81.331999999999994</v>
      </c>
      <c r="L93" s="4">
        <v>74.265000000000001</v>
      </c>
      <c r="M93" s="4">
        <v>25.173400000000001</v>
      </c>
      <c r="N93" s="4">
        <v>36.137999999999998</v>
      </c>
      <c r="O93" s="4">
        <v>80.096000000000004</v>
      </c>
      <c r="P93" s="4">
        <v>79.503833333333333</v>
      </c>
      <c r="Q93" s="4">
        <v>94.219333333333338</v>
      </c>
      <c r="R93" s="4">
        <v>57.303200000000004</v>
      </c>
      <c r="S93" s="4">
        <v>69.406499999999994</v>
      </c>
      <c r="T93" s="4">
        <v>76.901499999999999</v>
      </c>
      <c r="U93" s="4">
        <v>72.578000000000003</v>
      </c>
    </row>
    <row r="94" spans="1:21" x14ac:dyDescent="0.25">
      <c r="A94" t="s">
        <v>147</v>
      </c>
      <c r="B94" t="s">
        <v>148</v>
      </c>
      <c r="C94" s="2">
        <v>67.000135994397738</v>
      </c>
      <c r="D94" s="3">
        <v>93</v>
      </c>
      <c r="E94" s="4">
        <v>98.358000000000004</v>
      </c>
      <c r="F94" s="4">
        <v>72.483199999999997</v>
      </c>
      <c r="G94" s="4">
        <v>94.425500000000014</v>
      </c>
      <c r="H94" s="4">
        <v>99.719333333333338</v>
      </c>
      <c r="I94" s="4">
        <v>69.878250000000008</v>
      </c>
      <c r="J94" s="4">
        <v>75.686250000000001</v>
      </c>
      <c r="K94" s="4">
        <v>94.570666666666668</v>
      </c>
      <c r="L94" s="4">
        <v>70.303599999999989</v>
      </c>
      <c r="M94" s="4">
        <v>91.334666666666678</v>
      </c>
      <c r="O94" s="4">
        <v>94.367000000000004</v>
      </c>
      <c r="P94" s="4">
        <v>17.765000000000001</v>
      </c>
      <c r="Q94" s="4">
        <v>49.936666666666667</v>
      </c>
      <c r="R94" s="4">
        <v>5.7949999999999999</v>
      </c>
      <c r="S94" s="4">
        <v>31.047750000000001</v>
      </c>
      <c r="T94" s="4">
        <v>86.479428571428571</v>
      </c>
      <c r="U94" s="4">
        <v>30.932000000000002</v>
      </c>
    </row>
    <row r="95" spans="1:21" x14ac:dyDescent="0.25">
      <c r="A95" t="s">
        <v>185</v>
      </c>
      <c r="B95" t="s">
        <v>186</v>
      </c>
      <c r="C95" s="2">
        <v>66.87636311858077</v>
      </c>
      <c r="D95" s="3">
        <v>94</v>
      </c>
      <c r="E95" s="4">
        <v>92.085999999999999</v>
      </c>
      <c r="F95" s="4">
        <v>53.465857142857146</v>
      </c>
      <c r="G95" s="4">
        <v>78.861571428571423</v>
      </c>
      <c r="H95" s="4">
        <v>97.138333333333335</v>
      </c>
      <c r="I95" s="4">
        <v>48.811500000000002</v>
      </c>
      <c r="J95" s="4">
        <v>56.62700000000001</v>
      </c>
      <c r="K95" s="4">
        <v>65.39233333333334</v>
      </c>
      <c r="L95" s="4">
        <v>82.199799999999996</v>
      </c>
      <c r="M95" s="4">
        <v>33.788166666666669</v>
      </c>
      <c r="N95" s="4">
        <v>32.603000000000002</v>
      </c>
      <c r="O95" s="4">
        <v>80.439333333333323</v>
      </c>
      <c r="P95" s="4">
        <v>86.630499999999998</v>
      </c>
      <c r="Q95" s="4">
        <v>95.322999999999993</v>
      </c>
      <c r="R95" s="4">
        <v>63.535600000000002</v>
      </c>
      <c r="S95" s="4">
        <v>54.747399999999992</v>
      </c>
      <c r="T95" s="4">
        <v>66.86977777777777</v>
      </c>
      <c r="U95" s="4">
        <v>48.378999999999998</v>
      </c>
    </row>
    <row r="96" spans="1:21" x14ac:dyDescent="0.25">
      <c r="A96" t="s">
        <v>209</v>
      </c>
      <c r="B96" t="s">
        <v>210</v>
      </c>
      <c r="C96" s="2">
        <v>66.676583753501404</v>
      </c>
      <c r="D96" s="3">
        <v>95</v>
      </c>
      <c r="E96" s="4">
        <v>99.927499999999995</v>
      </c>
      <c r="F96" s="4">
        <v>49.125999999999998</v>
      </c>
      <c r="G96" s="4">
        <v>79.655357142857156</v>
      </c>
      <c r="H96" s="4">
        <v>70.62</v>
      </c>
      <c r="I96" s="4">
        <v>42.599249999999998</v>
      </c>
      <c r="J96" s="4">
        <v>65.426000000000002</v>
      </c>
      <c r="K96" s="4">
        <v>88.016999999999996</v>
      </c>
      <c r="L96" s="4">
        <v>69.653199999999998</v>
      </c>
      <c r="M96" s="4">
        <v>50.682399999999994</v>
      </c>
      <c r="N96" s="4">
        <v>75.576999999999998</v>
      </c>
      <c r="O96" s="4">
        <v>59.945</v>
      </c>
      <c r="P96" s="4">
        <v>78.414833333333334</v>
      </c>
      <c r="Q96" s="4">
        <v>87.707333333333338</v>
      </c>
      <c r="R96" s="4">
        <v>47.358249999999998</v>
      </c>
      <c r="S96" s="4">
        <v>62.129800000000003</v>
      </c>
      <c r="T96" s="4">
        <v>66.718999999999994</v>
      </c>
      <c r="U96" s="4">
        <v>39.944000000000003</v>
      </c>
    </row>
    <row r="97" spans="1:21" x14ac:dyDescent="0.25">
      <c r="A97" t="s">
        <v>217</v>
      </c>
      <c r="B97" t="s">
        <v>218</v>
      </c>
      <c r="C97" s="2">
        <v>65.933346134453771</v>
      </c>
      <c r="D97" s="3">
        <v>96</v>
      </c>
      <c r="E97" s="4">
        <v>63.242000000000004</v>
      </c>
      <c r="F97" s="4">
        <v>58.002285714285719</v>
      </c>
      <c r="G97" s="4">
        <v>59.45692857142857</v>
      </c>
      <c r="H97" s="4">
        <v>90.50833333333334</v>
      </c>
      <c r="I97" s="4">
        <v>62.053750000000001</v>
      </c>
      <c r="J97" s="4">
        <v>67.539600000000007</v>
      </c>
      <c r="K97" s="4">
        <v>61.490333333333332</v>
      </c>
      <c r="L97" s="4">
        <v>74.230400000000003</v>
      </c>
      <c r="M97" s="4">
        <v>24.930500000000006</v>
      </c>
      <c r="N97" s="4">
        <v>83.366</v>
      </c>
      <c r="O97" s="4">
        <v>44.619</v>
      </c>
      <c r="P97" s="4">
        <v>94.262166666666658</v>
      </c>
      <c r="Q97" s="4">
        <v>98.825666666666663</v>
      </c>
      <c r="S97" s="4">
        <v>68.482200000000006</v>
      </c>
      <c r="T97" s="4">
        <v>53.576499999999996</v>
      </c>
      <c r="U97" s="4">
        <v>60.128999999999998</v>
      </c>
    </row>
    <row r="98" spans="1:21" x14ac:dyDescent="0.25">
      <c r="A98" t="s">
        <v>207</v>
      </c>
      <c r="B98" t="s">
        <v>208</v>
      </c>
      <c r="C98" s="2">
        <v>65.846786049244884</v>
      </c>
      <c r="D98" s="3">
        <v>97</v>
      </c>
      <c r="F98" s="4">
        <v>51.90457142857143</v>
      </c>
      <c r="G98" s="4">
        <v>79.956461538461554</v>
      </c>
      <c r="H98" s="4">
        <v>95.640333333333331</v>
      </c>
      <c r="I98" s="4">
        <v>39.708250000000007</v>
      </c>
      <c r="J98" s="4">
        <v>48.281799999999997</v>
      </c>
      <c r="K98" s="4">
        <v>89.434000000000012</v>
      </c>
      <c r="L98" s="4">
        <v>71.84075</v>
      </c>
      <c r="M98" s="4">
        <v>67.028333333333336</v>
      </c>
      <c r="O98" s="4">
        <v>42.048500000000004</v>
      </c>
      <c r="P98" s="4">
        <v>65.929333333333332</v>
      </c>
      <c r="Q98" s="4">
        <v>58.598999999999997</v>
      </c>
      <c r="R98" s="4">
        <v>60.145400000000009</v>
      </c>
      <c r="S98" s="4">
        <v>48.85575</v>
      </c>
      <c r="T98" s="4">
        <v>70.113857142857142</v>
      </c>
      <c r="U98" s="4">
        <v>73.423500000000004</v>
      </c>
    </row>
    <row r="99" spans="1:21" x14ac:dyDescent="0.25">
      <c r="A99" t="s">
        <v>247</v>
      </c>
      <c r="B99" t="s">
        <v>248</v>
      </c>
      <c r="C99" s="2">
        <v>65.763970056740661</v>
      </c>
      <c r="D99" s="3">
        <v>98</v>
      </c>
      <c r="E99" s="4">
        <v>98.485500000000002</v>
      </c>
      <c r="F99" s="4">
        <v>47.257428571428576</v>
      </c>
      <c r="G99" s="4">
        <v>77.15938461538461</v>
      </c>
      <c r="H99" s="4">
        <v>88.603999999999999</v>
      </c>
      <c r="I99" s="4">
        <v>68.305000000000007</v>
      </c>
      <c r="J99" s="4">
        <v>74.054000000000002</v>
      </c>
      <c r="K99" s="4">
        <v>89.940333333333342</v>
      </c>
      <c r="L99" s="4">
        <v>78.336800000000011</v>
      </c>
      <c r="M99" s="4">
        <v>27.9</v>
      </c>
      <c r="O99" s="4">
        <v>67.57050000000001</v>
      </c>
      <c r="P99" s="4">
        <v>65.564166666666679</v>
      </c>
      <c r="Q99" s="4">
        <v>39.218666666666671</v>
      </c>
      <c r="R99" s="4">
        <v>62.330600000000004</v>
      </c>
      <c r="S99" s="4">
        <v>68.995500000000007</v>
      </c>
      <c r="T99" s="4">
        <v>58.851333333333336</v>
      </c>
      <c r="U99" s="4">
        <v>66.91</v>
      </c>
    </row>
    <row r="100" spans="1:21" x14ac:dyDescent="0.25">
      <c r="A100" t="s">
        <v>215</v>
      </c>
      <c r="B100" t="s">
        <v>216</v>
      </c>
      <c r="C100" s="2">
        <v>65.495505042016816</v>
      </c>
      <c r="D100" s="3">
        <v>99</v>
      </c>
      <c r="E100" s="4">
        <v>76.388000000000005</v>
      </c>
      <c r="F100" s="4">
        <v>57.584714285714277</v>
      </c>
      <c r="G100" s="4">
        <v>58.054571428571421</v>
      </c>
      <c r="H100" s="4">
        <v>86.091666666666654</v>
      </c>
      <c r="I100" s="4">
        <v>62.204499999999996</v>
      </c>
      <c r="J100" s="4">
        <v>69.340599999999995</v>
      </c>
      <c r="K100" s="4">
        <v>70.182000000000002</v>
      </c>
      <c r="L100" s="4">
        <v>72.489599999999996</v>
      </c>
      <c r="M100" s="4">
        <v>40.127166666666668</v>
      </c>
      <c r="N100" s="4">
        <v>36.439</v>
      </c>
      <c r="O100" s="4">
        <v>68.608000000000004</v>
      </c>
      <c r="P100" s="4">
        <v>92.662833333333325</v>
      </c>
      <c r="Q100" s="4">
        <v>96.524666666666675</v>
      </c>
      <c r="R100" s="4">
        <v>68.139200000000002</v>
      </c>
      <c r="S100" s="4">
        <v>51.115400000000001</v>
      </c>
      <c r="T100" s="4">
        <v>58.316000000000003</v>
      </c>
      <c r="U100" s="4">
        <v>49.155666666666662</v>
      </c>
    </row>
    <row r="101" spans="1:21" x14ac:dyDescent="0.25">
      <c r="A101" t="s">
        <v>263</v>
      </c>
      <c r="B101" t="s">
        <v>264</v>
      </c>
      <c r="C101" s="2">
        <v>65.374436834733913</v>
      </c>
      <c r="D101" s="3">
        <v>100</v>
      </c>
      <c r="E101" s="4">
        <v>70.271000000000001</v>
      </c>
      <c r="F101" s="4">
        <v>63.626428571428569</v>
      </c>
      <c r="G101" s="4">
        <v>52.660714285714292</v>
      </c>
      <c r="H101" s="4">
        <v>76.519333333333336</v>
      </c>
      <c r="I101" s="4">
        <v>53.083500000000008</v>
      </c>
      <c r="J101" s="4">
        <v>55.612000000000002</v>
      </c>
      <c r="K101" s="4">
        <v>59.91299999999999</v>
      </c>
      <c r="L101" s="4">
        <v>76.250399999999999</v>
      </c>
      <c r="M101" s="4">
        <v>38.625999999999998</v>
      </c>
      <c r="N101" s="4">
        <v>48.02</v>
      </c>
      <c r="O101" s="4">
        <v>53.858333333333341</v>
      </c>
      <c r="P101" s="4">
        <v>95.385333333333335</v>
      </c>
      <c r="Q101" s="4">
        <v>98.348666666666659</v>
      </c>
      <c r="R101" s="4">
        <v>66.890799999999999</v>
      </c>
      <c r="S101" s="4">
        <v>72.304249999999996</v>
      </c>
      <c r="T101" s="4">
        <v>69.08</v>
      </c>
      <c r="U101" s="4">
        <v>60.915666666666674</v>
      </c>
    </row>
    <row r="102" spans="1:21" x14ac:dyDescent="0.25">
      <c r="A102" t="s">
        <v>169</v>
      </c>
      <c r="B102" t="s">
        <v>170</v>
      </c>
      <c r="C102" s="2">
        <v>65.304267787114853</v>
      </c>
      <c r="D102" s="3">
        <v>101</v>
      </c>
      <c r="E102" s="4">
        <v>75.942499999999995</v>
      </c>
      <c r="F102" s="4">
        <v>56.399000000000001</v>
      </c>
      <c r="G102" s="4">
        <v>62.77928571428572</v>
      </c>
      <c r="H102" s="4">
        <v>91.052666666666667</v>
      </c>
      <c r="I102" s="4">
        <v>62.441999999999993</v>
      </c>
      <c r="J102" s="4">
        <v>66.416399999999996</v>
      </c>
      <c r="K102" s="4">
        <v>73.536666666666676</v>
      </c>
      <c r="L102" s="4">
        <v>75.624600000000001</v>
      </c>
      <c r="M102" s="4">
        <v>40.377666666666663</v>
      </c>
      <c r="N102" s="4">
        <v>35.282000000000004</v>
      </c>
      <c r="O102" s="4">
        <v>66.081666666666663</v>
      </c>
      <c r="P102" s="4">
        <v>88.03649999999999</v>
      </c>
      <c r="Q102" s="4">
        <v>93.09333333333332</v>
      </c>
      <c r="R102" s="4">
        <v>59.974799999999995</v>
      </c>
      <c r="S102" s="4">
        <v>44.354799999999997</v>
      </c>
      <c r="T102" s="4">
        <v>72.364333333333335</v>
      </c>
      <c r="U102" s="4">
        <v>46.414333333333332</v>
      </c>
    </row>
    <row r="103" spans="1:21" x14ac:dyDescent="0.25">
      <c r="A103" t="s">
        <v>233</v>
      </c>
      <c r="B103" t="s">
        <v>234</v>
      </c>
      <c r="C103" s="2">
        <v>65.078328719603789</v>
      </c>
      <c r="D103" s="3">
        <v>102</v>
      </c>
      <c r="E103" s="4">
        <v>68.702500000000001</v>
      </c>
      <c r="F103" s="4">
        <v>59.785142857142851</v>
      </c>
      <c r="G103" s="4">
        <v>70.690428571428598</v>
      </c>
      <c r="H103" s="4">
        <v>82.225898550724636</v>
      </c>
      <c r="I103" s="4">
        <v>57.975750000000005</v>
      </c>
      <c r="J103" s="4">
        <v>75.873800000000003</v>
      </c>
      <c r="K103" s="4">
        <v>91.611999999999995</v>
      </c>
      <c r="L103" s="4">
        <v>65.844499999999996</v>
      </c>
      <c r="M103" s="4">
        <v>21.2575</v>
      </c>
      <c r="O103" s="4">
        <v>73.349999999999994</v>
      </c>
      <c r="P103" s="4">
        <v>72.119166666666658</v>
      </c>
      <c r="Q103" s="4">
        <v>91.427000000000007</v>
      </c>
      <c r="R103" s="4">
        <v>47.380499999999998</v>
      </c>
      <c r="S103" s="4">
        <v>50.005600000000001</v>
      </c>
      <c r="T103" s="4">
        <v>59.861857142857147</v>
      </c>
      <c r="U103" s="4">
        <v>79.715666666666664</v>
      </c>
    </row>
    <row r="104" spans="1:21" x14ac:dyDescent="0.25">
      <c r="A104" t="s">
        <v>219</v>
      </c>
      <c r="B104" t="s">
        <v>220</v>
      </c>
      <c r="C104" s="2">
        <v>64.651172792403671</v>
      </c>
      <c r="D104" s="3">
        <v>103</v>
      </c>
      <c r="F104" s="4">
        <v>62.496166666666674</v>
      </c>
      <c r="G104" s="4">
        <v>85.992923076923063</v>
      </c>
      <c r="H104" s="4">
        <v>87.78</v>
      </c>
      <c r="I104" s="4">
        <v>57.449749999999995</v>
      </c>
      <c r="J104" s="4">
        <v>57.12919999999999</v>
      </c>
      <c r="K104" s="4">
        <v>88.944000000000003</v>
      </c>
      <c r="L104" s="4">
        <v>75.323000000000008</v>
      </c>
      <c r="M104" s="4">
        <v>70.035166666666669</v>
      </c>
      <c r="O104" s="4">
        <v>35.503999999999998</v>
      </c>
      <c r="P104" s="4">
        <v>70.193500000000014</v>
      </c>
      <c r="Q104" s="4">
        <v>15.146000000000001</v>
      </c>
      <c r="R104" s="4">
        <v>60.906000000000006</v>
      </c>
      <c r="S104" s="4">
        <v>58.291333333333334</v>
      </c>
      <c r="T104" s="4">
        <v>79.346374999999995</v>
      </c>
      <c r="U104" s="4">
        <v>38.047000000000004</v>
      </c>
    </row>
    <row r="105" spans="1:21" x14ac:dyDescent="0.25">
      <c r="A105" t="s">
        <v>269</v>
      </c>
      <c r="B105" t="s">
        <v>270</v>
      </c>
      <c r="C105" s="2">
        <v>64.579621568627445</v>
      </c>
      <c r="D105" s="3">
        <v>104</v>
      </c>
      <c r="E105" s="4">
        <v>85.117999999999995</v>
      </c>
      <c r="F105" s="4">
        <v>56.589285714285715</v>
      </c>
      <c r="G105" s="4">
        <v>55.014714285714284</v>
      </c>
      <c r="H105" s="4">
        <v>73.406666666666666</v>
      </c>
      <c r="I105" s="4">
        <v>60.279750000000007</v>
      </c>
      <c r="J105" s="4">
        <v>66.023600000000002</v>
      </c>
      <c r="K105" s="4">
        <v>53.294666666666672</v>
      </c>
      <c r="L105" s="4">
        <v>68.584399999999988</v>
      </c>
      <c r="M105" s="4">
        <v>23.471666666666668</v>
      </c>
      <c r="N105" s="4">
        <v>68.192000000000007</v>
      </c>
      <c r="O105" s="4">
        <v>69.594000000000008</v>
      </c>
      <c r="P105" s="4">
        <v>94.937333333333342</v>
      </c>
      <c r="Q105" s="4">
        <v>98.75633333333333</v>
      </c>
      <c r="R105" s="4">
        <v>55.250800000000005</v>
      </c>
      <c r="S105" s="4">
        <v>55.389599999999994</v>
      </c>
      <c r="T105" s="4">
        <v>71.921750000000003</v>
      </c>
      <c r="U105" s="4">
        <v>42.029000000000003</v>
      </c>
    </row>
    <row r="106" spans="1:21" x14ac:dyDescent="0.25">
      <c r="A106" t="s">
        <v>251</v>
      </c>
      <c r="B106" t="s">
        <v>252</v>
      </c>
      <c r="C106" s="2">
        <v>64.444805742296907</v>
      </c>
      <c r="D106" s="3">
        <v>105</v>
      </c>
      <c r="E106" s="4">
        <v>58.780500000000004</v>
      </c>
      <c r="F106" s="4">
        <v>48.145142857142851</v>
      </c>
      <c r="G106" s="4">
        <v>75.227571428571423</v>
      </c>
      <c r="H106" s="4">
        <v>61.472333333333331</v>
      </c>
      <c r="I106" s="4">
        <v>64.10275</v>
      </c>
      <c r="J106" s="4">
        <v>74.491200000000006</v>
      </c>
      <c r="K106" s="4">
        <v>73.153666666666666</v>
      </c>
      <c r="L106" s="4">
        <v>72.507599999999996</v>
      </c>
      <c r="M106" s="4">
        <v>16.971500000000002</v>
      </c>
      <c r="N106" s="4">
        <v>30.099</v>
      </c>
      <c r="O106" s="4">
        <v>86.902333333333331</v>
      </c>
      <c r="P106" s="4">
        <v>89.507833333333338</v>
      </c>
      <c r="Q106" s="4">
        <v>95.88366666666667</v>
      </c>
      <c r="R106" s="4">
        <v>70.316599999999994</v>
      </c>
      <c r="S106" s="4">
        <v>60.486000000000004</v>
      </c>
      <c r="T106" s="4">
        <v>48.472999999999999</v>
      </c>
      <c r="U106" s="4">
        <v>69.040999999999997</v>
      </c>
    </row>
    <row r="107" spans="1:21" x14ac:dyDescent="0.25">
      <c r="A107" t="s">
        <v>225</v>
      </c>
      <c r="B107" t="s">
        <v>226</v>
      </c>
      <c r="C107" s="2">
        <v>64.386707189542491</v>
      </c>
      <c r="D107" s="3">
        <v>106</v>
      </c>
      <c r="E107" s="4">
        <v>87.9345</v>
      </c>
      <c r="F107" s="4">
        <v>58.100142857142863</v>
      </c>
      <c r="G107" s="4">
        <v>62.879357142857138</v>
      </c>
      <c r="H107" s="4">
        <v>71.332666666666668</v>
      </c>
      <c r="I107" s="4">
        <v>54.804000000000002</v>
      </c>
      <c r="J107" s="4">
        <v>63.621600000000001</v>
      </c>
      <c r="K107" s="4">
        <v>58.94433333333334</v>
      </c>
      <c r="L107" s="4">
        <v>62.107600000000005</v>
      </c>
      <c r="M107" s="4">
        <v>24.989666666666665</v>
      </c>
      <c r="N107" s="4">
        <v>77.614000000000004</v>
      </c>
      <c r="O107" s="4">
        <v>79.168666666666667</v>
      </c>
      <c r="P107" s="4">
        <v>93.581333333333347</v>
      </c>
      <c r="Q107" s="4">
        <v>97.949666666666658</v>
      </c>
      <c r="R107" s="4">
        <v>47.187600000000003</v>
      </c>
      <c r="S107" s="4">
        <v>44.498000000000005</v>
      </c>
      <c r="T107" s="4">
        <v>58.5108888888889</v>
      </c>
      <c r="U107" s="4">
        <v>51.35</v>
      </c>
    </row>
    <row r="108" spans="1:21" x14ac:dyDescent="0.25">
      <c r="A108" t="s">
        <v>231</v>
      </c>
      <c r="B108" t="s">
        <v>232</v>
      </c>
      <c r="C108" s="2">
        <v>63.983151223155936</v>
      </c>
      <c r="D108" s="3">
        <v>107</v>
      </c>
      <c r="E108" s="4">
        <v>95.653500000000008</v>
      </c>
      <c r="F108" s="4">
        <v>42.416142857142859</v>
      </c>
      <c r="G108" s="4">
        <v>66.246785714285721</v>
      </c>
      <c r="H108" s="4">
        <v>97.50566666666667</v>
      </c>
      <c r="I108" s="4">
        <v>66.296499999999995</v>
      </c>
      <c r="J108" s="4">
        <v>65.1768</v>
      </c>
      <c r="K108" s="4">
        <v>56.221333333333327</v>
      </c>
      <c r="L108" s="4">
        <v>75.797799999999995</v>
      </c>
      <c r="M108" s="4">
        <v>26.549666666666667</v>
      </c>
      <c r="N108" s="4">
        <v>63.326999999999998</v>
      </c>
      <c r="O108" s="4">
        <v>43.874000000000002</v>
      </c>
      <c r="P108" s="4">
        <v>62.289666666666669</v>
      </c>
      <c r="Q108" s="4">
        <v>66.209000000000003</v>
      </c>
      <c r="S108" s="4">
        <v>73.9726</v>
      </c>
      <c r="T108" s="4">
        <v>63.781555555555556</v>
      </c>
      <c r="U108" s="4">
        <v>66.243333333333339</v>
      </c>
    </row>
    <row r="109" spans="1:21" x14ac:dyDescent="0.25">
      <c r="A109" t="s">
        <v>205</v>
      </c>
      <c r="B109" t="s">
        <v>206</v>
      </c>
      <c r="C109" s="2">
        <v>63.773442296918759</v>
      </c>
      <c r="D109" s="3">
        <v>108</v>
      </c>
      <c r="E109" s="4">
        <v>98.784999999999997</v>
      </c>
      <c r="F109" s="4">
        <v>59.178800000000003</v>
      </c>
      <c r="G109" s="4">
        <v>78.477428571428575</v>
      </c>
      <c r="H109" s="4">
        <v>90.284333333333336</v>
      </c>
      <c r="I109" s="4">
        <v>53.974499999999999</v>
      </c>
      <c r="J109" s="4">
        <v>61.823599999999999</v>
      </c>
      <c r="K109" s="4">
        <v>89.153999999999996</v>
      </c>
      <c r="L109" s="4">
        <v>76.509600000000006</v>
      </c>
      <c r="M109" s="4">
        <v>32.528999999999996</v>
      </c>
      <c r="N109" s="4">
        <v>35.634</v>
      </c>
      <c r="O109" s="4">
        <v>89.586000000000013</v>
      </c>
      <c r="P109" s="4">
        <v>59.099333333333334</v>
      </c>
      <c r="Q109" s="4">
        <v>77.487666666666669</v>
      </c>
      <c r="R109" s="4">
        <v>42.715400000000002</v>
      </c>
      <c r="S109" s="4">
        <v>25.251000000000001</v>
      </c>
      <c r="T109" s="4">
        <v>71.732857142857142</v>
      </c>
      <c r="U109" s="4">
        <v>41.926000000000002</v>
      </c>
    </row>
    <row r="110" spans="1:21" x14ac:dyDescent="0.25">
      <c r="A110" t="s">
        <v>221</v>
      </c>
      <c r="B110" t="s">
        <v>222</v>
      </c>
      <c r="C110" s="2">
        <v>63.50642394957984</v>
      </c>
      <c r="D110" s="3">
        <v>109</v>
      </c>
      <c r="E110" s="4">
        <v>66.94550000000001</v>
      </c>
      <c r="F110" s="4">
        <v>55.28971428571429</v>
      </c>
      <c r="G110" s="4">
        <v>59.508642857142867</v>
      </c>
      <c r="H110" s="4">
        <v>84.198666666666668</v>
      </c>
      <c r="I110" s="4">
        <v>49.649250000000002</v>
      </c>
      <c r="J110" s="4">
        <v>67.333400000000012</v>
      </c>
      <c r="K110" s="4">
        <v>61.189666666666675</v>
      </c>
      <c r="L110" s="4">
        <v>78.273600000000002</v>
      </c>
      <c r="M110" s="4">
        <v>24.7484</v>
      </c>
      <c r="N110" s="4">
        <v>68.504000000000005</v>
      </c>
      <c r="O110" s="4">
        <v>54.717333333333329</v>
      </c>
      <c r="P110" s="4">
        <v>95.441166666666675</v>
      </c>
      <c r="Q110" s="4">
        <v>98.576333333333352</v>
      </c>
      <c r="R110" s="4">
        <v>64.595200000000006</v>
      </c>
      <c r="S110" s="4">
        <v>57.802</v>
      </c>
      <c r="T110" s="4">
        <v>54.914000000000009</v>
      </c>
      <c r="U110" s="4">
        <v>37.922333333333334</v>
      </c>
    </row>
    <row r="111" spans="1:21" x14ac:dyDescent="0.25">
      <c r="A111" t="s">
        <v>239</v>
      </c>
      <c r="B111" t="s">
        <v>240</v>
      </c>
      <c r="C111" s="2">
        <v>63.409429691876738</v>
      </c>
      <c r="D111" s="3">
        <v>110</v>
      </c>
      <c r="E111" s="4">
        <v>50.015500000000003</v>
      </c>
      <c r="F111" s="4">
        <v>60.123142857142852</v>
      </c>
      <c r="G111" s="4">
        <v>49.637428571428572</v>
      </c>
      <c r="H111" s="4">
        <v>79.96833333333332</v>
      </c>
      <c r="I111" s="4">
        <v>82.472750000000005</v>
      </c>
      <c r="J111" s="4">
        <v>68.065200000000004</v>
      </c>
      <c r="K111" s="4">
        <v>79.013333333333335</v>
      </c>
      <c r="L111" s="4">
        <v>60.275599999999997</v>
      </c>
      <c r="M111" s="4">
        <v>57.565666666666658</v>
      </c>
      <c r="N111" s="4">
        <v>0</v>
      </c>
      <c r="O111" s="4">
        <v>77.843999999999994</v>
      </c>
      <c r="P111" s="4">
        <v>82.475833333333341</v>
      </c>
      <c r="Q111" s="4">
        <v>80.334666666666678</v>
      </c>
      <c r="R111" s="4">
        <v>63.980999999999995</v>
      </c>
      <c r="S111" s="4">
        <v>57.647599999999997</v>
      </c>
      <c r="T111" s="4">
        <v>53.075250000000004</v>
      </c>
      <c r="U111" s="4">
        <v>75.465000000000003</v>
      </c>
    </row>
    <row r="112" spans="1:21" x14ac:dyDescent="0.25">
      <c r="A112" t="s">
        <v>245</v>
      </c>
      <c r="B112" t="s">
        <v>246</v>
      </c>
      <c r="C112" s="2">
        <v>63.402061314138052</v>
      </c>
      <c r="D112" s="3">
        <v>111</v>
      </c>
      <c r="E112" s="4">
        <v>86.301500000000004</v>
      </c>
      <c r="F112" s="4">
        <v>53.905285714285711</v>
      </c>
      <c r="G112" s="4">
        <v>50.646357142857141</v>
      </c>
      <c r="H112" s="4">
        <v>59.937155038759691</v>
      </c>
      <c r="I112" s="4">
        <v>48.310500000000005</v>
      </c>
      <c r="J112" s="4">
        <v>62.812800000000003</v>
      </c>
      <c r="K112" s="4">
        <v>81.350666666666669</v>
      </c>
      <c r="L112" s="4">
        <v>60.286199999999994</v>
      </c>
      <c r="M112" s="4">
        <v>32.226333333333336</v>
      </c>
      <c r="N112" s="4">
        <v>65.281999999999996</v>
      </c>
      <c r="O112" s="4">
        <v>52.632000000000005</v>
      </c>
      <c r="P112" s="4">
        <v>86.523800000000008</v>
      </c>
      <c r="Q112" s="4">
        <v>89.44</v>
      </c>
      <c r="R112" s="4">
        <v>61.276600000000009</v>
      </c>
      <c r="S112" s="4">
        <v>82.943400000000011</v>
      </c>
      <c r="T112" s="4">
        <v>53.790444444444447</v>
      </c>
      <c r="U112" s="4">
        <v>50.17</v>
      </c>
    </row>
    <row r="113" spans="1:21" x14ac:dyDescent="0.25">
      <c r="A113" t="s">
        <v>235</v>
      </c>
      <c r="B113" t="s">
        <v>236</v>
      </c>
      <c r="C113" s="2">
        <v>63.142723325693915</v>
      </c>
      <c r="D113" s="3">
        <v>112</v>
      </c>
      <c r="F113" s="4">
        <v>62.851571428571432</v>
      </c>
      <c r="G113" s="4">
        <v>82.974571428571423</v>
      </c>
      <c r="H113" s="4">
        <v>84.590333333333334</v>
      </c>
      <c r="I113" s="4">
        <v>56.476500000000001</v>
      </c>
      <c r="J113" s="4">
        <v>48.62</v>
      </c>
      <c r="K113" s="4">
        <v>92.615666666666655</v>
      </c>
      <c r="L113" s="4">
        <v>56.517250000000004</v>
      </c>
      <c r="M113" s="4">
        <v>56.177500000000002</v>
      </c>
      <c r="O113" s="4">
        <v>54.308999999999997</v>
      </c>
      <c r="P113" s="4">
        <v>36.552833333333332</v>
      </c>
      <c r="Q113" s="4">
        <v>33.827999999999996</v>
      </c>
      <c r="R113" s="4">
        <v>50.945499999999996</v>
      </c>
      <c r="S113" s="4">
        <v>54.970333333333336</v>
      </c>
      <c r="T113" s="4">
        <v>76.891714285714301</v>
      </c>
      <c r="U113" s="4">
        <v>68.62</v>
      </c>
    </row>
    <row r="114" spans="1:21" x14ac:dyDescent="0.25">
      <c r="A114" t="s">
        <v>229</v>
      </c>
      <c r="B114" t="s">
        <v>230</v>
      </c>
      <c r="C114" s="2">
        <v>63.136498238526173</v>
      </c>
      <c r="D114" s="3">
        <v>113</v>
      </c>
      <c r="E114" s="4">
        <v>85.176999999999992</v>
      </c>
      <c r="F114" s="4">
        <v>43.85971428571429</v>
      </c>
      <c r="G114" s="4">
        <v>62.301230769230784</v>
      </c>
      <c r="H114" s="4">
        <v>69.874000000000009</v>
      </c>
      <c r="I114" s="4">
        <v>36.186</v>
      </c>
      <c r="J114" s="4">
        <v>71.545400000000001</v>
      </c>
      <c r="K114" s="4">
        <v>89.583666666666659</v>
      </c>
      <c r="L114" s="4">
        <v>56.944000000000003</v>
      </c>
      <c r="M114" s="4">
        <v>31.516666666666666</v>
      </c>
      <c r="N114" s="4">
        <v>59.744</v>
      </c>
      <c r="O114" s="4">
        <v>58.256666666666668</v>
      </c>
      <c r="P114" s="4">
        <v>86.531000000000006</v>
      </c>
      <c r="Q114" s="4">
        <v>91.125999999999991</v>
      </c>
      <c r="R114" s="4">
        <v>47.513249999999999</v>
      </c>
      <c r="S114" s="4">
        <v>38.446249999999999</v>
      </c>
      <c r="T114" s="4">
        <v>67.584125</v>
      </c>
      <c r="U114" s="4">
        <v>77.131500000000003</v>
      </c>
    </row>
    <row r="115" spans="1:21" x14ac:dyDescent="0.25">
      <c r="A115" t="s">
        <v>201</v>
      </c>
      <c r="B115" t="s">
        <v>202</v>
      </c>
      <c r="C115" s="2">
        <v>63.025544296226656</v>
      </c>
      <c r="D115" s="3">
        <v>114</v>
      </c>
      <c r="E115" s="4">
        <v>31.708000000000002</v>
      </c>
      <c r="F115" s="4">
        <v>53.554857142857145</v>
      </c>
      <c r="G115" s="4">
        <v>68.28153846153846</v>
      </c>
      <c r="H115" s="4">
        <v>90.663063492063486</v>
      </c>
      <c r="I115" s="4">
        <v>59.21</v>
      </c>
      <c r="J115" s="4">
        <v>58.629800000000003</v>
      </c>
      <c r="K115" s="4">
        <v>81.367666666666665</v>
      </c>
      <c r="L115" s="4">
        <v>68.926200000000009</v>
      </c>
      <c r="M115" s="4">
        <v>12.4504</v>
      </c>
      <c r="O115" s="4">
        <v>79.462666666666664</v>
      </c>
      <c r="P115" s="4">
        <v>84.694599999999994</v>
      </c>
      <c r="Q115" s="4">
        <v>53.465000000000003</v>
      </c>
      <c r="S115" s="4">
        <v>62.991599999999991</v>
      </c>
      <c r="T115" s="4">
        <v>73.260750000000002</v>
      </c>
      <c r="U115" s="4">
        <v>64.42</v>
      </c>
    </row>
    <row r="116" spans="1:21" x14ac:dyDescent="0.25">
      <c r="A116" t="s">
        <v>257</v>
      </c>
      <c r="B116" t="s">
        <v>258</v>
      </c>
      <c r="C116" s="2">
        <v>62.574981889678945</v>
      </c>
      <c r="D116" s="3">
        <v>115</v>
      </c>
      <c r="E116" s="4">
        <v>38.401500000000006</v>
      </c>
      <c r="F116" s="4">
        <v>58.997285714285717</v>
      </c>
      <c r="G116" s="4">
        <v>63.970923076923064</v>
      </c>
      <c r="H116" s="4">
        <v>82.899000000000001</v>
      </c>
      <c r="I116" s="4">
        <v>44.631500000000003</v>
      </c>
      <c r="J116" s="4">
        <v>61.174999999999997</v>
      </c>
      <c r="K116" s="4">
        <v>42.435499999999998</v>
      </c>
      <c r="L116" s="4">
        <v>65.59</v>
      </c>
      <c r="M116" s="4">
        <v>18.877400000000002</v>
      </c>
      <c r="N116" s="4">
        <v>53.361000000000004</v>
      </c>
      <c r="O116" s="4">
        <v>85.407499999999999</v>
      </c>
      <c r="P116" s="4">
        <v>77.108833333333337</v>
      </c>
      <c r="Q116" s="4">
        <v>96.76</v>
      </c>
      <c r="R116" s="4">
        <v>83.068000000000012</v>
      </c>
      <c r="S116" s="4">
        <v>65.097749999999991</v>
      </c>
      <c r="T116" s="4">
        <v>70.903499999999994</v>
      </c>
      <c r="U116" s="4">
        <v>55.09</v>
      </c>
    </row>
    <row r="117" spans="1:21" x14ac:dyDescent="0.25">
      <c r="A117" t="s">
        <v>249</v>
      </c>
      <c r="B117" t="s">
        <v>250</v>
      </c>
      <c r="C117" s="2">
        <v>62.06225509803923</v>
      </c>
      <c r="D117" s="3">
        <v>116</v>
      </c>
      <c r="E117" s="4">
        <v>58.718000000000004</v>
      </c>
      <c r="F117" s="4">
        <v>63.012</v>
      </c>
      <c r="G117" s="4">
        <v>49.958000000000006</v>
      </c>
      <c r="H117" s="4">
        <v>75.887</v>
      </c>
      <c r="I117" s="4">
        <v>72.552250000000015</v>
      </c>
      <c r="J117" s="4">
        <v>68.221000000000004</v>
      </c>
      <c r="K117" s="4">
        <v>48.326500000000003</v>
      </c>
      <c r="L117" s="4">
        <v>70.963800000000006</v>
      </c>
      <c r="M117" s="4">
        <v>17.541</v>
      </c>
      <c r="N117" s="4">
        <v>45.771999999999998</v>
      </c>
      <c r="O117" s="4">
        <v>80.001333333333335</v>
      </c>
      <c r="P117" s="4">
        <v>96.034333333333336</v>
      </c>
      <c r="Q117" s="4">
        <v>98.959666666666678</v>
      </c>
      <c r="S117" s="4">
        <v>49.874400000000001</v>
      </c>
      <c r="T117" s="4">
        <v>56.911500000000004</v>
      </c>
      <c r="U117" s="4">
        <v>46.173333333333339</v>
      </c>
    </row>
    <row r="118" spans="1:21" x14ac:dyDescent="0.25">
      <c r="A118" t="s">
        <v>243</v>
      </c>
      <c r="B118" t="s">
        <v>244</v>
      </c>
      <c r="C118" s="2">
        <v>61.916988931983042</v>
      </c>
      <c r="D118" s="3">
        <v>117</v>
      </c>
      <c r="E118" s="4">
        <v>74.522999999999996</v>
      </c>
      <c r="F118" s="4">
        <v>44.254857142857148</v>
      </c>
      <c r="G118" s="4">
        <v>55.851076923076917</v>
      </c>
      <c r="H118" s="4">
        <v>83.24466666666666</v>
      </c>
      <c r="I118" s="4">
        <v>31.111000000000001</v>
      </c>
      <c r="J118" s="4">
        <v>56.130600000000001</v>
      </c>
      <c r="K118" s="4">
        <v>68.74733333333333</v>
      </c>
      <c r="L118" s="4">
        <v>82.23960000000001</v>
      </c>
      <c r="M118" s="4">
        <v>40.631999999999998</v>
      </c>
      <c r="N118" s="4">
        <v>55.71</v>
      </c>
      <c r="O118" s="4">
        <v>49.493333333333339</v>
      </c>
      <c r="P118" s="4">
        <v>92.362166666666667</v>
      </c>
      <c r="Q118" s="4">
        <v>96.779333333333341</v>
      </c>
      <c r="R118" s="4">
        <v>63.037200000000006</v>
      </c>
      <c r="S118" s="4">
        <v>50.356200000000001</v>
      </c>
      <c r="T118" s="4">
        <v>61.136444444444436</v>
      </c>
      <c r="U118" s="4">
        <v>46.98</v>
      </c>
    </row>
    <row r="119" spans="1:21" x14ac:dyDescent="0.25">
      <c r="A119" t="s">
        <v>253</v>
      </c>
      <c r="B119" t="s">
        <v>254</v>
      </c>
      <c r="C119" s="2">
        <v>61.684033250736185</v>
      </c>
      <c r="D119" s="3">
        <v>118</v>
      </c>
      <c r="E119" s="4">
        <v>24.807000000000002</v>
      </c>
      <c r="F119" s="4">
        <v>46.130857142857153</v>
      </c>
      <c r="G119" s="4">
        <v>62.188769230769218</v>
      </c>
      <c r="H119" s="4">
        <v>80.081666666666663</v>
      </c>
      <c r="I119" s="4">
        <v>68.039749999999998</v>
      </c>
      <c r="J119" s="4">
        <v>78.134799999999998</v>
      </c>
      <c r="K119" s="4">
        <v>92.50766666666668</v>
      </c>
      <c r="L119" s="4">
        <v>77.707999999999998</v>
      </c>
      <c r="M119" s="4">
        <v>30.948833333333337</v>
      </c>
      <c r="N119" s="4">
        <v>21.608000000000001</v>
      </c>
      <c r="O119" s="4">
        <v>44.643500000000003</v>
      </c>
      <c r="P119" s="4">
        <v>83.364999999999995</v>
      </c>
      <c r="Q119" s="4">
        <v>84.728000000000009</v>
      </c>
      <c r="R119" s="4">
        <v>60.045000000000002</v>
      </c>
      <c r="S119" s="4">
        <v>77.91</v>
      </c>
      <c r="T119" s="4">
        <v>36.12822222222222</v>
      </c>
      <c r="U119" s="4">
        <v>79.653500000000008</v>
      </c>
    </row>
    <row r="120" spans="1:21" x14ac:dyDescent="0.25">
      <c r="A120" t="s">
        <v>237</v>
      </c>
      <c r="B120" t="s">
        <v>238</v>
      </c>
      <c r="C120" s="2">
        <v>61.633997198879555</v>
      </c>
      <c r="D120" s="3">
        <v>119</v>
      </c>
      <c r="E120" s="4">
        <v>56.192</v>
      </c>
      <c r="F120" s="4">
        <v>38.308714285714295</v>
      </c>
      <c r="G120" s="4">
        <v>49.231571428571421</v>
      </c>
      <c r="H120" s="4">
        <v>82.954999999999998</v>
      </c>
      <c r="I120" s="4">
        <v>86.044500000000014</v>
      </c>
      <c r="J120" s="4">
        <v>59.848199999999999</v>
      </c>
      <c r="K120" s="4">
        <v>49.046333333333337</v>
      </c>
      <c r="L120" s="4">
        <v>63.856200000000001</v>
      </c>
      <c r="M120" s="4">
        <v>31.7225</v>
      </c>
      <c r="N120" s="4">
        <v>0</v>
      </c>
      <c r="O120" s="4">
        <v>72.826000000000008</v>
      </c>
      <c r="P120" s="4">
        <v>74.059600000000017</v>
      </c>
      <c r="Q120" s="4">
        <v>85.636333333333326</v>
      </c>
      <c r="R120" s="4">
        <v>68.513799999999989</v>
      </c>
      <c r="S120" s="4">
        <v>85.222200000000001</v>
      </c>
      <c r="T120" s="4">
        <v>68.373999999999995</v>
      </c>
      <c r="U120" s="4">
        <v>75.940999999999988</v>
      </c>
    </row>
    <row r="121" spans="1:21" x14ac:dyDescent="0.25">
      <c r="A121" t="s">
        <v>273</v>
      </c>
      <c r="B121" t="s">
        <v>274</v>
      </c>
      <c r="C121" s="2">
        <v>61.542448459383742</v>
      </c>
      <c r="D121" s="3">
        <v>120</v>
      </c>
      <c r="E121" s="4">
        <v>75.501500000000007</v>
      </c>
      <c r="F121" s="4">
        <v>44.976285714285716</v>
      </c>
      <c r="G121" s="4">
        <v>70.568571428571431</v>
      </c>
      <c r="H121" s="4">
        <v>69.382000000000005</v>
      </c>
      <c r="I121" s="4">
        <v>56.901999999999994</v>
      </c>
      <c r="J121" s="4">
        <v>71.399799999999999</v>
      </c>
      <c r="K121" s="4">
        <v>71.824666666666658</v>
      </c>
      <c r="L121" s="4">
        <v>74.544800000000009</v>
      </c>
      <c r="M121" s="4">
        <v>17.980333333333334</v>
      </c>
      <c r="N121" s="4">
        <v>21.565999999999999</v>
      </c>
      <c r="O121" s="4">
        <v>84.427333333333323</v>
      </c>
      <c r="P121" s="4">
        <v>90.393333333333331</v>
      </c>
      <c r="Q121" s="4">
        <v>96.469333333333338</v>
      </c>
      <c r="R121" s="4">
        <v>58.022400000000005</v>
      </c>
      <c r="S121" s="4">
        <v>45.440599999999996</v>
      </c>
      <c r="T121" s="4">
        <v>51.262666666666668</v>
      </c>
      <c r="U121" s="4">
        <v>45.56</v>
      </c>
    </row>
    <row r="122" spans="1:21" x14ac:dyDescent="0.25">
      <c r="A122" t="s">
        <v>255</v>
      </c>
      <c r="B122" t="s">
        <v>256</v>
      </c>
      <c r="C122" s="2">
        <v>61.453788288418821</v>
      </c>
      <c r="D122" s="3">
        <v>121</v>
      </c>
      <c r="E122" s="4">
        <v>58.531500000000001</v>
      </c>
      <c r="F122" s="4">
        <v>31.764285714285712</v>
      </c>
      <c r="G122" s="4">
        <v>54.518357142857148</v>
      </c>
      <c r="H122" s="4">
        <v>88.73566666666666</v>
      </c>
      <c r="I122" s="4">
        <v>66.963250000000002</v>
      </c>
      <c r="J122" s="4">
        <v>70.567800000000005</v>
      </c>
      <c r="K122" s="4">
        <v>58.80533333333333</v>
      </c>
      <c r="L122" s="4">
        <v>63.00160000000001</v>
      </c>
      <c r="M122" s="4">
        <v>34.920666666666669</v>
      </c>
      <c r="N122" s="4">
        <v>4.8109999999999999</v>
      </c>
      <c r="O122" s="4">
        <v>80.89233333333334</v>
      </c>
      <c r="P122" s="4">
        <v>72.128833333333333</v>
      </c>
      <c r="Q122" s="4">
        <v>79.852666666666664</v>
      </c>
      <c r="S122" s="4">
        <v>72.740999999999985</v>
      </c>
      <c r="T122" s="4">
        <v>67.222666666666669</v>
      </c>
      <c r="U122" s="4">
        <v>74.842333333333329</v>
      </c>
    </row>
    <row r="123" spans="1:21" x14ac:dyDescent="0.25">
      <c r="A123" t="s">
        <v>403</v>
      </c>
      <c r="B123" t="s">
        <v>404</v>
      </c>
      <c r="C123" s="2">
        <v>60.885445238095237</v>
      </c>
      <c r="D123" s="3">
        <v>122</v>
      </c>
      <c r="E123" s="4">
        <v>60.118499999999997</v>
      </c>
      <c r="F123" s="4">
        <v>47.333285714285715</v>
      </c>
      <c r="G123" s="4">
        <v>65.185833333333321</v>
      </c>
      <c r="H123" s="4">
        <v>64.194000000000003</v>
      </c>
      <c r="I123" s="4">
        <v>37.06366666666667</v>
      </c>
      <c r="J123" s="4">
        <v>51.84675</v>
      </c>
      <c r="K123" s="4">
        <v>34.921999999999997</v>
      </c>
      <c r="L123" s="4">
        <v>76.162333333333336</v>
      </c>
      <c r="M123" s="4">
        <v>22.614249999999998</v>
      </c>
      <c r="N123" s="4">
        <v>71.540999999999997</v>
      </c>
      <c r="O123" s="4">
        <v>85.218000000000004</v>
      </c>
      <c r="P123" s="4">
        <v>66.155500000000004</v>
      </c>
      <c r="Q123" s="4">
        <v>95.933666666666682</v>
      </c>
      <c r="R123" s="4">
        <v>62.492200000000004</v>
      </c>
      <c r="S123" s="4">
        <v>52.58325</v>
      </c>
      <c r="T123" s="4">
        <v>68.992666666666665</v>
      </c>
      <c r="U123" s="4">
        <v>72.695666666666668</v>
      </c>
    </row>
    <row r="124" spans="1:21" x14ac:dyDescent="0.25">
      <c r="A124" t="s">
        <v>265</v>
      </c>
      <c r="B124" t="s">
        <v>266</v>
      </c>
      <c r="C124" s="2">
        <v>60.171066619981332</v>
      </c>
      <c r="D124" s="3">
        <v>123</v>
      </c>
      <c r="E124" s="4">
        <v>48.463000000000001</v>
      </c>
      <c r="F124" s="4">
        <v>48.819428571428581</v>
      </c>
      <c r="G124" s="4">
        <v>54.943142857142853</v>
      </c>
      <c r="H124" s="4">
        <v>69.689333333333337</v>
      </c>
      <c r="I124" s="4">
        <v>68.578749999999999</v>
      </c>
      <c r="J124" s="4">
        <v>45.516800000000003</v>
      </c>
      <c r="K124" s="4">
        <v>48.195666666666661</v>
      </c>
      <c r="L124" s="4">
        <v>78.354599999999991</v>
      </c>
      <c r="M124" s="4">
        <v>29.013333333333335</v>
      </c>
      <c r="N124" s="4">
        <v>40.966000000000001</v>
      </c>
      <c r="O124" s="4">
        <v>65.320999999999998</v>
      </c>
      <c r="P124" s="4">
        <v>89.069166666666661</v>
      </c>
      <c r="Q124" s="4">
        <v>98.12833333333333</v>
      </c>
      <c r="R124" s="4">
        <v>65.575000000000003</v>
      </c>
      <c r="S124" s="4">
        <v>58.512799999999991</v>
      </c>
      <c r="T124" s="4">
        <v>57.507777777777783</v>
      </c>
      <c r="U124" s="4">
        <v>56.253999999999998</v>
      </c>
    </row>
    <row r="125" spans="1:21" x14ac:dyDescent="0.25">
      <c r="A125" t="s">
        <v>211</v>
      </c>
      <c r="B125" t="s">
        <v>212</v>
      </c>
      <c r="C125" s="2">
        <v>59.735394281045757</v>
      </c>
      <c r="D125" s="3">
        <v>124</v>
      </c>
      <c r="E125" s="4">
        <v>93.938000000000002</v>
      </c>
      <c r="F125" s="4">
        <v>58.897285714285708</v>
      </c>
      <c r="G125" s="4">
        <v>62.312714285714279</v>
      </c>
      <c r="H125" s="4">
        <v>84.498666666666665</v>
      </c>
      <c r="I125" s="4">
        <v>62.074499999999993</v>
      </c>
      <c r="J125" s="4">
        <v>55.360199999999999</v>
      </c>
      <c r="K125" s="4">
        <v>81.954499999999996</v>
      </c>
      <c r="L125" s="4">
        <v>52.138000000000005</v>
      </c>
      <c r="M125" s="4">
        <v>16.996600000000001</v>
      </c>
      <c r="O125" s="4">
        <v>82.817666666666682</v>
      </c>
      <c r="P125" s="4">
        <v>21.404166666666669</v>
      </c>
      <c r="Q125" s="4">
        <v>62.801666666666669</v>
      </c>
      <c r="R125" s="4">
        <v>41.317500000000003</v>
      </c>
      <c r="S125" s="4">
        <v>59.272333333333336</v>
      </c>
      <c r="T125" s="4">
        <v>62.673625000000001</v>
      </c>
      <c r="U125" s="4">
        <v>78.540000000000006</v>
      </c>
    </row>
    <row r="126" spans="1:21" x14ac:dyDescent="0.25">
      <c r="A126" t="s">
        <v>295</v>
      </c>
      <c r="B126" t="s">
        <v>296</v>
      </c>
      <c r="C126" s="2">
        <v>59.507829483987955</v>
      </c>
      <c r="D126" s="3">
        <v>125</v>
      </c>
      <c r="F126" s="4">
        <v>39.916571428571437</v>
      </c>
      <c r="G126" s="4">
        <v>44.955928571428572</v>
      </c>
      <c r="H126" s="4">
        <v>78.219333333333338</v>
      </c>
      <c r="I126" s="4">
        <v>75.724000000000004</v>
      </c>
      <c r="J126" s="4">
        <v>48.904199999999996</v>
      </c>
      <c r="K126" s="4">
        <v>46.511333333333333</v>
      </c>
      <c r="L126" s="4">
        <v>71.624800000000008</v>
      </c>
      <c r="M126" s="4">
        <v>17.814</v>
      </c>
      <c r="N126" s="4">
        <v>55.960999999999999</v>
      </c>
      <c r="O126" s="4">
        <v>54.579666666666668</v>
      </c>
      <c r="P126" s="4">
        <v>94.878666666666675</v>
      </c>
      <c r="Q126" s="4">
        <v>97.110333333333344</v>
      </c>
      <c r="S126" s="4">
        <v>77.497800000000012</v>
      </c>
      <c r="T126" s="4">
        <v>49.670749999999998</v>
      </c>
      <c r="U126" s="4">
        <v>61.336666666666666</v>
      </c>
    </row>
    <row r="127" spans="1:21" x14ac:dyDescent="0.25">
      <c r="A127" t="s">
        <v>279</v>
      </c>
      <c r="B127" t="s">
        <v>280</v>
      </c>
      <c r="C127" s="2">
        <v>59.334537955182078</v>
      </c>
      <c r="D127" s="3">
        <v>126</v>
      </c>
      <c r="F127" s="4">
        <v>35.278833333333331</v>
      </c>
      <c r="G127" s="4">
        <v>61.387428571428565</v>
      </c>
      <c r="H127" s="4">
        <v>53.520666666666671</v>
      </c>
      <c r="I127" s="4">
        <v>33.915749999999996</v>
      </c>
      <c r="J127" s="4">
        <v>66.355400000000003</v>
      </c>
      <c r="K127" s="4">
        <v>88.307999999999993</v>
      </c>
      <c r="L127" s="4">
        <v>61.426000000000009</v>
      </c>
      <c r="M127" s="4">
        <v>15.215666666666666</v>
      </c>
      <c r="N127" s="4">
        <v>46.572000000000003</v>
      </c>
      <c r="O127" s="4">
        <v>42.219000000000001</v>
      </c>
      <c r="P127" s="4">
        <v>90.089600000000004</v>
      </c>
      <c r="Q127" s="4">
        <v>91.607500000000002</v>
      </c>
      <c r="R127" s="4">
        <v>47.246250000000003</v>
      </c>
      <c r="S127" s="4">
        <v>55.470800000000011</v>
      </c>
      <c r="T127" s="4">
        <v>53.5075</v>
      </c>
      <c r="U127" s="4">
        <v>72.403500000000008</v>
      </c>
    </row>
    <row r="128" spans="1:21" x14ac:dyDescent="0.25">
      <c r="A128" t="s">
        <v>261</v>
      </c>
      <c r="B128" t="s">
        <v>262</v>
      </c>
      <c r="C128" s="2">
        <v>58.267121521942109</v>
      </c>
      <c r="D128" s="3">
        <v>127</v>
      </c>
      <c r="E128" s="4">
        <v>31.281000000000002</v>
      </c>
      <c r="F128" s="4">
        <v>56.515428571428579</v>
      </c>
      <c r="G128" s="4">
        <v>56.249142857142871</v>
      </c>
      <c r="H128" s="4">
        <v>38.244999999999997</v>
      </c>
      <c r="I128" s="4">
        <v>43.896749999999997</v>
      </c>
      <c r="J128" s="4">
        <v>62.722799999999992</v>
      </c>
      <c r="K128" s="4">
        <v>52.215333333333341</v>
      </c>
      <c r="L128" s="4">
        <v>72.696799999999996</v>
      </c>
      <c r="M128" s="4">
        <v>22.795833333333334</v>
      </c>
      <c r="N128" s="4">
        <v>42.679000000000002</v>
      </c>
      <c r="O128" s="4">
        <v>62.615666666666677</v>
      </c>
      <c r="P128" s="4">
        <v>92.930666666666653</v>
      </c>
      <c r="Q128" s="4">
        <v>98.547666666666672</v>
      </c>
      <c r="R128" s="4">
        <v>62.137199999999993</v>
      </c>
      <c r="S128" s="4">
        <v>75.974000000000004</v>
      </c>
      <c r="T128" s="4">
        <v>59.887777777777778</v>
      </c>
      <c r="U128" s="4">
        <v>59.151000000000003</v>
      </c>
    </row>
    <row r="129" spans="1:21" x14ac:dyDescent="0.25">
      <c r="A129" t="s">
        <v>259</v>
      </c>
      <c r="B129" t="s">
        <v>260</v>
      </c>
      <c r="C129" s="2">
        <v>57.90914243697479</v>
      </c>
      <c r="D129" s="3">
        <v>128</v>
      </c>
      <c r="E129" s="4">
        <v>47.792999999999999</v>
      </c>
      <c r="F129" s="4">
        <v>56.416857142857147</v>
      </c>
      <c r="G129" s="4">
        <v>36.239214285714283</v>
      </c>
      <c r="H129" s="4">
        <v>47.143333333333338</v>
      </c>
      <c r="I129" s="4">
        <v>38.369999999999997</v>
      </c>
      <c r="J129" s="4">
        <v>55.962400000000002</v>
      </c>
      <c r="K129" s="4">
        <v>53.647666666666673</v>
      </c>
      <c r="L129" s="4">
        <v>73.717799999999997</v>
      </c>
      <c r="M129" s="4">
        <v>26.73</v>
      </c>
      <c r="N129" s="4">
        <v>45.017000000000003</v>
      </c>
      <c r="O129" s="4">
        <v>59.610333333333337</v>
      </c>
      <c r="P129" s="4">
        <v>94.67016666666666</v>
      </c>
      <c r="Q129" s="4">
        <v>98.884</v>
      </c>
      <c r="R129" s="4">
        <v>71.213250000000002</v>
      </c>
      <c r="S129" s="4">
        <v>69.424399999999991</v>
      </c>
      <c r="T129" s="4">
        <v>54.600333333333339</v>
      </c>
      <c r="U129" s="4">
        <v>55.015666666666668</v>
      </c>
    </row>
    <row r="130" spans="1:21" x14ac:dyDescent="0.25">
      <c r="A130" t="s">
        <v>277</v>
      </c>
      <c r="B130" t="s">
        <v>278</v>
      </c>
      <c r="C130" s="2">
        <v>57.8582505602241</v>
      </c>
      <c r="D130" s="3">
        <v>129</v>
      </c>
      <c r="E130" s="4">
        <v>67.284999999999997</v>
      </c>
      <c r="F130" s="4">
        <v>45.743428571428574</v>
      </c>
      <c r="G130" s="4">
        <v>44.213714285714289</v>
      </c>
      <c r="H130" s="4">
        <v>46.716000000000008</v>
      </c>
      <c r="I130" s="4">
        <v>36.146500000000003</v>
      </c>
      <c r="J130" s="4">
        <v>59.088200000000008</v>
      </c>
      <c r="K130" s="4">
        <v>26.570999999999998</v>
      </c>
      <c r="L130" s="4">
        <v>72.124499999999998</v>
      </c>
      <c r="M130" s="4">
        <v>11.4495</v>
      </c>
      <c r="N130" s="4">
        <v>76.33</v>
      </c>
      <c r="O130" s="4">
        <v>61.282999999999994</v>
      </c>
      <c r="P130" s="4">
        <v>93.605833333333337</v>
      </c>
      <c r="Q130" s="4">
        <v>99.114999999999995</v>
      </c>
      <c r="R130" s="4">
        <v>71.028999999999996</v>
      </c>
      <c r="S130" s="4">
        <v>78.78325000000001</v>
      </c>
      <c r="T130" s="4">
        <v>58.715666666666671</v>
      </c>
      <c r="U130" s="4">
        <v>35.390666666666668</v>
      </c>
    </row>
    <row r="131" spans="1:21" x14ac:dyDescent="0.25">
      <c r="A131" t="s">
        <v>285</v>
      </c>
      <c r="B131" t="s">
        <v>286</v>
      </c>
      <c r="C131" s="2">
        <v>57.72159169000934</v>
      </c>
      <c r="D131" s="3">
        <v>130</v>
      </c>
      <c r="E131" s="4">
        <v>81.385500000000008</v>
      </c>
      <c r="F131" s="4">
        <v>39.458285714285715</v>
      </c>
      <c r="G131" s="4">
        <v>44.425428571428561</v>
      </c>
      <c r="H131" s="4">
        <v>39.696000000000005</v>
      </c>
      <c r="I131" s="4">
        <v>32.498249999999999</v>
      </c>
      <c r="J131" s="4">
        <v>58.325400000000002</v>
      </c>
      <c r="K131" s="4">
        <v>41.332999999999998</v>
      </c>
      <c r="L131" s="4">
        <v>45.040200000000006</v>
      </c>
      <c r="M131" s="4">
        <v>20.369599999999998</v>
      </c>
      <c r="N131" s="4">
        <v>85.614000000000004</v>
      </c>
      <c r="O131" s="4">
        <v>49.061666666666667</v>
      </c>
      <c r="P131" s="4">
        <v>89.05883333333334</v>
      </c>
      <c r="Q131" s="4">
        <v>96.472499999999997</v>
      </c>
      <c r="R131" s="4">
        <v>72.95920000000001</v>
      </c>
      <c r="S131" s="4">
        <v>76.061750000000004</v>
      </c>
      <c r="T131" s="4">
        <v>45.55744444444445</v>
      </c>
      <c r="U131" s="4">
        <v>63.95</v>
      </c>
    </row>
    <row r="132" spans="1:21" x14ac:dyDescent="0.25">
      <c r="A132" t="s">
        <v>287</v>
      </c>
      <c r="B132" t="s">
        <v>288</v>
      </c>
      <c r="C132" s="2">
        <v>56.640844024276376</v>
      </c>
      <c r="D132" s="3">
        <v>131</v>
      </c>
      <c r="E132" s="4">
        <v>23.423000000000002</v>
      </c>
      <c r="F132" s="4">
        <v>50.46442857142857</v>
      </c>
      <c r="G132" s="4">
        <v>44.664714285714297</v>
      </c>
      <c r="H132" s="4">
        <v>49.234000000000002</v>
      </c>
      <c r="I132" s="4">
        <v>71.08475</v>
      </c>
      <c r="J132" s="4">
        <v>50.101800000000004</v>
      </c>
      <c r="K132" s="4">
        <v>34.569333333333333</v>
      </c>
      <c r="L132" s="4">
        <v>73.263999999999996</v>
      </c>
      <c r="M132" s="4">
        <v>22.371166666666667</v>
      </c>
      <c r="N132" s="4">
        <v>56.207999999999998</v>
      </c>
      <c r="O132" s="4">
        <v>65.274000000000001</v>
      </c>
      <c r="P132" s="4">
        <v>92.28166666666668</v>
      </c>
      <c r="Q132" s="4">
        <v>99.275000000000006</v>
      </c>
      <c r="R132" s="4">
        <v>73.121399999999994</v>
      </c>
      <c r="S132" s="4">
        <v>60.782200000000003</v>
      </c>
      <c r="T132" s="4">
        <v>52.462888888888891</v>
      </c>
      <c r="U132" s="4">
        <v>44.312000000000005</v>
      </c>
    </row>
    <row r="133" spans="1:21" x14ac:dyDescent="0.25">
      <c r="A133" t="s">
        <v>271</v>
      </c>
      <c r="B133" t="s">
        <v>272</v>
      </c>
      <c r="C133" s="2">
        <v>56.558061397662513</v>
      </c>
      <c r="D133" s="3">
        <v>132</v>
      </c>
      <c r="E133" s="4">
        <v>18.408999999999999</v>
      </c>
      <c r="F133" s="4">
        <v>51.728285714285711</v>
      </c>
      <c r="G133" s="4">
        <v>61.725000000000001</v>
      </c>
      <c r="H133" s="4">
        <v>62.332000000000001</v>
      </c>
      <c r="I133" s="4">
        <v>79.991249999999994</v>
      </c>
      <c r="J133" s="4">
        <v>58.375</v>
      </c>
      <c r="K133" s="4">
        <v>13.7515</v>
      </c>
      <c r="L133" s="4">
        <v>70.232200000000006</v>
      </c>
      <c r="M133" s="4">
        <v>18.636666666666667</v>
      </c>
      <c r="N133" s="4">
        <v>36.346000000000004</v>
      </c>
      <c r="O133" s="4">
        <v>56.682333333333332</v>
      </c>
      <c r="P133" s="4">
        <v>80.808833333333325</v>
      </c>
      <c r="Q133" s="4">
        <v>99.419666666666672</v>
      </c>
      <c r="S133" s="4">
        <v>63.156199999999998</v>
      </c>
      <c r="T133" s="4">
        <v>68.036666666666662</v>
      </c>
      <c r="U133" s="4">
        <v>57.44133333333334</v>
      </c>
    </row>
    <row r="134" spans="1:21" x14ac:dyDescent="0.25">
      <c r="A134" t="s">
        <v>297</v>
      </c>
      <c r="B134" t="s">
        <v>298</v>
      </c>
      <c r="C134" s="2">
        <v>56.535058636788051</v>
      </c>
      <c r="D134" s="3">
        <v>133</v>
      </c>
      <c r="E134" s="4">
        <v>50.734000000000002</v>
      </c>
      <c r="F134" s="4">
        <v>57.016571428571424</v>
      </c>
      <c r="G134" s="4">
        <v>39.492714285714285</v>
      </c>
      <c r="H134" s="4">
        <v>64.309000000000012</v>
      </c>
      <c r="I134" s="4">
        <v>55.152999999999999</v>
      </c>
      <c r="J134" s="4">
        <v>53.210999999999999</v>
      </c>
      <c r="K134" s="4">
        <v>55.494000000000007</v>
      </c>
      <c r="L134" s="4">
        <v>67.6374</v>
      </c>
      <c r="M134" s="4">
        <v>16.276600000000002</v>
      </c>
      <c r="N134" s="4">
        <v>43.228000000000002</v>
      </c>
      <c r="O134" s="4">
        <v>38.753666666666668</v>
      </c>
      <c r="P134" s="4">
        <v>95.011333333333326</v>
      </c>
      <c r="Q134" s="4">
        <v>98.846333333333334</v>
      </c>
      <c r="R134" s="4">
        <v>67.543333333333337</v>
      </c>
      <c r="S134" s="4">
        <v>66.101599999999991</v>
      </c>
      <c r="T134" s="4">
        <v>45.944111111111113</v>
      </c>
      <c r="U134" s="4">
        <v>46.343333333333334</v>
      </c>
    </row>
    <row r="135" spans="1:21" x14ac:dyDescent="0.25">
      <c r="A135" t="s">
        <v>275</v>
      </c>
      <c r="B135" t="s">
        <v>276</v>
      </c>
      <c r="C135" s="2">
        <v>56.169547969187683</v>
      </c>
      <c r="D135" s="3">
        <v>134</v>
      </c>
      <c r="E135" s="4">
        <v>79.310500000000005</v>
      </c>
      <c r="F135" s="4">
        <v>36.345571428571432</v>
      </c>
      <c r="G135" s="4">
        <v>51.635785714285703</v>
      </c>
      <c r="H135" s="4">
        <v>40.048999999999999</v>
      </c>
      <c r="I135" s="4">
        <v>28.8445</v>
      </c>
      <c r="J135" s="4">
        <v>48.220600000000005</v>
      </c>
      <c r="K135" s="4">
        <v>61.789333333333332</v>
      </c>
      <c r="L135" s="4">
        <v>66.028000000000006</v>
      </c>
      <c r="M135" s="4">
        <v>24.231333333333339</v>
      </c>
      <c r="N135" s="4">
        <v>56.22</v>
      </c>
      <c r="O135" s="4">
        <v>49.092999999999996</v>
      </c>
      <c r="P135" s="4">
        <v>91.59083333333335</v>
      </c>
      <c r="Q135" s="4">
        <v>98.376666666666665</v>
      </c>
      <c r="R135" s="4">
        <v>58.571000000000005</v>
      </c>
      <c r="S135" s="4">
        <v>66.702400000000011</v>
      </c>
      <c r="T135" s="4">
        <v>51.297125000000001</v>
      </c>
      <c r="U135" s="4">
        <v>46.576666666666675</v>
      </c>
    </row>
    <row r="136" spans="1:21" x14ac:dyDescent="0.25">
      <c r="A136" t="s">
        <v>321</v>
      </c>
      <c r="B136" t="s">
        <v>322</v>
      </c>
      <c r="C136" s="2">
        <v>55.248348529411764</v>
      </c>
      <c r="D136" s="3">
        <v>135</v>
      </c>
      <c r="E136" s="4">
        <v>3.85</v>
      </c>
      <c r="F136" s="4">
        <v>42.179285714285719</v>
      </c>
      <c r="G136" s="4">
        <v>48.84721428571428</v>
      </c>
      <c r="H136" s="4">
        <v>60.058333333333337</v>
      </c>
      <c r="I136" s="4">
        <v>52.862499999999997</v>
      </c>
      <c r="J136" s="4">
        <v>53.119600000000005</v>
      </c>
      <c r="K136" s="4">
        <v>56.929333333333339</v>
      </c>
      <c r="L136" s="4">
        <v>54.665600000000005</v>
      </c>
      <c r="M136" s="4">
        <v>6.7144000000000004</v>
      </c>
      <c r="N136" s="4">
        <v>31.036999999999999</v>
      </c>
      <c r="O136" s="4">
        <v>57.781000000000006</v>
      </c>
      <c r="P136" s="4">
        <v>94.054000000000002</v>
      </c>
      <c r="Q136" s="4">
        <v>97.789666666666676</v>
      </c>
      <c r="R136" s="4">
        <v>73.089333333333343</v>
      </c>
      <c r="S136" s="4">
        <v>91.292200000000008</v>
      </c>
      <c r="T136" s="4">
        <v>53.208125000000003</v>
      </c>
      <c r="U136" s="4">
        <v>61.744333333333337</v>
      </c>
    </row>
    <row r="137" spans="1:21" x14ac:dyDescent="0.25">
      <c r="A137" t="s">
        <v>307</v>
      </c>
      <c r="B137" t="s">
        <v>308</v>
      </c>
      <c r="C137" s="2">
        <v>55.232465926140591</v>
      </c>
      <c r="D137" s="3">
        <v>136</v>
      </c>
      <c r="E137" s="4">
        <v>32.548000000000002</v>
      </c>
      <c r="F137" s="4">
        <v>53.217857142857142</v>
      </c>
      <c r="G137" s="4">
        <v>43.106000000000002</v>
      </c>
      <c r="H137" s="4">
        <v>43.660333333333334</v>
      </c>
      <c r="I137" s="4">
        <v>53.350999999999999</v>
      </c>
      <c r="J137" s="4">
        <v>35.750799999999998</v>
      </c>
      <c r="K137" s="4">
        <v>41.387666666666668</v>
      </c>
      <c r="L137" s="4">
        <v>72.713600000000014</v>
      </c>
      <c r="M137" s="4">
        <v>11.809833333333335</v>
      </c>
      <c r="N137" s="4">
        <v>78.945999999999998</v>
      </c>
      <c r="O137" s="4">
        <v>58.856666666666676</v>
      </c>
      <c r="P137" s="4">
        <v>96.213833333333341</v>
      </c>
      <c r="Q137" s="4">
        <v>99.579000000000008</v>
      </c>
      <c r="S137" s="4">
        <v>57.024000000000001</v>
      </c>
      <c r="T137" s="4">
        <v>50.232222222222227</v>
      </c>
      <c r="U137" s="4">
        <v>46.14</v>
      </c>
    </row>
    <row r="138" spans="1:21" x14ac:dyDescent="0.25">
      <c r="A138" t="s">
        <v>325</v>
      </c>
      <c r="B138" t="s">
        <v>326</v>
      </c>
      <c r="C138" s="2">
        <v>55.217570361247958</v>
      </c>
      <c r="D138" s="3">
        <v>137</v>
      </c>
      <c r="E138" s="4">
        <v>27.149000000000001</v>
      </c>
      <c r="F138" s="4">
        <v>53.019714285714294</v>
      </c>
      <c r="G138" s="4">
        <v>47.567357142857141</v>
      </c>
      <c r="H138" s="4">
        <v>36.040333333333336</v>
      </c>
      <c r="I138" s="4">
        <v>38.450249999999997</v>
      </c>
      <c r="J138" s="4">
        <v>44.662799999999997</v>
      </c>
      <c r="K138" s="4">
        <v>12.542000000000002</v>
      </c>
      <c r="L138" s="4">
        <v>70.252800000000008</v>
      </c>
      <c r="M138" s="4">
        <v>16.664999999999999</v>
      </c>
      <c r="N138" s="4">
        <v>78.079000000000008</v>
      </c>
      <c r="O138" s="4">
        <v>61.056999999999995</v>
      </c>
      <c r="P138" s="4">
        <v>89.86933333333333</v>
      </c>
      <c r="Q138" s="4">
        <v>99.336666666666659</v>
      </c>
      <c r="S138" s="4">
        <v>86.025000000000006</v>
      </c>
      <c r="T138" s="4">
        <v>57.396333333333331</v>
      </c>
      <c r="U138" s="4">
        <v>56.170999999999999</v>
      </c>
    </row>
    <row r="139" spans="1:21" x14ac:dyDescent="0.25">
      <c r="A139" t="s">
        <v>319</v>
      </c>
      <c r="B139" t="s">
        <v>320</v>
      </c>
      <c r="C139" s="2">
        <v>54.564797378020984</v>
      </c>
      <c r="D139" s="3">
        <v>138</v>
      </c>
      <c r="E139" s="4">
        <v>57.008499999999998</v>
      </c>
      <c r="F139" s="4">
        <v>37.914857142857144</v>
      </c>
      <c r="G139" s="4">
        <v>53.26914285714286</v>
      </c>
      <c r="H139" s="4">
        <v>41.115705426356591</v>
      </c>
      <c r="I139" s="4">
        <v>51.758000000000003</v>
      </c>
      <c r="J139" s="4">
        <v>63.421199999999999</v>
      </c>
      <c r="K139" s="4">
        <v>32.965000000000003</v>
      </c>
      <c r="L139" s="4">
        <v>57.759500000000003</v>
      </c>
      <c r="M139" s="4">
        <v>25.767399999999999</v>
      </c>
      <c r="N139" s="4">
        <v>27.583000000000002</v>
      </c>
      <c r="O139" s="4">
        <v>71.241333333333344</v>
      </c>
      <c r="P139" s="4">
        <v>89.1785</v>
      </c>
      <c r="Q139" s="4">
        <v>97.654666666666671</v>
      </c>
      <c r="R139" s="4">
        <v>44.056999999999995</v>
      </c>
      <c r="S139" s="4">
        <v>38.297499999999999</v>
      </c>
      <c r="T139" s="4">
        <v>63.963749999999997</v>
      </c>
      <c r="U139" s="4">
        <v>74.646500000000003</v>
      </c>
    </row>
    <row r="140" spans="1:21" x14ac:dyDescent="0.25">
      <c r="A140" t="s">
        <v>335</v>
      </c>
      <c r="B140" t="s">
        <v>336</v>
      </c>
      <c r="C140" s="2">
        <v>54.224206436210856</v>
      </c>
      <c r="D140" s="3">
        <v>139</v>
      </c>
      <c r="F140" s="4">
        <v>45.246142857142864</v>
      </c>
      <c r="G140" s="4">
        <v>36.643714285714282</v>
      </c>
      <c r="H140" s="4">
        <v>54.601666666666681</v>
      </c>
      <c r="I140" s="4">
        <v>32.807499999999997</v>
      </c>
      <c r="J140" s="4">
        <v>46.313800000000001</v>
      </c>
      <c r="K140" s="4">
        <v>64.265500000000003</v>
      </c>
      <c r="L140" s="4">
        <v>40.560600000000001</v>
      </c>
      <c r="M140" s="4">
        <v>6.480666666666667</v>
      </c>
      <c r="O140" s="4">
        <v>39.4</v>
      </c>
      <c r="P140" s="4">
        <v>90.838166666666666</v>
      </c>
      <c r="Q140" s="4">
        <v>99.026666666666657</v>
      </c>
      <c r="S140" s="4">
        <v>52.181600000000003</v>
      </c>
      <c r="T140" s="4">
        <v>46.578375000000008</v>
      </c>
      <c r="U140" s="4">
        <v>46.32</v>
      </c>
    </row>
    <row r="141" spans="1:21" x14ac:dyDescent="0.25">
      <c r="A141" t="s">
        <v>317</v>
      </c>
      <c r="B141" t="s">
        <v>318</v>
      </c>
      <c r="C141" s="2">
        <v>54.125802474323052</v>
      </c>
      <c r="D141" s="3">
        <v>140</v>
      </c>
      <c r="E141" s="4">
        <v>11.77</v>
      </c>
      <c r="F141" s="4">
        <v>45.264857142857146</v>
      </c>
      <c r="G141" s="4">
        <v>33.205357142857132</v>
      </c>
      <c r="H141" s="4">
        <v>46.551000000000009</v>
      </c>
      <c r="I141" s="4">
        <v>61.495750000000001</v>
      </c>
      <c r="J141" s="4">
        <v>49.580200000000005</v>
      </c>
      <c r="K141" s="4">
        <v>38.051666666666669</v>
      </c>
      <c r="L141" s="4">
        <v>68.509600000000006</v>
      </c>
      <c r="M141" s="4">
        <v>10.064500000000001</v>
      </c>
      <c r="N141" s="4">
        <v>25.577000000000002</v>
      </c>
      <c r="O141" s="4">
        <v>71.652000000000001</v>
      </c>
      <c r="P141" s="4">
        <v>96.073333333333323</v>
      </c>
      <c r="Q141" s="4">
        <v>98.654666666666671</v>
      </c>
      <c r="R141" s="4">
        <v>72.979399999999984</v>
      </c>
      <c r="S141" s="4">
        <v>67.696200000000005</v>
      </c>
      <c r="T141" s="4">
        <v>54.081777777777788</v>
      </c>
      <c r="U141" s="4">
        <v>68.931333333333342</v>
      </c>
    </row>
    <row r="142" spans="1:21" x14ac:dyDescent="0.25">
      <c r="A142" t="s">
        <v>305</v>
      </c>
      <c r="B142" t="s">
        <v>306</v>
      </c>
      <c r="C142" s="2">
        <v>53.997636140893128</v>
      </c>
      <c r="D142" s="3">
        <v>141</v>
      </c>
      <c r="E142" s="4">
        <v>14.0085</v>
      </c>
      <c r="F142" s="4">
        <v>50.507857142857155</v>
      </c>
      <c r="G142" s="4">
        <v>27.229571428571429</v>
      </c>
      <c r="H142" s="4">
        <v>65.651666666666657</v>
      </c>
      <c r="I142" s="4">
        <v>73.463000000000008</v>
      </c>
      <c r="J142" s="4">
        <v>56.290600000000005</v>
      </c>
      <c r="K142" s="4">
        <v>30.6965</v>
      </c>
      <c r="L142" s="4">
        <v>53.799400000000006</v>
      </c>
      <c r="M142" s="4">
        <v>17.353333333333332</v>
      </c>
      <c r="N142" s="4">
        <v>0.13800000000000001</v>
      </c>
      <c r="O142" s="4">
        <v>70.308666666666667</v>
      </c>
      <c r="P142" s="4">
        <v>89.860833333333332</v>
      </c>
      <c r="Q142" s="4">
        <v>93.580666666666673</v>
      </c>
      <c r="S142" s="4">
        <v>74.02</v>
      </c>
      <c r="T142" s="4">
        <v>43.487111111111112</v>
      </c>
      <c r="U142" s="4">
        <v>93.149000000000001</v>
      </c>
    </row>
    <row r="143" spans="1:21" x14ac:dyDescent="0.25">
      <c r="A143" t="s">
        <v>301</v>
      </c>
      <c r="B143" t="s">
        <v>302</v>
      </c>
      <c r="C143" s="2">
        <v>53.486979604945432</v>
      </c>
      <c r="D143" s="3">
        <v>142</v>
      </c>
      <c r="E143" s="4">
        <v>24.531500000000001</v>
      </c>
      <c r="F143" s="4">
        <v>50.492714285714293</v>
      </c>
      <c r="G143" s="4">
        <v>46.213214285714294</v>
      </c>
      <c r="H143" s="4">
        <v>60.390333333333331</v>
      </c>
      <c r="I143" s="4">
        <v>59.774749999999997</v>
      </c>
      <c r="J143" s="4">
        <v>44.933800000000005</v>
      </c>
      <c r="K143" s="4">
        <v>7.0955000000000004</v>
      </c>
      <c r="L143" s="4">
        <v>72.212000000000018</v>
      </c>
      <c r="M143" s="4">
        <v>25.180833333333336</v>
      </c>
      <c r="N143" s="4">
        <v>57.103999999999999</v>
      </c>
      <c r="O143" s="4">
        <v>45.503666666666668</v>
      </c>
      <c r="P143" s="4">
        <v>88.694166666666661</v>
      </c>
      <c r="Q143" s="4">
        <v>99.28</v>
      </c>
      <c r="S143" s="4">
        <v>67.566400000000002</v>
      </c>
      <c r="T143" s="4">
        <v>49.089333333333329</v>
      </c>
      <c r="U143" s="4">
        <v>46.801333333333332</v>
      </c>
    </row>
    <row r="144" spans="1:21" x14ac:dyDescent="0.25">
      <c r="A144" t="s">
        <v>313</v>
      </c>
      <c r="B144" t="s">
        <v>314</v>
      </c>
      <c r="C144" s="2">
        <v>53.455386094207796</v>
      </c>
      <c r="D144" s="3">
        <v>143</v>
      </c>
      <c r="E144" s="4">
        <v>0</v>
      </c>
      <c r="F144" s="4">
        <v>50.947000000000003</v>
      </c>
      <c r="G144" s="4">
        <v>47.23</v>
      </c>
      <c r="H144" s="4">
        <v>60.234999999999999</v>
      </c>
      <c r="I144" s="4">
        <v>63.485500000000002</v>
      </c>
      <c r="J144" s="4">
        <v>54.903999999999996</v>
      </c>
      <c r="K144" s="4">
        <v>0.11</v>
      </c>
      <c r="L144" s="4">
        <v>43.211599999999997</v>
      </c>
      <c r="M144" s="4">
        <v>5.0235000000000003</v>
      </c>
      <c r="N144" s="4">
        <v>68.724000000000004</v>
      </c>
      <c r="O144" s="4">
        <v>59.41</v>
      </c>
      <c r="P144" s="4">
        <v>82.768333333333331</v>
      </c>
      <c r="Q144" s="4">
        <v>99.827666666666673</v>
      </c>
      <c r="S144" s="4">
        <v>82.931799999999996</v>
      </c>
      <c r="T144" s="4">
        <v>53.864555555555555</v>
      </c>
      <c r="U144" s="4">
        <v>71.653500000000008</v>
      </c>
    </row>
    <row r="145" spans="1:21" x14ac:dyDescent="0.25">
      <c r="A145" t="s">
        <v>283</v>
      </c>
      <c r="B145" t="s">
        <v>284</v>
      </c>
      <c r="C145" s="2">
        <v>53.401073489165775</v>
      </c>
      <c r="D145" s="3">
        <v>144</v>
      </c>
      <c r="E145" s="4">
        <v>22.954499999999999</v>
      </c>
      <c r="F145" s="4">
        <v>42.049571428571433</v>
      </c>
      <c r="G145" s="4">
        <v>42.92071428571429</v>
      </c>
      <c r="H145" s="4">
        <v>71.403000000000006</v>
      </c>
      <c r="I145" s="4">
        <v>56.946249999999999</v>
      </c>
      <c r="J145" s="4">
        <v>45.806000000000004</v>
      </c>
      <c r="K145" s="4">
        <v>59.774500000000003</v>
      </c>
      <c r="L145" s="4">
        <v>48.5548</v>
      </c>
      <c r="M145" s="4">
        <v>14.065</v>
      </c>
      <c r="N145" s="4">
        <v>0</v>
      </c>
      <c r="O145" s="4">
        <v>83.38666666666667</v>
      </c>
      <c r="P145" s="4">
        <v>72.010500000000008</v>
      </c>
      <c r="Q145" s="4">
        <v>83.888999999999996</v>
      </c>
      <c r="S145" s="4">
        <v>64.677750000000003</v>
      </c>
      <c r="T145" s="4">
        <v>59.664888888888896</v>
      </c>
      <c r="U145" s="4">
        <v>75.3</v>
      </c>
    </row>
    <row r="146" spans="1:21" x14ac:dyDescent="0.25">
      <c r="A146" t="s">
        <v>299</v>
      </c>
      <c r="B146" t="s">
        <v>300</v>
      </c>
      <c r="C146" s="2">
        <v>53.312071895424836</v>
      </c>
      <c r="D146" s="3">
        <v>145</v>
      </c>
      <c r="E146" s="4">
        <v>18.484999999999999</v>
      </c>
      <c r="F146" s="4">
        <v>57.281000000000006</v>
      </c>
      <c r="G146" s="4">
        <v>45.084499999999998</v>
      </c>
      <c r="H146" s="4">
        <v>52.22</v>
      </c>
      <c r="I146" s="4">
        <v>40.239250000000006</v>
      </c>
      <c r="J146" s="4">
        <v>50.217399999999998</v>
      </c>
      <c r="K146" s="4">
        <v>13.970333333333334</v>
      </c>
      <c r="L146" s="4">
        <v>71.270599999999988</v>
      </c>
      <c r="M146" s="4">
        <v>13.216166666666666</v>
      </c>
      <c r="N146" s="4">
        <v>35.292999999999999</v>
      </c>
      <c r="O146" s="4">
        <v>52.19233333333333</v>
      </c>
      <c r="P146" s="4">
        <v>96.126999999999995</v>
      </c>
      <c r="Q146" s="4">
        <v>98.778000000000006</v>
      </c>
      <c r="R146" s="4">
        <v>57.512749999999997</v>
      </c>
      <c r="S146" s="4">
        <v>85.205500000000001</v>
      </c>
      <c r="T146" s="4">
        <v>53.255888888888883</v>
      </c>
      <c r="U146" s="4">
        <v>65.956500000000005</v>
      </c>
    </row>
    <row r="147" spans="1:21" x14ac:dyDescent="0.25">
      <c r="A147" t="s">
        <v>327</v>
      </c>
      <c r="B147" t="s">
        <v>328</v>
      </c>
      <c r="C147" s="2">
        <v>53.073857142857143</v>
      </c>
      <c r="D147" s="3">
        <v>146</v>
      </c>
      <c r="E147" s="4">
        <v>49.674000000000007</v>
      </c>
      <c r="F147" s="4">
        <v>45.81733333333333</v>
      </c>
      <c r="G147" s="4">
        <v>53.262071428571439</v>
      </c>
      <c r="H147" s="4">
        <v>51.885666666666673</v>
      </c>
      <c r="I147" s="4">
        <v>38.5535</v>
      </c>
      <c r="J147" s="4">
        <v>49.008749999999999</v>
      </c>
      <c r="K147" s="4">
        <v>42.705999999999996</v>
      </c>
      <c r="L147" s="4">
        <v>49.734999999999999</v>
      </c>
      <c r="M147" s="4">
        <v>15.9465</v>
      </c>
      <c r="N147" s="4">
        <v>48.901000000000003</v>
      </c>
      <c r="O147" s="4">
        <v>70.171666666666667</v>
      </c>
      <c r="P147" s="4">
        <v>85.740499999999997</v>
      </c>
      <c r="Q147" s="4">
        <v>99.561000000000007</v>
      </c>
      <c r="R147" s="4">
        <v>35.957000000000001</v>
      </c>
      <c r="S147" s="4">
        <v>43.370333333333328</v>
      </c>
      <c r="T147" s="4">
        <v>60.208750000000002</v>
      </c>
      <c r="U147" s="4">
        <v>61.756500000000003</v>
      </c>
    </row>
    <row r="148" spans="1:21" x14ac:dyDescent="0.25">
      <c r="A148" t="s">
        <v>291</v>
      </c>
      <c r="B148" t="s">
        <v>292</v>
      </c>
      <c r="C148" s="2">
        <v>52.696175700280101</v>
      </c>
      <c r="D148" s="3">
        <v>147</v>
      </c>
      <c r="E148" s="4">
        <v>21.777000000000001</v>
      </c>
      <c r="F148" s="4">
        <v>54.050428571428583</v>
      </c>
      <c r="G148" s="4">
        <v>42.104999999999997</v>
      </c>
      <c r="H148" s="4">
        <v>62.585999999999991</v>
      </c>
      <c r="I148" s="4">
        <v>42.112499999999997</v>
      </c>
      <c r="J148" s="4">
        <v>49.711199999999998</v>
      </c>
      <c r="K148" s="4">
        <v>15.866666666666667</v>
      </c>
      <c r="L148" s="4">
        <v>70.883400000000009</v>
      </c>
      <c r="M148" s="4">
        <v>13.069166666666668</v>
      </c>
      <c r="N148" s="4">
        <v>39.634</v>
      </c>
      <c r="O148" s="4">
        <v>41.016333333333336</v>
      </c>
      <c r="P148" s="4">
        <v>93.252499999999998</v>
      </c>
      <c r="Q148" s="4">
        <v>99.082666666666668</v>
      </c>
      <c r="R148" s="4">
        <v>61.021666666666668</v>
      </c>
      <c r="S148" s="4">
        <v>78.160499999999999</v>
      </c>
      <c r="T148" s="4">
        <v>52.561624999999992</v>
      </c>
      <c r="U148" s="4">
        <v>58.944333333333333</v>
      </c>
    </row>
    <row r="149" spans="1:21" x14ac:dyDescent="0.25">
      <c r="A149" t="s">
        <v>309</v>
      </c>
      <c r="B149" t="s">
        <v>310</v>
      </c>
      <c r="C149" s="2">
        <v>52.671687121285295</v>
      </c>
      <c r="D149" s="3">
        <v>148</v>
      </c>
      <c r="E149" s="4">
        <v>13.0785</v>
      </c>
      <c r="F149" s="4">
        <v>44.003142857142855</v>
      </c>
      <c r="G149" s="4">
        <v>43.918285714285716</v>
      </c>
      <c r="H149" s="4">
        <v>64.658000000000001</v>
      </c>
      <c r="I149" s="4">
        <v>63.428000000000004</v>
      </c>
      <c r="J149" s="4">
        <v>51.024199999999993</v>
      </c>
      <c r="K149" s="4">
        <v>47.264333333333333</v>
      </c>
      <c r="L149" s="4">
        <v>63.999199999999995</v>
      </c>
      <c r="M149" s="4">
        <v>18.141999999999999</v>
      </c>
      <c r="N149" s="4">
        <v>0.93200000000000005</v>
      </c>
      <c r="O149" s="4">
        <v>61.268999999999998</v>
      </c>
      <c r="P149" s="4">
        <v>93.299333333333337</v>
      </c>
      <c r="Q149" s="4">
        <v>98.427000000000007</v>
      </c>
      <c r="S149" s="4">
        <v>69.770800000000008</v>
      </c>
      <c r="T149" s="4">
        <v>44.706444444444443</v>
      </c>
      <c r="U149" s="4">
        <v>53.083333333333336</v>
      </c>
    </row>
    <row r="150" spans="1:21" x14ac:dyDescent="0.25">
      <c r="A150" t="s">
        <v>329</v>
      </c>
      <c r="B150" t="s">
        <v>330</v>
      </c>
      <c r="C150" s="2">
        <v>52.589277170868343</v>
      </c>
      <c r="D150" s="3">
        <v>149</v>
      </c>
      <c r="E150" s="4">
        <v>43.914500000000004</v>
      </c>
      <c r="F150" s="4">
        <v>47.215285714285713</v>
      </c>
      <c r="G150" s="4">
        <v>37.215142857142858</v>
      </c>
      <c r="H150" s="4">
        <v>38.196333333333335</v>
      </c>
      <c r="I150" s="4">
        <v>50.534749999999995</v>
      </c>
      <c r="J150" s="4">
        <v>53.960999999999999</v>
      </c>
      <c r="K150" s="4">
        <v>51.48266666666666</v>
      </c>
      <c r="L150" s="4">
        <v>57.921000000000006</v>
      </c>
      <c r="M150" s="4">
        <v>8.3832000000000004</v>
      </c>
      <c r="N150" s="4">
        <v>50.493000000000002</v>
      </c>
      <c r="O150" s="4">
        <v>47.032999999999994</v>
      </c>
      <c r="P150" s="4">
        <v>92.82883333333335</v>
      </c>
      <c r="Q150" s="4">
        <v>96.754000000000019</v>
      </c>
      <c r="R150" s="4">
        <v>56.707799999999999</v>
      </c>
      <c r="S150" s="4">
        <v>64.225200000000001</v>
      </c>
      <c r="T150" s="4">
        <v>45.371000000000002</v>
      </c>
      <c r="U150" s="4">
        <v>51.781000000000006</v>
      </c>
    </row>
    <row r="151" spans="1:21" x14ac:dyDescent="0.25">
      <c r="A151" t="s">
        <v>303</v>
      </c>
      <c r="B151" t="s">
        <v>304</v>
      </c>
      <c r="C151" s="2">
        <v>52.469177917833797</v>
      </c>
      <c r="D151" s="3">
        <v>150</v>
      </c>
      <c r="E151" s="4">
        <v>34.717500000000001</v>
      </c>
      <c r="F151" s="4">
        <v>51.64742857142857</v>
      </c>
      <c r="G151" s="4">
        <v>31.508857142857142</v>
      </c>
      <c r="H151" s="4">
        <v>23.772666666666669</v>
      </c>
      <c r="I151" s="4">
        <v>36.819749999999999</v>
      </c>
      <c r="J151" s="4">
        <v>50.077599999999997</v>
      </c>
      <c r="K151" s="4">
        <v>14.489000000000001</v>
      </c>
      <c r="L151" s="4">
        <v>67.710800000000006</v>
      </c>
      <c r="M151" s="4">
        <v>6.5121666666666682</v>
      </c>
      <c r="N151" s="4">
        <v>69.489999999999995</v>
      </c>
      <c r="O151" s="4">
        <v>55.071333333333335</v>
      </c>
      <c r="P151" s="4">
        <v>94.608000000000018</v>
      </c>
      <c r="Q151" s="4">
        <v>99.15666666666668</v>
      </c>
      <c r="R151" s="4">
        <v>74.693599999999989</v>
      </c>
      <c r="S151" s="4">
        <v>73.602599999999995</v>
      </c>
      <c r="T151" s="4">
        <v>47.371555555555553</v>
      </c>
      <c r="U151" s="4">
        <v>60.726500000000001</v>
      </c>
    </row>
    <row r="152" spans="1:21" x14ac:dyDescent="0.25">
      <c r="A152" t="s">
        <v>345</v>
      </c>
      <c r="B152" t="s">
        <v>346</v>
      </c>
      <c r="C152" s="2">
        <v>52.325407376283856</v>
      </c>
      <c r="D152" s="3">
        <v>151</v>
      </c>
      <c r="F152" s="4">
        <v>27.478571428571428</v>
      </c>
      <c r="G152" s="4">
        <v>44.424142857142854</v>
      </c>
      <c r="H152" s="4">
        <v>55.522333333333336</v>
      </c>
      <c r="I152" s="4">
        <v>6.7149999999999999</v>
      </c>
      <c r="J152" s="4">
        <v>38.433800000000005</v>
      </c>
      <c r="K152" s="4">
        <v>69.251999999999995</v>
      </c>
      <c r="L152" s="4">
        <v>37.46875</v>
      </c>
      <c r="M152" s="4">
        <v>8.9401666666666681</v>
      </c>
      <c r="N152" s="4">
        <v>39.361000000000004</v>
      </c>
      <c r="O152" s="4">
        <v>46.702666666666666</v>
      </c>
      <c r="P152" s="4">
        <v>91.557333333333347</v>
      </c>
      <c r="Q152" s="4">
        <v>97.718666666666664</v>
      </c>
      <c r="R152" s="4">
        <v>71.486799999999988</v>
      </c>
      <c r="S152" s="4">
        <v>51.389499999999998</v>
      </c>
      <c r="T152" s="4">
        <v>36.404444444444437</v>
      </c>
      <c r="U152" s="4">
        <v>72.513499999999993</v>
      </c>
    </row>
    <row r="153" spans="1:21" x14ac:dyDescent="0.25">
      <c r="A153" t="s">
        <v>289</v>
      </c>
      <c r="B153" t="s">
        <v>290</v>
      </c>
      <c r="C153" s="2">
        <v>52.201496598409477</v>
      </c>
      <c r="D153" s="3">
        <v>152</v>
      </c>
      <c r="E153" s="4">
        <v>4.194</v>
      </c>
      <c r="F153" s="4">
        <v>59.395714285714284</v>
      </c>
      <c r="G153" s="4">
        <v>47.66121428571428</v>
      </c>
      <c r="H153" s="4">
        <v>49.954333333333331</v>
      </c>
      <c r="I153" s="4">
        <v>66.158249999999995</v>
      </c>
      <c r="J153" s="4">
        <v>52.043000000000006</v>
      </c>
      <c r="K153" s="4">
        <v>2.2349999999999999</v>
      </c>
      <c r="L153" s="4">
        <v>62.445</v>
      </c>
      <c r="M153" s="4">
        <v>10.880333333333333</v>
      </c>
      <c r="N153" s="4">
        <v>38.262</v>
      </c>
      <c r="O153" s="4">
        <v>64.947999999999993</v>
      </c>
      <c r="P153" s="4">
        <v>93.990666666666655</v>
      </c>
      <c r="Q153" s="4">
        <v>99.458666666666673</v>
      </c>
      <c r="S153" s="4">
        <v>62.096600000000002</v>
      </c>
      <c r="T153" s="4">
        <v>50.260888888888893</v>
      </c>
      <c r="U153" s="4">
        <v>59.026666666666664</v>
      </c>
    </row>
    <row r="154" spans="1:21" x14ac:dyDescent="0.25">
      <c r="A154" t="s">
        <v>293</v>
      </c>
      <c r="B154" t="s">
        <v>294</v>
      </c>
      <c r="C154" s="2">
        <v>51.908163655462175</v>
      </c>
      <c r="D154" s="3">
        <v>153</v>
      </c>
      <c r="E154" s="4">
        <v>23.877500000000001</v>
      </c>
      <c r="F154" s="4">
        <v>45.723000000000006</v>
      </c>
      <c r="G154" s="4">
        <v>24.838357142857141</v>
      </c>
      <c r="H154" s="4">
        <v>58.43966666666666</v>
      </c>
      <c r="I154" s="4">
        <v>47.91375</v>
      </c>
      <c r="J154" s="4">
        <v>48.162999999999997</v>
      </c>
      <c r="K154" s="4">
        <v>7.8660000000000005</v>
      </c>
      <c r="L154" s="4">
        <v>64.935200000000009</v>
      </c>
      <c r="M154" s="4">
        <v>7.0088333333333344</v>
      </c>
      <c r="N154" s="4">
        <v>73.58</v>
      </c>
      <c r="O154" s="4">
        <v>42.27</v>
      </c>
      <c r="P154" s="4">
        <v>95.192999999999998</v>
      </c>
      <c r="Q154" s="4">
        <v>99.440666666666672</v>
      </c>
      <c r="R154" s="4">
        <v>68.637799999999999</v>
      </c>
      <c r="S154" s="4">
        <v>63.452800000000003</v>
      </c>
      <c r="T154" s="4">
        <v>58.993874999999996</v>
      </c>
      <c r="U154" s="4">
        <v>52.105333333333334</v>
      </c>
    </row>
    <row r="155" spans="1:21" x14ac:dyDescent="0.25">
      <c r="A155" t="s">
        <v>323</v>
      </c>
      <c r="B155" t="s">
        <v>324</v>
      </c>
      <c r="C155" s="2">
        <v>51.694778685097226</v>
      </c>
      <c r="D155" s="3">
        <v>154</v>
      </c>
      <c r="E155" s="4">
        <v>36.961999999999996</v>
      </c>
      <c r="F155" s="4">
        <v>41.152000000000001</v>
      </c>
      <c r="G155" s="4">
        <v>42.896785714285713</v>
      </c>
      <c r="H155" s="4">
        <v>74.141579710144924</v>
      </c>
      <c r="I155" s="4">
        <v>39.365749999999998</v>
      </c>
      <c r="J155" s="4">
        <v>53.764400000000002</v>
      </c>
      <c r="K155" s="4">
        <v>27.497666666666664</v>
      </c>
      <c r="L155" s="4">
        <v>57.857799999999997</v>
      </c>
      <c r="M155" s="4">
        <v>12.646000000000001</v>
      </c>
      <c r="N155" s="4">
        <v>60.454000000000001</v>
      </c>
      <c r="O155" s="4">
        <v>39.822000000000003</v>
      </c>
      <c r="P155" s="4">
        <v>92.479000000000013</v>
      </c>
      <c r="Q155" s="4">
        <v>99.24133333333333</v>
      </c>
      <c r="R155" s="4">
        <v>51.829499999999996</v>
      </c>
      <c r="S155" s="4">
        <v>41.4602</v>
      </c>
      <c r="T155" s="4">
        <v>46.321222222222218</v>
      </c>
      <c r="U155" s="4">
        <v>60.92</v>
      </c>
    </row>
    <row r="156" spans="1:21" x14ac:dyDescent="0.25">
      <c r="A156" t="s">
        <v>315</v>
      </c>
      <c r="B156" t="s">
        <v>316</v>
      </c>
      <c r="C156" s="2">
        <v>51.661373604826551</v>
      </c>
      <c r="D156" s="3">
        <v>155</v>
      </c>
      <c r="E156" s="4">
        <v>31.241499999999998</v>
      </c>
      <c r="F156" s="4">
        <v>29.573600000000006</v>
      </c>
      <c r="G156" s="4">
        <v>47.570384615384619</v>
      </c>
      <c r="H156" s="4">
        <v>46.068333333333335</v>
      </c>
      <c r="I156" s="4">
        <v>43.876000000000005</v>
      </c>
      <c r="J156" s="4">
        <v>40.973599999999998</v>
      </c>
      <c r="K156" s="4">
        <v>30.764000000000003</v>
      </c>
      <c r="L156" s="4">
        <v>73.0685</v>
      </c>
      <c r="M156" s="4">
        <v>6.1920000000000011</v>
      </c>
      <c r="N156" s="4">
        <v>28.193999999999999</v>
      </c>
      <c r="O156" s="4">
        <v>72.5535</v>
      </c>
      <c r="P156" s="4">
        <v>86.524333333333331</v>
      </c>
      <c r="Q156" s="4">
        <v>95.669499999999999</v>
      </c>
      <c r="R156" s="4">
        <v>57.704999999999998</v>
      </c>
      <c r="S156" s="4">
        <v>63.021000000000001</v>
      </c>
      <c r="T156" s="4">
        <v>65.416600000000003</v>
      </c>
      <c r="U156" s="4">
        <v>59.831499999999998</v>
      </c>
    </row>
    <row r="157" spans="1:21" x14ac:dyDescent="0.25">
      <c r="A157" t="s">
        <v>281</v>
      </c>
      <c r="B157" t="s">
        <v>282</v>
      </c>
      <c r="C157" s="2">
        <v>51.385353040986509</v>
      </c>
      <c r="D157" s="3">
        <v>156</v>
      </c>
      <c r="E157" s="4">
        <v>26.35</v>
      </c>
      <c r="F157" s="4">
        <v>48.405571428571427</v>
      </c>
      <c r="G157" s="4">
        <v>34.821000000000005</v>
      </c>
      <c r="H157" s="4">
        <v>11.466333333333333</v>
      </c>
      <c r="I157" s="4">
        <v>33.2455</v>
      </c>
      <c r="J157" s="4">
        <v>59.264200000000002</v>
      </c>
      <c r="K157" s="4">
        <v>18.6965</v>
      </c>
      <c r="L157" s="4">
        <v>67.897400000000005</v>
      </c>
      <c r="M157" s="4">
        <v>13.437333333333333</v>
      </c>
      <c r="N157" s="4">
        <v>73.372</v>
      </c>
      <c r="O157" s="4">
        <v>60.362666666666662</v>
      </c>
      <c r="P157" s="4">
        <v>91.657166666666669</v>
      </c>
      <c r="Q157" s="4">
        <v>99.51433333333334</v>
      </c>
      <c r="S157" s="4">
        <v>70.218000000000004</v>
      </c>
      <c r="T157" s="4">
        <v>49.324555555555555</v>
      </c>
      <c r="U157" s="4">
        <v>51.103333333333332</v>
      </c>
    </row>
    <row r="158" spans="1:21" x14ac:dyDescent="0.25">
      <c r="A158" t="s">
        <v>341</v>
      </c>
      <c r="B158" t="s">
        <v>342</v>
      </c>
      <c r="C158" s="2">
        <v>50.149312938278761</v>
      </c>
      <c r="D158" s="3">
        <v>157</v>
      </c>
      <c r="E158" s="4">
        <v>7.0659999999999998</v>
      </c>
      <c r="F158" s="4">
        <v>44.101428571428578</v>
      </c>
      <c r="G158" s="4">
        <v>38.843000000000004</v>
      </c>
      <c r="H158" s="4">
        <v>8.565666666666667</v>
      </c>
      <c r="I158" s="4">
        <v>37.712249999999997</v>
      </c>
      <c r="J158" s="4">
        <v>44.228400000000001</v>
      </c>
      <c r="K158" s="4">
        <v>15.046333333333335</v>
      </c>
      <c r="L158" s="4">
        <v>64.096599999999995</v>
      </c>
      <c r="M158" s="4">
        <v>4.0136666666666665</v>
      </c>
      <c r="N158" s="4">
        <v>80.948999999999998</v>
      </c>
      <c r="O158" s="4">
        <v>51.988333333333337</v>
      </c>
      <c r="P158" s="4">
        <v>92.768200000000007</v>
      </c>
      <c r="Q158" s="4">
        <v>99.626333333333335</v>
      </c>
      <c r="S158" s="4">
        <v>74.513999999999996</v>
      </c>
      <c r="T158" s="4">
        <v>55.947499999999998</v>
      </c>
      <c r="U158" s="4">
        <v>68.656499999999994</v>
      </c>
    </row>
    <row r="159" spans="1:21" x14ac:dyDescent="0.25">
      <c r="A159" t="s">
        <v>337</v>
      </c>
      <c r="B159" t="s">
        <v>338</v>
      </c>
      <c r="C159" s="2">
        <v>49.710740896358551</v>
      </c>
      <c r="D159" s="3">
        <v>158</v>
      </c>
      <c r="E159" s="4">
        <v>0</v>
      </c>
      <c r="F159" s="4">
        <v>47.653500000000008</v>
      </c>
      <c r="G159" s="4">
        <v>39.599428571428575</v>
      </c>
      <c r="H159" s="4">
        <v>58.231999999999999</v>
      </c>
      <c r="I159" s="4">
        <v>37.768500000000003</v>
      </c>
      <c r="J159" s="4">
        <v>43.415399999999998</v>
      </c>
      <c r="K159" s="4">
        <v>36.363</v>
      </c>
      <c r="L159" s="4">
        <v>55.887799999999991</v>
      </c>
      <c r="M159" s="4">
        <v>9.3094999999999999</v>
      </c>
      <c r="N159" s="4">
        <v>58.935000000000002</v>
      </c>
      <c r="O159" s="4">
        <v>48.285666666666664</v>
      </c>
      <c r="P159" s="4">
        <v>92.646199999999993</v>
      </c>
      <c r="Q159" s="4">
        <v>99.469500000000011</v>
      </c>
      <c r="R159" s="4">
        <v>57.412000000000006</v>
      </c>
      <c r="S159" s="4">
        <v>71.566600000000008</v>
      </c>
      <c r="T159" s="4">
        <v>29.895</v>
      </c>
      <c r="U159" s="4">
        <v>58.643500000000003</v>
      </c>
    </row>
    <row r="160" spans="1:21" x14ac:dyDescent="0.25">
      <c r="A160" t="s">
        <v>339</v>
      </c>
      <c r="B160" t="s">
        <v>340</v>
      </c>
      <c r="C160" s="2">
        <v>49.561003011204491</v>
      </c>
      <c r="D160" s="3">
        <v>159</v>
      </c>
      <c r="E160" s="4">
        <v>33.036999999999999</v>
      </c>
      <c r="F160" s="4">
        <v>20.764400000000002</v>
      </c>
      <c r="G160" s="4">
        <v>50.298642857142859</v>
      </c>
      <c r="H160" s="4">
        <v>37.461000000000006</v>
      </c>
      <c r="I160" s="4">
        <v>37.848750000000003</v>
      </c>
      <c r="J160" s="4">
        <v>32.705400000000004</v>
      </c>
      <c r="K160" s="4">
        <v>57.089666666666666</v>
      </c>
      <c r="L160" s="4">
        <v>47.153400000000005</v>
      </c>
      <c r="M160" s="4">
        <v>16.021833333333333</v>
      </c>
      <c r="N160" s="4">
        <v>63.853999999999999</v>
      </c>
      <c r="O160" s="4">
        <v>41.871000000000002</v>
      </c>
      <c r="P160" s="4">
        <v>87.81049999999999</v>
      </c>
      <c r="Q160" s="4">
        <v>99.455666666666673</v>
      </c>
      <c r="R160" s="4">
        <v>66.52225</v>
      </c>
      <c r="S160" s="4">
        <v>50.549750000000003</v>
      </c>
      <c r="T160" s="4">
        <v>56.136125</v>
      </c>
      <c r="U160" s="4">
        <v>43.957666666666661</v>
      </c>
    </row>
    <row r="161" spans="1:21" x14ac:dyDescent="0.25">
      <c r="A161" t="s">
        <v>311</v>
      </c>
      <c r="B161" t="s">
        <v>312</v>
      </c>
      <c r="C161" s="2">
        <v>49.279738095238088</v>
      </c>
      <c r="D161" s="3">
        <v>160</v>
      </c>
      <c r="E161" s="4">
        <v>17.238500000000002</v>
      </c>
      <c r="F161" s="4">
        <v>49.036714285714297</v>
      </c>
      <c r="G161" s="4">
        <v>27.978000000000002</v>
      </c>
      <c r="H161" s="4">
        <v>37.419666666666664</v>
      </c>
      <c r="I161" s="4">
        <v>41.079250000000002</v>
      </c>
      <c r="J161" s="4">
        <v>56.878399999999999</v>
      </c>
      <c r="K161" s="4">
        <v>35.070333333333338</v>
      </c>
      <c r="L161" s="4">
        <v>60.459500000000006</v>
      </c>
      <c r="M161" s="4">
        <v>31.809833333333334</v>
      </c>
      <c r="N161" s="4">
        <v>19.548999999999999</v>
      </c>
      <c r="O161" s="4">
        <v>33.025666666666673</v>
      </c>
      <c r="P161" s="4">
        <v>94.01066666666668</v>
      </c>
      <c r="Q161" s="4">
        <v>98.11866666666667</v>
      </c>
      <c r="R161" s="4">
        <v>66.21875</v>
      </c>
      <c r="S161" s="4">
        <v>74.903599999999997</v>
      </c>
      <c r="T161" s="4">
        <v>44.958999999999996</v>
      </c>
      <c r="U161" s="4">
        <v>50</v>
      </c>
    </row>
    <row r="162" spans="1:21" x14ac:dyDescent="0.25">
      <c r="A162" t="s">
        <v>331</v>
      </c>
      <c r="B162" t="s">
        <v>332</v>
      </c>
      <c r="C162" s="2">
        <v>49.143943090569564</v>
      </c>
      <c r="D162" s="3">
        <v>161</v>
      </c>
      <c r="E162" s="4">
        <v>0</v>
      </c>
      <c r="F162" s="4">
        <v>40.431428571428569</v>
      </c>
      <c r="G162" s="4">
        <v>41.734142857142857</v>
      </c>
      <c r="H162" s="4">
        <v>59.780666666666662</v>
      </c>
      <c r="I162" s="4">
        <v>68.542749999999998</v>
      </c>
      <c r="J162" s="4">
        <v>44.869</v>
      </c>
      <c r="K162" s="4">
        <v>8.2370000000000001</v>
      </c>
      <c r="L162" s="4">
        <v>63.631799999999998</v>
      </c>
      <c r="M162" s="4">
        <v>8.0753333333333348</v>
      </c>
      <c r="N162" s="4">
        <v>31.954999999999998</v>
      </c>
      <c r="O162" s="4">
        <v>62.988</v>
      </c>
      <c r="P162" s="4">
        <v>94.080666666666673</v>
      </c>
      <c r="Q162" s="4">
        <v>99.331666666666663</v>
      </c>
      <c r="R162" s="4">
        <v>65.135599999999997</v>
      </c>
      <c r="S162" s="4">
        <v>47.589200000000005</v>
      </c>
      <c r="T162" s="4">
        <v>50.751444444444445</v>
      </c>
      <c r="U162" s="4">
        <v>48.313333333333333</v>
      </c>
    </row>
    <row r="163" spans="1:21" x14ac:dyDescent="0.25">
      <c r="A163" t="s">
        <v>333</v>
      </c>
      <c r="B163" t="s">
        <v>334</v>
      </c>
      <c r="C163" s="2">
        <v>47.121153851540619</v>
      </c>
      <c r="D163" s="3">
        <v>162</v>
      </c>
      <c r="E163" s="4">
        <v>22.989000000000001</v>
      </c>
      <c r="F163" s="4">
        <v>44.389142857142865</v>
      </c>
      <c r="G163" s="4">
        <v>39.830714285714286</v>
      </c>
      <c r="H163" s="4">
        <v>16.859666666666666</v>
      </c>
      <c r="I163" s="4">
        <v>43.932249999999996</v>
      </c>
      <c r="J163" s="4">
        <v>52.527600000000007</v>
      </c>
      <c r="K163" s="4">
        <v>6.8144999999999998</v>
      </c>
      <c r="L163" s="4">
        <v>63.105199999999989</v>
      </c>
      <c r="M163" s="4">
        <v>5.1745000000000001</v>
      </c>
      <c r="N163" s="4">
        <v>67.227999999999994</v>
      </c>
      <c r="O163" s="4">
        <v>29.629333333333335</v>
      </c>
      <c r="P163" s="4">
        <v>95.914799999999985</v>
      </c>
      <c r="Q163" s="4">
        <v>99.522333333333336</v>
      </c>
      <c r="R163" s="4">
        <v>77.204000000000008</v>
      </c>
      <c r="S163" s="4">
        <v>49.294200000000004</v>
      </c>
      <c r="T163" s="4">
        <v>45.181375000000003</v>
      </c>
      <c r="U163" s="4">
        <v>41.463000000000001</v>
      </c>
    </row>
    <row r="164" spans="1:21" x14ac:dyDescent="0.25">
      <c r="A164" t="s">
        <v>343</v>
      </c>
      <c r="B164" t="s">
        <v>344</v>
      </c>
      <c r="C164" s="2">
        <v>46.207270439888426</v>
      </c>
      <c r="D164" s="3">
        <v>163</v>
      </c>
      <c r="E164" s="4">
        <v>15.234</v>
      </c>
      <c r="F164" s="4">
        <v>30.597000000000001</v>
      </c>
      <c r="G164" s="4">
        <v>24.188285714285715</v>
      </c>
      <c r="I164" s="4">
        <v>30.084000000000003</v>
      </c>
      <c r="J164" s="4">
        <v>47.737199999999994</v>
      </c>
      <c r="K164" s="4">
        <v>13.290500000000002</v>
      </c>
      <c r="L164" s="4">
        <v>55.022999999999996</v>
      </c>
      <c r="M164" s="4">
        <v>1.805666666666667</v>
      </c>
      <c r="O164" s="4">
        <v>69.471333333333334</v>
      </c>
      <c r="P164" s="4">
        <v>89.0762</v>
      </c>
      <c r="Q164" s="4">
        <v>99.914666666666676</v>
      </c>
      <c r="R164" s="4">
        <v>63.561999999999998</v>
      </c>
      <c r="S164" s="4">
        <v>54.354600000000005</v>
      </c>
      <c r="T164" s="4">
        <v>44.831428571428567</v>
      </c>
      <c r="U164" s="4">
        <v>50</v>
      </c>
    </row>
    <row r="165" spans="1:21" x14ac:dyDescent="0.25">
      <c r="A165" t="s">
        <v>347</v>
      </c>
      <c r="B165" t="s">
        <v>348</v>
      </c>
      <c r="C165" s="2">
        <v>43.750714525580349</v>
      </c>
      <c r="D165" s="3">
        <v>164</v>
      </c>
      <c r="E165" s="4">
        <v>23.161000000000001</v>
      </c>
      <c r="F165" s="4">
        <v>33.017142857142858</v>
      </c>
      <c r="G165" s="4">
        <v>21.075357142857143</v>
      </c>
      <c r="H165" s="4">
        <v>13.963333333333333</v>
      </c>
      <c r="I165" s="4">
        <v>27.791250000000002</v>
      </c>
      <c r="J165" s="4">
        <v>39.9696</v>
      </c>
      <c r="K165" s="4">
        <v>1.5535000000000001</v>
      </c>
      <c r="L165" s="4">
        <v>53.905799999999999</v>
      </c>
      <c r="M165" s="4">
        <v>8.4774999999999991</v>
      </c>
      <c r="N165" s="4">
        <v>53.423000000000002</v>
      </c>
      <c r="O165" s="4">
        <v>39.354666666666667</v>
      </c>
      <c r="P165" s="4">
        <v>90.973833333333332</v>
      </c>
      <c r="Q165" s="4">
        <v>99.709000000000003</v>
      </c>
      <c r="S165" s="4">
        <v>74.040000000000006</v>
      </c>
      <c r="T165" s="4">
        <v>33.175555555555562</v>
      </c>
      <c r="U165" s="4">
        <v>65.756500000000003</v>
      </c>
    </row>
    <row r="166" spans="1:21" x14ac:dyDescent="0.25">
      <c r="A166" t="s">
        <v>351</v>
      </c>
      <c r="B166" t="s">
        <v>352</v>
      </c>
      <c r="C166" s="2">
        <v>43.656920221191918</v>
      </c>
      <c r="D166" s="3">
        <v>165</v>
      </c>
      <c r="E166" s="4">
        <v>0</v>
      </c>
      <c r="F166" s="4">
        <v>25.897500000000001</v>
      </c>
      <c r="G166" s="4">
        <v>26.831571428571433</v>
      </c>
      <c r="H166" s="4">
        <v>1.6443333333333332</v>
      </c>
      <c r="I166" s="4">
        <v>52.406750000000002</v>
      </c>
      <c r="J166" s="4">
        <v>40.572800000000001</v>
      </c>
      <c r="K166" s="4">
        <v>22.145666666666667</v>
      </c>
      <c r="L166" s="4">
        <v>51.439</v>
      </c>
      <c r="M166" s="4">
        <v>2.1302000000000003</v>
      </c>
      <c r="N166" s="4">
        <v>42.352000000000004</v>
      </c>
      <c r="O166" s="4">
        <v>17.704999999999998</v>
      </c>
      <c r="P166" s="4">
        <v>74.591800000000006</v>
      </c>
      <c r="Q166" s="4">
        <v>99.608000000000004</v>
      </c>
      <c r="S166" s="4">
        <v>74.130200000000002</v>
      </c>
      <c r="T166" s="4">
        <v>46.297714285714292</v>
      </c>
      <c r="U166" s="4">
        <v>100</v>
      </c>
    </row>
    <row r="167" spans="1:21" x14ac:dyDescent="0.25">
      <c r="A167" t="s">
        <v>349</v>
      </c>
      <c r="B167" t="s">
        <v>350</v>
      </c>
      <c r="C167" s="2">
        <v>38.536616999903416</v>
      </c>
      <c r="D167" s="3">
        <v>166</v>
      </c>
      <c r="E167" s="4">
        <v>0</v>
      </c>
      <c r="F167" s="4">
        <v>36.720857142857142</v>
      </c>
      <c r="G167" s="4">
        <v>15.411357142857142</v>
      </c>
      <c r="H167" s="4">
        <v>9.0150000000000006</v>
      </c>
      <c r="I167" s="4">
        <v>31.175750000000001</v>
      </c>
      <c r="J167" s="4">
        <v>45.511400000000002</v>
      </c>
      <c r="K167" s="4">
        <v>11.486000000000001</v>
      </c>
      <c r="L167" s="4">
        <v>48.544000000000004</v>
      </c>
      <c r="M167" s="4">
        <v>3.5751666666666666</v>
      </c>
      <c r="N167" s="4">
        <v>19.282</v>
      </c>
      <c r="O167" s="4">
        <v>27.754999999999999</v>
      </c>
      <c r="P167" s="4">
        <v>72.725499999999997</v>
      </c>
      <c r="Q167" s="4">
        <v>99.670333333333346</v>
      </c>
      <c r="S167" s="4">
        <v>90.212600000000009</v>
      </c>
      <c r="T167" s="4">
        <v>41.915749999999996</v>
      </c>
      <c r="U167" s="4">
        <v>37.706666666666671</v>
      </c>
    </row>
    <row r="168" spans="1:21" x14ac:dyDescent="0.25">
      <c r="A168" t="s">
        <v>353</v>
      </c>
      <c r="B168" t="s">
        <v>354</v>
      </c>
    </row>
    <row r="169" spans="1:21" x14ac:dyDescent="0.25">
      <c r="A169" t="s">
        <v>355</v>
      </c>
      <c r="B169" t="s">
        <v>356</v>
      </c>
    </row>
    <row r="170" spans="1:21" x14ac:dyDescent="0.25">
      <c r="A170" t="s">
        <v>267</v>
      </c>
      <c r="B170" t="s">
        <v>268</v>
      </c>
    </row>
    <row r="171" spans="1:21" x14ac:dyDescent="0.25">
      <c r="A171" t="s">
        <v>357</v>
      </c>
      <c r="B171" t="s">
        <v>358</v>
      </c>
    </row>
    <row r="172" spans="1:21" x14ac:dyDescent="0.25">
      <c r="A172" t="s">
        <v>359</v>
      </c>
      <c r="B172" t="s">
        <v>360</v>
      </c>
    </row>
    <row r="173" spans="1:21" x14ac:dyDescent="0.25">
      <c r="A173" t="s">
        <v>361</v>
      </c>
      <c r="B173" t="s">
        <v>362</v>
      </c>
    </row>
    <row r="174" spans="1:21" x14ac:dyDescent="0.25">
      <c r="A174" t="s">
        <v>363</v>
      </c>
      <c r="B174" t="s">
        <v>364</v>
      </c>
    </row>
    <row r="175" spans="1:21" x14ac:dyDescent="0.25">
      <c r="A175" t="s">
        <v>365</v>
      </c>
      <c r="B175" t="s">
        <v>366</v>
      </c>
    </row>
    <row r="176" spans="1:21" x14ac:dyDescent="0.25">
      <c r="A176" t="s">
        <v>367</v>
      </c>
      <c r="B176" t="s">
        <v>368</v>
      </c>
    </row>
    <row r="177" spans="1:2" x14ac:dyDescent="0.25">
      <c r="A177" t="s">
        <v>369</v>
      </c>
      <c r="B177" t="s">
        <v>370</v>
      </c>
    </row>
    <row r="178" spans="1:2" x14ac:dyDescent="0.25">
      <c r="A178" t="s">
        <v>371</v>
      </c>
      <c r="B178" t="s">
        <v>372</v>
      </c>
    </row>
    <row r="179" spans="1:2" x14ac:dyDescent="0.25">
      <c r="A179" t="s">
        <v>373</v>
      </c>
      <c r="B179" t="s">
        <v>374</v>
      </c>
    </row>
    <row r="180" spans="1:2" x14ac:dyDescent="0.25">
      <c r="A180" t="s">
        <v>375</v>
      </c>
      <c r="B180" t="s">
        <v>376</v>
      </c>
    </row>
    <row r="181" spans="1:2" x14ac:dyDescent="0.25">
      <c r="A181" t="s">
        <v>377</v>
      </c>
      <c r="B181" t="s">
        <v>378</v>
      </c>
    </row>
    <row r="182" spans="1:2" x14ac:dyDescent="0.25">
      <c r="A182" t="s">
        <v>379</v>
      </c>
      <c r="B182" t="s">
        <v>380</v>
      </c>
    </row>
    <row r="183" spans="1:2" x14ac:dyDescent="0.25">
      <c r="A183" t="s">
        <v>381</v>
      </c>
      <c r="B183" t="s">
        <v>382</v>
      </c>
    </row>
    <row r="184" spans="1:2" x14ac:dyDescent="0.25">
      <c r="A184" t="s">
        <v>383</v>
      </c>
      <c r="B184" t="s">
        <v>384</v>
      </c>
    </row>
    <row r="185" spans="1:2" x14ac:dyDescent="0.25">
      <c r="A185" t="s">
        <v>385</v>
      </c>
      <c r="B185" t="s">
        <v>386</v>
      </c>
    </row>
    <row r="186" spans="1:2" x14ac:dyDescent="0.25">
      <c r="A186" t="s">
        <v>387</v>
      </c>
      <c r="B186" t="s">
        <v>388</v>
      </c>
    </row>
    <row r="187" spans="1:2" x14ac:dyDescent="0.25">
      <c r="A187" t="s">
        <v>389</v>
      </c>
      <c r="B187" t="s">
        <v>390</v>
      </c>
    </row>
    <row r="188" spans="1:2" x14ac:dyDescent="0.25">
      <c r="A188" t="s">
        <v>391</v>
      </c>
      <c r="B188" t="s">
        <v>392</v>
      </c>
    </row>
    <row r="189" spans="1:2" x14ac:dyDescent="0.25">
      <c r="A189" t="s">
        <v>393</v>
      </c>
      <c r="B189" t="s">
        <v>394</v>
      </c>
    </row>
    <row r="190" spans="1:2" x14ac:dyDescent="0.25">
      <c r="A190" t="s">
        <v>395</v>
      </c>
      <c r="B190" t="s">
        <v>396</v>
      </c>
    </row>
    <row r="191" spans="1:2" x14ac:dyDescent="0.25">
      <c r="A191" t="s">
        <v>397</v>
      </c>
      <c r="B191" t="s">
        <v>398</v>
      </c>
    </row>
    <row r="192" spans="1:2" x14ac:dyDescent="0.25">
      <c r="A192" t="s">
        <v>399</v>
      </c>
      <c r="B192" t="s">
        <v>400</v>
      </c>
    </row>
    <row r="193" spans="1:21" x14ac:dyDescent="0.25">
      <c r="A193" t="s">
        <v>401</v>
      </c>
      <c r="B193" t="s">
        <v>402</v>
      </c>
    </row>
    <row r="194" spans="1:21" x14ac:dyDescent="0.25">
      <c r="A194" t="s">
        <v>405</v>
      </c>
      <c r="B194" t="s">
        <v>406</v>
      </c>
    </row>
    <row r="195" spans="1:21" x14ac:dyDescent="0.25">
      <c r="A195" t="s">
        <v>407</v>
      </c>
      <c r="B195" t="s">
        <v>408</v>
      </c>
      <c r="C195" s="2">
        <v>70.92693473389356</v>
      </c>
      <c r="E195" s="4">
        <v>94.436499999999995</v>
      </c>
      <c r="F195" s="4">
        <v>55.771857142857144</v>
      </c>
      <c r="G195" s="4">
        <v>72.731999999999999</v>
      </c>
      <c r="H195" s="4">
        <v>88.769000000000005</v>
      </c>
      <c r="I195" s="4">
        <v>62.345500000000001</v>
      </c>
      <c r="J195" s="4">
        <v>69.540600000000012</v>
      </c>
      <c r="K195" s="4">
        <v>87.587333333333333</v>
      </c>
      <c r="L195" s="4">
        <v>72.385400000000004</v>
      </c>
      <c r="M195" s="4">
        <v>44.844999999999999</v>
      </c>
      <c r="N195" s="4">
        <v>63.724000000000004</v>
      </c>
      <c r="O195" s="4">
        <v>76.362000000000009</v>
      </c>
      <c r="P195" s="4">
        <v>80.93216666666666</v>
      </c>
      <c r="Q195" s="4">
        <v>84.536999999999992</v>
      </c>
      <c r="S195" s="4">
        <v>66.002800000000008</v>
      </c>
      <c r="T195" s="4">
        <v>60.437333333333335</v>
      </c>
      <c r="U195" s="4">
        <v>65.995666666666665</v>
      </c>
    </row>
    <row r="196" spans="1:21" x14ac:dyDescent="0.25">
      <c r="A196" t="s">
        <v>409</v>
      </c>
      <c r="B196" t="s">
        <v>410</v>
      </c>
      <c r="C196" s="2">
        <v>67.246274509803939</v>
      </c>
      <c r="E196" s="4">
        <v>84.635000000000005</v>
      </c>
      <c r="F196" s="4">
        <v>57.263571428571431</v>
      </c>
      <c r="G196" s="4">
        <v>67.807428571428574</v>
      </c>
      <c r="H196" s="4">
        <v>85.588666666666668</v>
      </c>
      <c r="I196" s="4">
        <v>54.210999999999999</v>
      </c>
      <c r="J196" s="4">
        <v>63.106399999999994</v>
      </c>
      <c r="K196" s="4">
        <v>68.937333333333342</v>
      </c>
      <c r="L196" s="4">
        <v>81.265000000000001</v>
      </c>
      <c r="M196" s="4">
        <v>53.774833333333341</v>
      </c>
      <c r="N196" s="4">
        <v>57.363</v>
      </c>
      <c r="O196" s="4">
        <v>62.821000000000005</v>
      </c>
      <c r="P196" s="4">
        <v>90.269499999999994</v>
      </c>
      <c r="Q196" s="4">
        <v>93.64533333333334</v>
      </c>
      <c r="R196" s="4">
        <v>57.750600000000006</v>
      </c>
      <c r="S196" s="4">
        <v>54.803999999999995</v>
      </c>
      <c r="T196" s="4">
        <v>61.575333333333333</v>
      </c>
      <c r="U196" s="4">
        <v>48.368666666666662</v>
      </c>
    </row>
    <row r="197" spans="1:21" x14ac:dyDescent="0.25">
      <c r="A197" t="s">
        <v>411</v>
      </c>
      <c r="B197" t="s">
        <v>412</v>
      </c>
      <c r="C197" s="2">
        <v>70.383882306255828</v>
      </c>
      <c r="E197" s="4">
        <v>82.162999999999997</v>
      </c>
      <c r="F197" s="4">
        <v>60.525285714285722</v>
      </c>
      <c r="G197" s="4">
        <v>76.470785714285725</v>
      </c>
      <c r="H197" s="4">
        <v>85.411333333333346</v>
      </c>
      <c r="I197" s="4">
        <v>71.063250000000011</v>
      </c>
      <c r="J197" s="4">
        <v>80.634800000000013</v>
      </c>
      <c r="K197" s="4">
        <v>88.853333333333339</v>
      </c>
      <c r="L197" s="4">
        <v>72.295000000000002</v>
      </c>
      <c r="M197" s="4">
        <v>44.089833333333331</v>
      </c>
      <c r="N197" s="4">
        <v>31.082000000000001</v>
      </c>
      <c r="O197" s="4">
        <v>78.825666666666663</v>
      </c>
      <c r="P197" s="4">
        <v>81.704000000000008</v>
      </c>
      <c r="Q197" s="4">
        <v>91.99766666666666</v>
      </c>
      <c r="R197" s="4">
        <v>68.843400000000003</v>
      </c>
      <c r="S197" s="4">
        <v>58.214200000000005</v>
      </c>
      <c r="T197" s="4">
        <v>55.224777777777781</v>
      </c>
      <c r="U197" s="4">
        <v>69.12766666666667</v>
      </c>
    </row>
    <row r="198" spans="1:21" x14ac:dyDescent="0.25">
      <c r="A198" t="s">
        <v>413</v>
      </c>
      <c r="B198" t="s">
        <v>414</v>
      </c>
      <c r="C198" s="2">
        <v>66.301225676937435</v>
      </c>
      <c r="F198" s="4">
        <v>54.201142857142862</v>
      </c>
      <c r="G198" s="4">
        <v>72.363571428571433</v>
      </c>
      <c r="H198" s="4">
        <v>83.286333333333332</v>
      </c>
      <c r="I198" s="4">
        <v>42.205249999999999</v>
      </c>
      <c r="J198" s="4">
        <v>57.504200000000004</v>
      </c>
      <c r="K198" s="4">
        <v>88.330333333333328</v>
      </c>
      <c r="L198" s="4">
        <v>64.475999999999999</v>
      </c>
      <c r="M198" s="4">
        <v>43.814666666666675</v>
      </c>
      <c r="N198" s="4">
        <v>56.825000000000003</v>
      </c>
      <c r="O198" s="4">
        <v>63.483000000000004</v>
      </c>
      <c r="P198" s="4">
        <v>83.998333333333335</v>
      </c>
      <c r="Q198" s="4">
        <v>85.293333333333337</v>
      </c>
      <c r="R198" s="4">
        <v>63.03</v>
      </c>
      <c r="S198" s="4">
        <v>57.123000000000005</v>
      </c>
      <c r="T198" s="4">
        <v>68.153222222222212</v>
      </c>
      <c r="U198" s="4">
        <v>72.959999999999994</v>
      </c>
    </row>
    <row r="199" spans="1:21" x14ac:dyDescent="0.25">
      <c r="A199" t="s">
        <v>415</v>
      </c>
      <c r="B199" t="s">
        <v>416</v>
      </c>
      <c r="C199" s="2">
        <v>49.615849019607843</v>
      </c>
      <c r="E199" s="4">
        <v>38.897500000000001</v>
      </c>
      <c r="F199" s="4">
        <v>35.627600000000001</v>
      </c>
      <c r="G199" s="4">
        <v>48.744166666666672</v>
      </c>
      <c r="H199" s="4">
        <v>52.755666666666663</v>
      </c>
      <c r="I199" s="4">
        <v>40.082999999999998</v>
      </c>
      <c r="J199" s="4">
        <v>11.924000000000001</v>
      </c>
      <c r="K199" s="4">
        <v>35.639499999999998</v>
      </c>
      <c r="L199" s="4">
        <v>70.677499999999995</v>
      </c>
      <c r="M199" s="4">
        <v>9.660499999999999</v>
      </c>
      <c r="N199" s="4">
        <v>32.884999999999998</v>
      </c>
      <c r="O199" s="4">
        <v>75.766000000000005</v>
      </c>
      <c r="P199" s="4">
        <v>66.337999999999994</v>
      </c>
      <c r="Q199" s="4">
        <v>97.911500000000004</v>
      </c>
      <c r="R199" s="4">
        <v>33.426333333333332</v>
      </c>
      <c r="S199" s="4">
        <v>48.880333333333333</v>
      </c>
      <c r="T199" s="4">
        <v>77.019500000000008</v>
      </c>
      <c r="U199" s="4">
        <v>67.233333333333334</v>
      </c>
    </row>
    <row r="200" spans="1:21" x14ac:dyDescent="0.25">
      <c r="A200" t="s">
        <v>421</v>
      </c>
      <c r="B200" t="s">
        <v>422</v>
      </c>
      <c r="C200" s="2">
        <v>53.13125462184874</v>
      </c>
      <c r="E200" s="4">
        <v>22.334500000000002</v>
      </c>
      <c r="F200" s="4">
        <v>49.070142857142862</v>
      </c>
      <c r="G200" s="4">
        <v>39.872285714285717</v>
      </c>
      <c r="H200" s="4">
        <v>47.841000000000001</v>
      </c>
      <c r="I200" s="4">
        <v>51.707500000000003</v>
      </c>
      <c r="J200" s="4">
        <v>50.537200000000006</v>
      </c>
      <c r="K200" s="4">
        <v>39.470666666666666</v>
      </c>
      <c r="L200" s="4">
        <v>64.203000000000003</v>
      </c>
      <c r="M200" s="4">
        <v>20.723666666666666</v>
      </c>
      <c r="N200" s="4">
        <v>44.428000000000004</v>
      </c>
      <c r="O200" s="4">
        <v>52.179333333333339</v>
      </c>
      <c r="P200" s="4">
        <v>91.577500000000001</v>
      </c>
      <c r="Q200" s="4">
        <v>97.763333333333335</v>
      </c>
      <c r="R200" s="4">
        <v>65.724000000000004</v>
      </c>
      <c r="S200" s="4">
        <v>66.918199999999999</v>
      </c>
      <c r="T200" s="4">
        <v>48.309666666666665</v>
      </c>
      <c r="U200" s="4">
        <v>50.571333333333335</v>
      </c>
    </row>
    <row r="201" spans="1:21" x14ac:dyDescent="0.25">
      <c r="A201" t="s">
        <v>417</v>
      </c>
      <c r="B201" t="s">
        <v>418</v>
      </c>
      <c r="C201" s="2">
        <v>77.304990709617172</v>
      </c>
      <c r="E201" s="4">
        <v>97.915000000000006</v>
      </c>
      <c r="F201" s="4">
        <v>66.766571428571424</v>
      </c>
      <c r="G201" s="4">
        <v>90.219142857142856</v>
      </c>
      <c r="H201" s="4">
        <v>92.807299999999998</v>
      </c>
      <c r="I201" s="4">
        <v>73.362750000000005</v>
      </c>
      <c r="J201" s="4">
        <v>83.995200000000011</v>
      </c>
      <c r="K201" s="4">
        <v>92.668333333333337</v>
      </c>
      <c r="L201" s="4">
        <v>81.762799999999999</v>
      </c>
      <c r="M201" s="4">
        <v>88.754333333333321</v>
      </c>
      <c r="N201" s="4">
        <v>61.137999999999998</v>
      </c>
      <c r="O201" s="4">
        <v>84.955666666666673</v>
      </c>
      <c r="P201" s="4">
        <v>62.182499999999997</v>
      </c>
      <c r="Q201" s="4">
        <v>67.740333333333339</v>
      </c>
      <c r="R201" s="4">
        <v>60.214200000000005</v>
      </c>
      <c r="S201" s="4">
        <v>65.232600000000005</v>
      </c>
      <c r="T201" s="4">
        <v>76.632444444444445</v>
      </c>
      <c r="U201" s="4">
        <v>67.837666666666664</v>
      </c>
    </row>
    <row r="202" spans="1:21" x14ac:dyDescent="0.25">
      <c r="A202" t="s">
        <v>423</v>
      </c>
      <c r="B202" t="s">
        <v>424</v>
      </c>
      <c r="C202" s="2">
        <v>52.468608496732031</v>
      </c>
      <c r="E202" s="4">
        <v>19.25</v>
      </c>
      <c r="F202" s="4">
        <v>47.436571428571433</v>
      </c>
      <c r="G202" s="4">
        <v>42.344928571428568</v>
      </c>
      <c r="H202" s="4">
        <v>48.730666666666671</v>
      </c>
      <c r="I202" s="4">
        <v>48.0625</v>
      </c>
      <c r="J202" s="4">
        <v>47.703000000000003</v>
      </c>
      <c r="K202" s="4">
        <v>37.340666666666671</v>
      </c>
      <c r="L202" s="4">
        <v>59.489599999999996</v>
      </c>
      <c r="M202" s="4">
        <v>12.255166666666668</v>
      </c>
      <c r="N202" s="4">
        <v>59.499000000000002</v>
      </c>
      <c r="O202" s="4">
        <v>53.366666666666674</v>
      </c>
      <c r="P202" s="4">
        <v>91.824333333333342</v>
      </c>
      <c r="Q202" s="4">
        <v>99.093666666666664</v>
      </c>
      <c r="R202" s="4">
        <v>66.151200000000003</v>
      </c>
      <c r="S202" s="4">
        <v>63.755600000000001</v>
      </c>
      <c r="T202" s="4">
        <v>46.534777777777776</v>
      </c>
      <c r="U202" s="4">
        <v>49.128000000000007</v>
      </c>
    </row>
    <row r="203" spans="1:21" x14ac:dyDescent="0.25">
      <c r="A203" t="s">
        <v>425</v>
      </c>
      <c r="B203" t="s">
        <v>426</v>
      </c>
      <c r="C203" s="2">
        <v>61.648237348272644</v>
      </c>
      <c r="E203" s="4">
        <v>68.358000000000004</v>
      </c>
      <c r="F203" s="4">
        <v>46.892999999999994</v>
      </c>
      <c r="G203" s="4">
        <v>56.889857142857146</v>
      </c>
      <c r="H203" s="4">
        <v>75.87700000000001</v>
      </c>
      <c r="I203" s="4">
        <v>42.954000000000001</v>
      </c>
      <c r="J203" s="4">
        <v>58.58420000000001</v>
      </c>
      <c r="K203" s="4">
        <v>66.468999999999994</v>
      </c>
      <c r="L203" s="4">
        <v>75.430800000000005</v>
      </c>
      <c r="M203" s="4">
        <v>35.311500000000002</v>
      </c>
      <c r="N203" s="4">
        <v>51.628</v>
      </c>
      <c r="O203" s="4">
        <v>53.940999999999995</v>
      </c>
      <c r="P203" s="4">
        <v>91.756500000000003</v>
      </c>
      <c r="Q203" s="4">
        <v>96.62166666666667</v>
      </c>
      <c r="R203" s="4">
        <v>62.289599999999993</v>
      </c>
      <c r="S203" s="4">
        <v>55.839800000000004</v>
      </c>
      <c r="T203" s="4">
        <v>60.37144444444445</v>
      </c>
      <c r="U203" s="4">
        <v>48.804666666666662</v>
      </c>
    </row>
    <row r="204" spans="1:21" x14ac:dyDescent="0.25">
      <c r="A204" t="s">
        <v>427</v>
      </c>
      <c r="B204" t="s">
        <v>428</v>
      </c>
      <c r="C204" s="2">
        <v>73.240620588235302</v>
      </c>
      <c r="E204" s="4">
        <v>93.74</v>
      </c>
      <c r="F204" s="4">
        <v>68.221714285714285</v>
      </c>
      <c r="G204" s="4">
        <v>78.691285714285712</v>
      </c>
      <c r="H204" s="4">
        <v>93.219666666666669</v>
      </c>
      <c r="I204" s="4">
        <v>70.775750000000002</v>
      </c>
      <c r="J204" s="4">
        <v>71.527799999999999</v>
      </c>
      <c r="K204" s="4">
        <v>78.067333333333337</v>
      </c>
      <c r="L204" s="4">
        <v>80.646799999999999</v>
      </c>
      <c r="M204" s="4">
        <v>64.726333333333343</v>
      </c>
      <c r="N204" s="4">
        <v>51.585999999999999</v>
      </c>
      <c r="O204" s="4">
        <v>76.846666666666664</v>
      </c>
      <c r="P204" s="4">
        <v>85.11</v>
      </c>
      <c r="Q204" s="4">
        <v>88.611333333333349</v>
      </c>
      <c r="R204" s="4">
        <v>56.554600000000008</v>
      </c>
      <c r="S204" s="4">
        <v>59.276599999999995</v>
      </c>
      <c r="T204" s="4">
        <v>65.065333333333342</v>
      </c>
      <c r="U204" s="4">
        <v>62.423333333333325</v>
      </c>
    </row>
    <row r="205" spans="1:21" x14ac:dyDescent="0.25">
      <c r="A205" t="s">
        <v>429</v>
      </c>
      <c r="B205" t="s">
        <v>430</v>
      </c>
      <c r="C205" s="2">
        <v>77.733633753501394</v>
      </c>
      <c r="E205" s="4">
        <v>99.004999999999995</v>
      </c>
      <c r="F205" s="4">
        <v>68.010857142857162</v>
      </c>
      <c r="G205" s="4">
        <v>91.284500000000023</v>
      </c>
      <c r="H205" s="4">
        <v>98.38366666666667</v>
      </c>
      <c r="I205" s="4">
        <v>73.709249999999997</v>
      </c>
      <c r="J205" s="4">
        <v>72.630400000000009</v>
      </c>
      <c r="K205" s="4">
        <v>93.237666666666655</v>
      </c>
      <c r="L205" s="4">
        <v>83.054200000000009</v>
      </c>
      <c r="M205" s="4">
        <v>91.664000000000001</v>
      </c>
      <c r="N205" s="4">
        <v>67.510000000000005</v>
      </c>
      <c r="O205" s="4">
        <v>85.537333333333322</v>
      </c>
      <c r="P205" s="4">
        <v>58.468499999999999</v>
      </c>
      <c r="Q205" s="4">
        <v>62.374000000000002</v>
      </c>
      <c r="R205" s="4">
        <v>59.553400000000011</v>
      </c>
      <c r="S205" s="4">
        <v>67.772999999999996</v>
      </c>
      <c r="T205" s="4">
        <v>79.983333333333334</v>
      </c>
      <c r="U205" s="4">
        <v>69.292666666666676</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194"/>
  <sheetViews>
    <sheetView workbookViewId="0">
      <selection activeCell="F30" sqref="F30"/>
    </sheetView>
  </sheetViews>
  <sheetFormatPr defaultRowHeight="12.75" x14ac:dyDescent="0.2"/>
  <sheetData>
    <row r="1" spans="1:21" ht="75" x14ac:dyDescent="0.25">
      <c r="A1" s="9" t="s">
        <v>0</v>
      </c>
      <c r="B1" s="9" t="s">
        <v>437</v>
      </c>
      <c r="C1" s="10" t="s">
        <v>440</v>
      </c>
      <c r="D1" s="10" t="s">
        <v>441</v>
      </c>
      <c r="E1" s="5" t="s">
        <v>4</v>
      </c>
      <c r="F1" s="5"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row>
    <row r="2" spans="1:21" ht="15" x14ac:dyDescent="0.25">
      <c r="A2" t="s">
        <v>335</v>
      </c>
      <c r="B2" t="s">
        <v>336</v>
      </c>
      <c r="C2" s="11">
        <v>49.649155966526976</v>
      </c>
      <c r="D2" s="11">
        <v>153</v>
      </c>
      <c r="E2" s="4"/>
      <c r="F2" s="4">
        <v>42.925476071923491</v>
      </c>
      <c r="G2" s="4">
        <v>38.706964156670651</v>
      </c>
      <c r="H2" s="4">
        <v>23.669757299270067</v>
      </c>
      <c r="I2" s="4">
        <v>21.353940925961759</v>
      </c>
      <c r="J2" s="4">
        <v>39.404615950474565</v>
      </c>
      <c r="K2" s="4">
        <v>56.805165801938216</v>
      </c>
      <c r="L2" s="4">
        <v>43.204896260606958</v>
      </c>
      <c r="M2" s="4">
        <v>4.1183382012495624</v>
      </c>
      <c r="N2" s="4"/>
      <c r="O2" s="4">
        <v>34.202056323416031</v>
      </c>
      <c r="P2" s="4">
        <v>98.216939198853566</v>
      </c>
      <c r="Q2" s="4">
        <v>96.962975750326322</v>
      </c>
      <c r="R2" s="4"/>
      <c r="S2" s="4">
        <v>52.076108882639026</v>
      </c>
      <c r="T2" s="4">
        <v>46.672983515726081</v>
      </c>
      <c r="U2" s="4">
        <v>41.86710078707744</v>
      </c>
    </row>
    <row r="3" spans="1:21" ht="15" x14ac:dyDescent="0.25">
      <c r="A3" t="s">
        <v>329</v>
      </c>
      <c r="B3" t="s">
        <v>330</v>
      </c>
      <c r="C3" s="11">
        <v>51.320357985271322</v>
      </c>
      <c r="D3" s="11">
        <v>149</v>
      </c>
      <c r="E3" s="4">
        <v>45.157118403808617</v>
      </c>
      <c r="F3" s="4">
        <v>47.775067116939375</v>
      </c>
      <c r="G3" s="4">
        <v>33.741059222707953</v>
      </c>
      <c r="H3" s="4">
        <v>37.841050021181317</v>
      </c>
      <c r="I3" s="4">
        <v>53.566084643916319</v>
      </c>
      <c r="J3" s="4">
        <v>45.961705072956967</v>
      </c>
      <c r="K3" s="4">
        <v>48.748886205365274</v>
      </c>
      <c r="L3" s="4">
        <v>59.876358753408681</v>
      </c>
      <c r="M3" s="4">
        <v>5.6522224624342163</v>
      </c>
      <c r="N3" s="4">
        <v>57.183098591549289</v>
      </c>
      <c r="O3" s="4">
        <v>45.956779379582713</v>
      </c>
      <c r="P3" s="4">
        <v>93.660869876199328</v>
      </c>
      <c r="Q3" s="4">
        <v>90.89123150835124</v>
      </c>
      <c r="R3" s="4">
        <v>47.837935404149057</v>
      </c>
      <c r="S3" s="4">
        <v>64.968300995373156</v>
      </c>
      <c r="T3" s="4">
        <v>41.720635238096555</v>
      </c>
      <c r="U3" s="4">
        <v>51.907682853592355</v>
      </c>
    </row>
    <row r="4" spans="1:21" ht="15" x14ac:dyDescent="0.25">
      <c r="A4" t="s">
        <v>127</v>
      </c>
      <c r="B4" t="s">
        <v>128</v>
      </c>
      <c r="C4" s="11">
        <v>70.272647228181896</v>
      </c>
      <c r="D4" s="11">
        <v>60</v>
      </c>
      <c r="E4" s="4">
        <v>96.852884538233184</v>
      </c>
      <c r="F4" s="4">
        <v>46.063410390467133</v>
      </c>
      <c r="G4" s="4">
        <v>82.205602879085433</v>
      </c>
      <c r="H4" s="4">
        <v>93.398454088431308</v>
      </c>
      <c r="I4" s="4">
        <v>53.302846809062672</v>
      </c>
      <c r="J4" s="4">
        <v>77.246543371517504</v>
      </c>
      <c r="K4" s="4">
        <v>88.636587776813954</v>
      </c>
      <c r="L4" s="4">
        <v>62.238764688190614</v>
      </c>
      <c r="M4" s="4">
        <v>27.966398284958633</v>
      </c>
      <c r="N4" s="4">
        <v>59.780127229824878</v>
      </c>
      <c r="O4" s="4">
        <v>78.567868759885926</v>
      </c>
      <c r="P4" s="4">
        <v>83.180261283475076</v>
      </c>
      <c r="Q4" s="4">
        <v>92.076256413288178</v>
      </c>
      <c r="R4" s="4">
        <v>40.994170124319389</v>
      </c>
      <c r="S4" s="4">
        <v>79.959441083067858</v>
      </c>
      <c r="T4" s="4">
        <v>67.3356631523761</v>
      </c>
      <c r="U4" s="4">
        <v>64.829722006094769</v>
      </c>
    </row>
    <row r="5" spans="1:21" ht="15" x14ac:dyDescent="0.25">
      <c r="A5" t="s">
        <v>353</v>
      </c>
      <c r="B5" t="s">
        <v>354</v>
      </c>
      <c r="C5" s="11"/>
      <c r="D5" s="11"/>
      <c r="E5" s="4"/>
      <c r="F5" s="4"/>
      <c r="G5" s="4"/>
      <c r="H5" s="4"/>
      <c r="I5" s="4"/>
      <c r="J5" s="4"/>
      <c r="K5" s="4"/>
      <c r="L5" s="4"/>
      <c r="M5" s="4"/>
      <c r="N5" s="4"/>
      <c r="O5" s="4"/>
      <c r="P5" s="4"/>
      <c r="Q5" s="4"/>
      <c r="R5" s="4"/>
      <c r="S5" s="4"/>
      <c r="T5" s="4"/>
      <c r="U5" s="4"/>
    </row>
    <row r="6" spans="1:21" ht="15" x14ac:dyDescent="0.25">
      <c r="A6" t="s">
        <v>177</v>
      </c>
      <c r="B6" t="s">
        <v>178</v>
      </c>
      <c r="C6" s="11">
        <v>69.708919063793203</v>
      </c>
      <c r="D6" s="11">
        <v>65</v>
      </c>
      <c r="E6" s="4"/>
      <c r="F6" s="4">
        <v>59.805923161172622</v>
      </c>
      <c r="G6" s="4">
        <v>86.146051800385422</v>
      </c>
      <c r="H6" s="4">
        <v>85.701411423808509</v>
      </c>
      <c r="I6" s="4">
        <v>56.327462912531288</v>
      </c>
      <c r="J6" s="4">
        <v>55.753513911890124</v>
      </c>
      <c r="K6" s="4">
        <v>90.690168861449806</v>
      </c>
      <c r="L6" s="4">
        <v>70.615078630305305</v>
      </c>
      <c r="M6" s="4">
        <v>60.842655759473729</v>
      </c>
      <c r="N6" s="4">
        <v>85.887323943661968</v>
      </c>
      <c r="O6" s="4">
        <v>75.993895080346249</v>
      </c>
      <c r="P6" s="4">
        <v>40.92316877954682</v>
      </c>
      <c r="Q6" s="4">
        <v>33.407076943974943</v>
      </c>
      <c r="R6" s="4">
        <v>62.495861551182514</v>
      </c>
      <c r="S6" s="4">
        <v>45.380728762099871</v>
      </c>
      <c r="T6" s="4">
        <v>81.515681658110964</v>
      </c>
      <c r="U6" s="4">
        <v>100</v>
      </c>
    </row>
    <row r="7" spans="1:21" ht="15" x14ac:dyDescent="0.25">
      <c r="A7" t="s">
        <v>121</v>
      </c>
      <c r="B7" t="s">
        <v>122</v>
      </c>
      <c r="C7" s="11">
        <v>72.350407445341943</v>
      </c>
      <c r="D7" s="11">
        <v>45</v>
      </c>
      <c r="E7" s="4">
        <v>97.034956805477549</v>
      </c>
      <c r="F7" s="4">
        <v>60.833556412535927</v>
      </c>
      <c r="G7" s="4">
        <v>80.186147265407826</v>
      </c>
      <c r="H7" s="4">
        <v>94.267067703408088</v>
      </c>
      <c r="I7" s="4">
        <v>77.405419314432919</v>
      </c>
      <c r="J7" s="4">
        <v>80.228890655979825</v>
      </c>
      <c r="K7" s="4">
        <v>91.417805777650187</v>
      </c>
      <c r="L7" s="4">
        <v>72.206207669429801</v>
      </c>
      <c r="M7" s="4">
        <v>40.543532446554067</v>
      </c>
      <c r="N7" s="4">
        <v>39.661771478787273</v>
      </c>
      <c r="O7" s="4">
        <v>83.506167813585535</v>
      </c>
      <c r="P7" s="4">
        <v>79.12004847135141</v>
      </c>
      <c r="Q7" s="4">
        <v>92.145653216438461</v>
      </c>
      <c r="R7" s="4">
        <v>39.937463858979086</v>
      </c>
      <c r="S7" s="4">
        <v>52.982601033724436</v>
      </c>
      <c r="T7" s="4">
        <v>62.955891713737387</v>
      </c>
      <c r="U7" s="4">
        <v>85.523744933333319</v>
      </c>
    </row>
    <row r="8" spans="1:21" ht="15" x14ac:dyDescent="0.25">
      <c r="A8" t="s">
        <v>131</v>
      </c>
      <c r="B8" t="s">
        <v>132</v>
      </c>
      <c r="C8" s="11">
        <v>68.773183687007403</v>
      </c>
      <c r="D8" s="11">
        <v>75</v>
      </c>
      <c r="E8" s="4">
        <v>91.212295060044397</v>
      </c>
      <c r="F8" s="4">
        <v>56.529995583441391</v>
      </c>
      <c r="G8" s="4">
        <v>78.515260447592013</v>
      </c>
      <c r="H8" s="4">
        <v>89.754251243840528</v>
      </c>
      <c r="I8" s="4">
        <v>56.917891328380293</v>
      </c>
      <c r="J8" s="4">
        <v>66.926708188647126</v>
      </c>
      <c r="K8" s="4">
        <v>95.354422929737851</v>
      </c>
      <c r="L8" s="4">
        <v>63.159584700389779</v>
      </c>
      <c r="M8" s="4">
        <v>33.889891847942827</v>
      </c>
      <c r="N8" s="4">
        <v>50.059037812998596</v>
      </c>
      <c r="O8" s="4">
        <v>67.252801054002887</v>
      </c>
      <c r="P8" s="4">
        <v>90.119130501664173</v>
      </c>
      <c r="Q8" s="4">
        <v>95.009885084372414</v>
      </c>
      <c r="R8" s="4"/>
      <c r="S8" s="4">
        <v>61.224324032876936</v>
      </c>
      <c r="T8" s="4">
        <v>75.441002167195833</v>
      </c>
      <c r="U8" s="4">
        <v>57.052510136815613</v>
      </c>
    </row>
    <row r="9" spans="1:21" ht="15" x14ac:dyDescent="0.25">
      <c r="A9" t="s">
        <v>355</v>
      </c>
      <c r="B9" t="s">
        <v>356</v>
      </c>
      <c r="C9" s="11"/>
      <c r="D9" s="11"/>
      <c r="E9" s="4"/>
      <c r="F9" s="4"/>
      <c r="G9" s="4"/>
      <c r="H9" s="4"/>
      <c r="I9" s="4"/>
      <c r="J9" s="4"/>
      <c r="K9" s="4"/>
      <c r="L9" s="4"/>
      <c r="M9" s="4"/>
      <c r="N9" s="4"/>
      <c r="O9" s="4"/>
      <c r="P9" s="4"/>
      <c r="Q9" s="4"/>
      <c r="R9" s="4"/>
      <c r="S9" s="4"/>
      <c r="T9" s="4"/>
      <c r="U9" s="4"/>
    </row>
    <row r="10" spans="1:21" ht="15" x14ac:dyDescent="0.25">
      <c r="A10" t="s">
        <v>99</v>
      </c>
      <c r="B10" t="s">
        <v>100</v>
      </c>
      <c r="C10" s="11">
        <v>73.886629181425235</v>
      </c>
      <c r="D10" s="11">
        <v>38</v>
      </c>
      <c r="E10" s="4">
        <v>99.030222792800032</v>
      </c>
      <c r="F10" s="4">
        <v>52.41446593831148</v>
      </c>
      <c r="G10" s="4">
        <v>96.45326532207639</v>
      </c>
      <c r="H10" s="4">
        <v>92.809155844155839</v>
      </c>
      <c r="I10" s="4">
        <v>78.898730629539685</v>
      </c>
      <c r="J10" s="4">
        <v>96.984575310799158</v>
      </c>
      <c r="K10" s="4">
        <v>91.004758808744498</v>
      </c>
      <c r="L10" s="4">
        <v>81.086486743904601</v>
      </c>
      <c r="M10" s="4">
        <v>84.202483896420219</v>
      </c>
      <c r="N10" s="4">
        <v>76.961401146902162</v>
      </c>
      <c r="O10" s="4">
        <v>80.593213152448087</v>
      </c>
      <c r="P10" s="4">
        <v>40.850623455015018</v>
      </c>
      <c r="Q10" s="4">
        <v>33.898481145098941</v>
      </c>
      <c r="R10" s="4">
        <v>56.286393859727923</v>
      </c>
      <c r="S10" s="4">
        <v>47.761451329873161</v>
      </c>
      <c r="T10" s="4">
        <v>85.692653375078464</v>
      </c>
      <c r="U10" s="4">
        <v>61.144333333333329</v>
      </c>
    </row>
    <row r="11" spans="1:21" ht="15" x14ac:dyDescent="0.25">
      <c r="A11" t="s">
        <v>29</v>
      </c>
      <c r="B11" t="s">
        <v>30</v>
      </c>
      <c r="C11" s="11">
        <v>81.073703407569269</v>
      </c>
      <c r="D11" s="11">
        <v>5</v>
      </c>
      <c r="E11" s="4">
        <v>99.192115328037659</v>
      </c>
      <c r="F11" s="4">
        <v>71.575904756115435</v>
      </c>
      <c r="G11" s="4">
        <v>94.928006097316114</v>
      </c>
      <c r="H11" s="4">
        <v>96.560756097560983</v>
      </c>
      <c r="I11" s="4">
        <v>79.053354413906632</v>
      </c>
      <c r="J11" s="4">
        <v>94.901042441629187</v>
      </c>
      <c r="K11" s="4">
        <v>93.825374174532428</v>
      </c>
      <c r="L11" s="4">
        <v>82.034564615831968</v>
      </c>
      <c r="M11" s="4">
        <v>80.241314656772033</v>
      </c>
      <c r="N11" s="4">
        <v>87.402523067635556</v>
      </c>
      <c r="O11" s="4">
        <v>85.821782041793369</v>
      </c>
      <c r="P11" s="4">
        <v>45.51873596540208</v>
      </c>
      <c r="Q11" s="4">
        <v>84.294220336353561</v>
      </c>
      <c r="R11" s="4"/>
      <c r="S11" s="4">
        <v>71.44343097409083</v>
      </c>
      <c r="T11" s="4">
        <v>92.027849646038987</v>
      </c>
      <c r="U11" s="4">
        <v>68.024555555555551</v>
      </c>
    </row>
    <row r="12" spans="1:21" ht="15" x14ac:dyDescent="0.25">
      <c r="A12" t="s">
        <v>125</v>
      </c>
      <c r="B12" t="s">
        <v>126</v>
      </c>
      <c r="C12" s="11">
        <v>70.458904039955101</v>
      </c>
      <c r="D12" s="11">
        <v>59</v>
      </c>
      <c r="E12" s="4">
        <v>100</v>
      </c>
      <c r="F12" s="4">
        <v>58.216074847969985</v>
      </c>
      <c r="G12" s="4">
        <v>75.28969588634051</v>
      </c>
      <c r="H12" s="4">
        <v>90.759335936490473</v>
      </c>
      <c r="I12" s="4">
        <v>53.914705817743211</v>
      </c>
      <c r="J12" s="4">
        <v>62.803992823606919</v>
      </c>
      <c r="K12" s="4">
        <v>91.013353076549208</v>
      </c>
      <c r="L12" s="4">
        <v>68.104110686886088</v>
      </c>
      <c r="M12" s="4">
        <v>37.298846674003059</v>
      </c>
      <c r="N12" s="4">
        <v>68.306269444210429</v>
      </c>
      <c r="O12" s="4">
        <v>83.082740528030428</v>
      </c>
      <c r="P12" s="4">
        <v>89.114386112580888</v>
      </c>
      <c r="Q12" s="4">
        <v>90.639571343044693</v>
      </c>
      <c r="R12" s="4">
        <v>22.453040000000001</v>
      </c>
      <c r="S12" s="4">
        <v>66.882379844045232</v>
      </c>
      <c r="T12" s="4">
        <v>70.158141296279155</v>
      </c>
      <c r="U12" s="4">
        <v>69.764724361456416</v>
      </c>
    </row>
    <row r="13" spans="1:21" ht="15" x14ac:dyDescent="0.25">
      <c r="A13" t="s">
        <v>313</v>
      </c>
      <c r="B13" t="s">
        <v>314</v>
      </c>
      <c r="C13" s="11">
        <v>51.546630752523278</v>
      </c>
      <c r="D13" s="11">
        <v>145</v>
      </c>
      <c r="E13" s="4">
        <v>0</v>
      </c>
      <c r="F13" s="4">
        <v>44.092911161881609</v>
      </c>
      <c r="G13" s="4">
        <v>47.653646130665138</v>
      </c>
      <c r="H13" s="4">
        <v>61.023800419824276</v>
      </c>
      <c r="I13" s="4">
        <v>63.02929979928458</v>
      </c>
      <c r="J13" s="4">
        <v>54.287102859758555</v>
      </c>
      <c r="K13" s="4">
        <v>0</v>
      </c>
      <c r="L13" s="4">
        <v>44.019942805751917</v>
      </c>
      <c r="M13" s="4">
        <v>3.5374098980028292</v>
      </c>
      <c r="N13" s="4">
        <v>67.069397509937559</v>
      </c>
      <c r="O13" s="4">
        <v>58.531601576810779</v>
      </c>
      <c r="P13" s="4">
        <v>96.57088393918707</v>
      </c>
      <c r="Q13" s="4">
        <v>99.346061505243114</v>
      </c>
      <c r="R13" s="4"/>
      <c r="S13" s="4">
        <v>73.93562125199324</v>
      </c>
      <c r="T13" s="4">
        <v>48.859557220534995</v>
      </c>
      <c r="U13" s="4">
        <v>59.824902840437154</v>
      </c>
    </row>
    <row r="14" spans="1:21" ht="15" x14ac:dyDescent="0.25">
      <c r="A14" t="s">
        <v>57</v>
      </c>
      <c r="B14" t="s">
        <v>58</v>
      </c>
      <c r="C14" s="11">
        <v>78.891661821533631</v>
      </c>
      <c r="D14" s="11">
        <v>16</v>
      </c>
      <c r="E14" s="4">
        <v>99.543448607879327</v>
      </c>
      <c r="F14" s="4">
        <v>70.241249621570446</v>
      </c>
      <c r="G14" s="4">
        <v>94.139150064170565</v>
      </c>
      <c r="H14" s="4">
        <v>94.741295375356344</v>
      </c>
      <c r="I14" s="4">
        <v>83.900249245128862</v>
      </c>
      <c r="J14" s="4">
        <v>79.251366665408966</v>
      </c>
      <c r="K14" s="4">
        <v>91.943521158746805</v>
      </c>
      <c r="L14" s="4">
        <v>81.408582034251111</v>
      </c>
      <c r="M14" s="4">
        <v>75.878854194954144</v>
      </c>
      <c r="N14" s="4">
        <v>93.421123061381593</v>
      </c>
      <c r="O14" s="4">
        <v>82.327813238169654</v>
      </c>
      <c r="P14" s="4">
        <v>46.653947182879158</v>
      </c>
      <c r="Q14" s="4">
        <v>82.944681521820613</v>
      </c>
      <c r="R14" s="4">
        <v>30.647625126050418</v>
      </c>
      <c r="S14" s="4">
        <v>84.957422971058534</v>
      </c>
      <c r="T14" s="4">
        <v>86.86599497131941</v>
      </c>
      <c r="U14" s="4">
        <v>62.291925925925931</v>
      </c>
    </row>
    <row r="15" spans="1:21" ht="15" x14ac:dyDescent="0.25">
      <c r="A15" t="s">
        <v>299</v>
      </c>
      <c r="B15" t="s">
        <v>300</v>
      </c>
      <c r="C15" s="11">
        <v>50.853800755887661</v>
      </c>
      <c r="D15" s="11">
        <v>151</v>
      </c>
      <c r="E15" s="4">
        <v>18.305785123966935</v>
      </c>
      <c r="F15" s="4">
        <v>55.466548132929269</v>
      </c>
      <c r="G15" s="4">
        <v>47.146165702920534</v>
      </c>
      <c r="H15" s="4">
        <v>46.948925885549961</v>
      </c>
      <c r="I15" s="4">
        <v>40.362969350791325</v>
      </c>
      <c r="J15" s="4">
        <v>46.639181571275394</v>
      </c>
      <c r="K15" s="4">
        <v>13.355680646908011</v>
      </c>
      <c r="L15" s="4">
        <v>70.729994747771642</v>
      </c>
      <c r="M15" s="4">
        <v>8.7873745932117284</v>
      </c>
      <c r="N15" s="4">
        <v>36.211644763677889</v>
      </c>
      <c r="O15" s="4">
        <v>52.593085284201322</v>
      </c>
      <c r="P15" s="4">
        <v>94.871480384502021</v>
      </c>
      <c r="Q15" s="4">
        <v>97.349934414483229</v>
      </c>
      <c r="R15" s="4">
        <v>49.73365033707865</v>
      </c>
      <c r="S15" s="4">
        <v>84.714294809262881</v>
      </c>
      <c r="T15" s="4">
        <v>49.014198606859125</v>
      </c>
      <c r="U15" s="4">
        <v>52.283698494700239</v>
      </c>
    </row>
    <row r="16" spans="1:21" ht="15" x14ac:dyDescent="0.25">
      <c r="A16" t="s">
        <v>325</v>
      </c>
      <c r="B16" t="s">
        <v>326</v>
      </c>
      <c r="C16" s="11">
        <v>52.403842035707214</v>
      </c>
      <c r="D16" s="11">
        <v>141</v>
      </c>
      <c r="E16" s="4">
        <v>24.256198347107436</v>
      </c>
      <c r="F16" s="4">
        <v>51.887903509119802</v>
      </c>
      <c r="G16" s="4">
        <v>47.99066729240284</v>
      </c>
      <c r="H16" s="4">
        <v>27.028671783066301</v>
      </c>
      <c r="I16" s="4">
        <v>34.618089290968918</v>
      </c>
      <c r="J16" s="4">
        <v>44.148345546834172</v>
      </c>
      <c r="K16" s="4">
        <v>9.0718599985216617</v>
      </c>
      <c r="L16" s="4">
        <v>69.212799772665761</v>
      </c>
      <c r="M16" s="4">
        <v>12.434880683645325</v>
      </c>
      <c r="N16" s="4">
        <v>78.077502317831545</v>
      </c>
      <c r="O16" s="4">
        <v>57.849988406729473</v>
      </c>
      <c r="P16" s="4">
        <v>93.671733514554305</v>
      </c>
      <c r="Q16" s="4">
        <v>90.7871334290313</v>
      </c>
      <c r="R16" s="4"/>
      <c r="S16" s="4">
        <v>82.072353857000294</v>
      </c>
      <c r="T16" s="4">
        <v>57.034313013964066</v>
      </c>
      <c r="U16" s="4">
        <v>56.212289969996334</v>
      </c>
    </row>
    <row r="17" spans="1:21" ht="15" x14ac:dyDescent="0.25">
      <c r="A17" t="s">
        <v>221</v>
      </c>
      <c r="B17" t="s">
        <v>222</v>
      </c>
      <c r="C17" s="11">
        <v>60.875489388047583</v>
      </c>
      <c r="D17" s="11">
        <v>116</v>
      </c>
      <c r="E17" s="4">
        <v>58.207948861964752</v>
      </c>
      <c r="F17" s="4">
        <v>51.149225000265609</v>
      </c>
      <c r="G17" s="4">
        <v>59.603508647849303</v>
      </c>
      <c r="H17" s="4">
        <v>79.746707250921702</v>
      </c>
      <c r="I17" s="4">
        <v>48.230208155953392</v>
      </c>
      <c r="J17" s="4">
        <v>65.484499836725291</v>
      </c>
      <c r="K17" s="4">
        <v>55.967487802434107</v>
      </c>
      <c r="L17" s="4">
        <v>77.097867120831751</v>
      </c>
      <c r="M17" s="4">
        <v>15.438267646000678</v>
      </c>
      <c r="N17" s="4">
        <v>76.383001032009929</v>
      </c>
      <c r="O17" s="4">
        <v>51.896768476771108</v>
      </c>
      <c r="P17" s="4">
        <v>96.519787041302408</v>
      </c>
      <c r="Q17" s="4">
        <v>97.119242592457582</v>
      </c>
      <c r="R17" s="4">
        <v>51.879466026742222</v>
      </c>
      <c r="S17" s="4">
        <v>60.850060424286809</v>
      </c>
      <c r="T17" s="4">
        <v>50.478645347544301</v>
      </c>
      <c r="U17" s="4">
        <v>38.830628332748041</v>
      </c>
    </row>
    <row r="18" spans="1:21" ht="15" x14ac:dyDescent="0.25">
      <c r="A18" t="s">
        <v>107</v>
      </c>
      <c r="B18" t="s">
        <v>108</v>
      </c>
      <c r="C18" s="11">
        <v>74.519052531359208</v>
      </c>
      <c r="D18" s="11">
        <v>36</v>
      </c>
      <c r="E18" s="4">
        <v>96.977225922062644</v>
      </c>
      <c r="F18" s="4">
        <v>58.204934034686048</v>
      </c>
      <c r="G18" s="4">
        <v>80.178830813828981</v>
      </c>
      <c r="H18" s="4">
        <v>71.032383025555532</v>
      </c>
      <c r="I18" s="4">
        <v>69.20231269159332</v>
      </c>
      <c r="J18" s="4">
        <v>78.014037597027055</v>
      </c>
      <c r="K18" s="4">
        <v>90.797641445182066</v>
      </c>
      <c r="L18" s="4">
        <v>80.43991035720066</v>
      </c>
      <c r="M18" s="4">
        <v>41.221375614122373</v>
      </c>
      <c r="N18" s="4">
        <v>61.801765670239085</v>
      </c>
      <c r="O18" s="4">
        <v>81.336192355666455</v>
      </c>
      <c r="P18" s="4">
        <v>66.578463761814248</v>
      </c>
      <c r="Q18" s="4">
        <v>87.696586746985744</v>
      </c>
      <c r="R18" s="4">
        <v>65.342863954510634</v>
      </c>
      <c r="S18" s="4">
        <v>93.308751755582861</v>
      </c>
      <c r="T18" s="4">
        <v>68.788355527293305</v>
      </c>
      <c r="U18" s="4">
        <v>75.902261759755433</v>
      </c>
    </row>
    <row r="19" spans="1:21" ht="15" x14ac:dyDescent="0.25">
      <c r="A19" t="s">
        <v>241</v>
      </c>
      <c r="B19" t="s">
        <v>242</v>
      </c>
      <c r="C19" s="11">
        <v>68.719413982932565</v>
      </c>
      <c r="D19" s="11">
        <v>76</v>
      </c>
      <c r="E19" s="4"/>
      <c r="F19" s="4">
        <v>67.421970944712371</v>
      </c>
      <c r="G19" s="4">
        <v>90.370438505177418</v>
      </c>
      <c r="H19" s="4">
        <v>93.462433588408317</v>
      </c>
      <c r="I19" s="4">
        <v>50.015112761539399</v>
      </c>
      <c r="J19" s="4">
        <v>54.536000000000001</v>
      </c>
      <c r="K19" s="4">
        <v>93.656545962246071</v>
      </c>
      <c r="L19" s="4">
        <v>82.26311993849292</v>
      </c>
      <c r="M19" s="4">
        <v>43.229571409178227</v>
      </c>
      <c r="N19" s="4"/>
      <c r="O19" s="4">
        <v>52.007663759122799</v>
      </c>
      <c r="P19" s="4">
        <v>72.084818163564364</v>
      </c>
      <c r="Q19" s="4">
        <v>65.686181438049687</v>
      </c>
      <c r="R19" s="4">
        <v>57.789906850365618</v>
      </c>
      <c r="S19" s="4">
        <v>54.786148437758023</v>
      </c>
      <c r="T19" s="4">
        <v>67.094296043832159</v>
      </c>
      <c r="U19" s="4">
        <v>60.270257533333336</v>
      </c>
    </row>
    <row r="20" spans="1:21" ht="15" x14ac:dyDescent="0.25">
      <c r="A20" t="s">
        <v>267</v>
      </c>
      <c r="B20" t="s">
        <v>268</v>
      </c>
      <c r="C20" s="11"/>
      <c r="D20" s="11"/>
      <c r="E20" s="4"/>
      <c r="F20" s="4"/>
      <c r="G20" s="4"/>
      <c r="H20" s="4"/>
      <c r="I20" s="4"/>
      <c r="J20" s="4"/>
      <c r="K20" s="4"/>
      <c r="L20" s="4"/>
      <c r="M20" s="4"/>
      <c r="N20" s="4"/>
      <c r="O20" s="4"/>
      <c r="P20" s="4"/>
      <c r="Q20" s="4"/>
      <c r="R20" s="4"/>
      <c r="S20" s="4"/>
      <c r="T20" s="4"/>
      <c r="U20" s="4"/>
    </row>
    <row r="21" spans="1:21" ht="15" x14ac:dyDescent="0.25">
      <c r="A21" t="s">
        <v>113</v>
      </c>
      <c r="B21" t="s">
        <v>114</v>
      </c>
      <c r="C21" s="11">
        <v>69.388734321523899</v>
      </c>
      <c r="D21" s="11">
        <v>69</v>
      </c>
      <c r="E21" s="4">
        <v>99.71878092487097</v>
      </c>
      <c r="F21" s="4">
        <v>65.008322536140739</v>
      </c>
      <c r="G21" s="4">
        <v>80.258877375826955</v>
      </c>
      <c r="H21" s="4">
        <v>99.383996350364967</v>
      </c>
      <c r="I21" s="4">
        <v>39.856989999926633</v>
      </c>
      <c r="J21" s="4">
        <v>72.580476011688347</v>
      </c>
      <c r="K21" s="4">
        <v>80.282103602766412</v>
      </c>
      <c r="L21" s="4">
        <v>62.190144834545848</v>
      </c>
      <c r="M21" s="4">
        <v>24.940190624530448</v>
      </c>
      <c r="N21" s="4">
        <v>82.202076576125449</v>
      </c>
      <c r="O21" s="4">
        <v>71.807949049410894</v>
      </c>
      <c r="P21" s="4">
        <v>89.036435756967109</v>
      </c>
      <c r="Q21" s="4">
        <v>72.284683179758417</v>
      </c>
      <c r="R21" s="4">
        <v>8.6694677871148418</v>
      </c>
      <c r="S21" s="4">
        <v>61.912493748112034</v>
      </c>
      <c r="T21" s="4">
        <v>72.565357949705316</v>
      </c>
      <c r="U21" s="4">
        <v>96.910137158050958</v>
      </c>
    </row>
    <row r="22" spans="1:21" ht="15" x14ac:dyDescent="0.25">
      <c r="A22" t="s">
        <v>87</v>
      </c>
      <c r="B22" t="s">
        <v>88</v>
      </c>
      <c r="C22" s="11">
        <v>77.44476174024102</v>
      </c>
      <c r="D22" s="11">
        <v>23</v>
      </c>
      <c r="E22" s="4">
        <v>99.894781887720995</v>
      </c>
      <c r="F22" s="4">
        <v>57.231939451563164</v>
      </c>
      <c r="G22" s="4">
        <v>81.7284856774655</v>
      </c>
      <c r="H22" s="4">
        <v>96.790724686910821</v>
      </c>
      <c r="I22" s="4">
        <v>78.037641293856709</v>
      </c>
      <c r="J22" s="4">
        <v>92.170476964367523</v>
      </c>
      <c r="K22" s="4">
        <v>90.100032300264445</v>
      </c>
      <c r="L22" s="4">
        <v>77.423528953647661</v>
      </c>
      <c r="M22" s="4">
        <v>39.340307922357184</v>
      </c>
      <c r="N22" s="4">
        <v>85.80596648471456</v>
      </c>
      <c r="O22" s="4">
        <v>80.946936924706776</v>
      </c>
      <c r="P22" s="4">
        <v>82.584477397974766</v>
      </c>
      <c r="Q22" s="4">
        <v>92.253883362205315</v>
      </c>
      <c r="R22" s="4"/>
      <c r="S22" s="4">
        <v>78.135670201194799</v>
      </c>
      <c r="T22" s="4">
        <v>69.14786737950341</v>
      </c>
      <c r="U22" s="4">
        <v>74.243098136460944</v>
      </c>
    </row>
    <row r="23" spans="1:21" ht="15" x14ac:dyDescent="0.25">
      <c r="A23" t="s">
        <v>233</v>
      </c>
      <c r="B23" t="s">
        <v>234</v>
      </c>
      <c r="C23" s="11">
        <v>62.548817852665088</v>
      </c>
      <c r="D23" s="11">
        <v>109</v>
      </c>
      <c r="E23" s="4">
        <v>68.537778491000026</v>
      </c>
      <c r="F23" s="4">
        <v>59.892770135490515</v>
      </c>
      <c r="G23" s="4">
        <v>71.536531084243165</v>
      </c>
      <c r="H23" s="4">
        <v>75.617384067152358</v>
      </c>
      <c r="I23" s="4">
        <v>58.044995125689525</v>
      </c>
      <c r="J23" s="4">
        <v>72.755974114483507</v>
      </c>
      <c r="K23" s="4">
        <v>88.28377280221693</v>
      </c>
      <c r="L23" s="4">
        <v>63.694843209420824</v>
      </c>
      <c r="M23" s="4">
        <v>23.445883747324356</v>
      </c>
      <c r="N23" s="4"/>
      <c r="O23" s="4">
        <v>72.643408582667703</v>
      </c>
      <c r="P23" s="4">
        <v>76.544121982774229</v>
      </c>
      <c r="Q23" s="4">
        <v>87.271689934646588</v>
      </c>
      <c r="R23" s="4">
        <v>31.206121314218574</v>
      </c>
      <c r="S23" s="4">
        <v>43.882394351173033</v>
      </c>
      <c r="T23" s="4">
        <v>56.782996864386313</v>
      </c>
      <c r="U23" s="4">
        <v>76.08059598412224</v>
      </c>
    </row>
    <row r="24" spans="1:21" ht="15" x14ac:dyDescent="0.25">
      <c r="A24" t="s">
        <v>193</v>
      </c>
      <c r="B24" t="s">
        <v>194</v>
      </c>
      <c r="C24" s="11">
        <v>68.393173530074051</v>
      </c>
      <c r="D24" s="11">
        <v>80</v>
      </c>
      <c r="E24" s="4">
        <v>85.31590842226322</v>
      </c>
      <c r="F24" s="4">
        <v>53.25124957798392</v>
      </c>
      <c r="G24" s="4">
        <v>66.437821878123671</v>
      </c>
      <c r="H24" s="4">
        <v>87.296103569071519</v>
      </c>
      <c r="I24" s="4">
        <v>66.216690829330531</v>
      </c>
      <c r="J24" s="4">
        <v>67.664861452206949</v>
      </c>
      <c r="K24" s="4">
        <v>73.405691307707244</v>
      </c>
      <c r="L24" s="4">
        <v>79.43569864999435</v>
      </c>
      <c r="M24" s="4">
        <v>23.007939173616695</v>
      </c>
      <c r="N24" s="4">
        <v>48.592159110055846</v>
      </c>
      <c r="O24" s="4">
        <v>82.207158921631205</v>
      </c>
      <c r="P24" s="4">
        <v>87.623756627975766</v>
      </c>
      <c r="Q24" s="4">
        <v>94.376496942434059</v>
      </c>
      <c r="R24" s="4"/>
      <c r="S24" s="4">
        <v>73.114057387258484</v>
      </c>
      <c r="T24" s="4">
        <v>48.387906395430669</v>
      </c>
      <c r="U24" s="4">
        <v>72.581427246033627</v>
      </c>
    </row>
    <row r="25" spans="1:21" ht="15" x14ac:dyDescent="0.25">
      <c r="A25" t="s">
        <v>119</v>
      </c>
      <c r="B25" t="s">
        <v>120</v>
      </c>
      <c r="C25" s="11">
        <v>70.615761313654616</v>
      </c>
      <c r="D25" s="11">
        <v>57</v>
      </c>
      <c r="E25" s="4">
        <v>86.160715718526845</v>
      </c>
      <c r="F25" s="4">
        <v>62.100159631043155</v>
      </c>
      <c r="G25" s="4">
        <v>76.888252998568873</v>
      </c>
      <c r="H25" s="4">
        <v>84.618627251301902</v>
      </c>
      <c r="I25" s="4">
        <v>67.458053129840991</v>
      </c>
      <c r="J25" s="4">
        <v>79.392989263851234</v>
      </c>
      <c r="K25" s="4">
        <v>94.014223033891653</v>
      </c>
      <c r="L25" s="4">
        <v>72.560676868770088</v>
      </c>
      <c r="M25" s="4">
        <v>48.806295059293937</v>
      </c>
      <c r="N25" s="4">
        <v>25.563829045900157</v>
      </c>
      <c r="O25" s="4">
        <v>78.273032190220562</v>
      </c>
      <c r="P25" s="4">
        <v>78.655001935036722</v>
      </c>
      <c r="Q25" s="4">
        <v>91.688944694311928</v>
      </c>
      <c r="R25" s="4">
        <v>63.218583068456439</v>
      </c>
      <c r="S25" s="4">
        <v>60.923947092604877</v>
      </c>
      <c r="T25" s="4">
        <v>55.412853830614878</v>
      </c>
      <c r="U25" s="4">
        <v>74.731757519894288</v>
      </c>
    </row>
    <row r="26" spans="1:21" ht="15" x14ac:dyDescent="0.25">
      <c r="A26" t="s">
        <v>187</v>
      </c>
      <c r="B26" t="s">
        <v>188</v>
      </c>
      <c r="C26" s="11"/>
      <c r="D26" s="11"/>
      <c r="E26" s="4"/>
      <c r="F26" s="4"/>
      <c r="G26" s="4"/>
      <c r="H26" s="4"/>
      <c r="I26" s="4"/>
      <c r="J26" s="4"/>
      <c r="K26" s="4"/>
      <c r="L26" s="4"/>
      <c r="M26" s="4"/>
      <c r="N26" s="4"/>
      <c r="O26" s="4"/>
      <c r="P26" s="4"/>
      <c r="Q26" s="4"/>
      <c r="R26" s="4"/>
      <c r="S26" s="4"/>
      <c r="T26" s="4"/>
      <c r="U26" s="4"/>
    </row>
    <row r="27" spans="1:21" ht="15" x14ac:dyDescent="0.25">
      <c r="A27" t="s">
        <v>223</v>
      </c>
      <c r="B27" t="s">
        <v>224</v>
      </c>
      <c r="C27" s="11"/>
      <c r="D27" s="11"/>
      <c r="E27" s="4"/>
      <c r="F27" s="4"/>
      <c r="G27" s="4"/>
      <c r="H27" s="4"/>
      <c r="I27" s="4"/>
      <c r="J27" s="4"/>
      <c r="K27" s="4"/>
      <c r="L27" s="4"/>
      <c r="M27" s="4"/>
      <c r="N27" s="4"/>
      <c r="O27" s="4"/>
      <c r="P27" s="4"/>
      <c r="Q27" s="4"/>
      <c r="R27" s="4"/>
      <c r="S27" s="4"/>
      <c r="T27" s="4"/>
      <c r="U27" s="4"/>
    </row>
    <row r="28" spans="1:21" ht="15" x14ac:dyDescent="0.25">
      <c r="A28" t="s">
        <v>141</v>
      </c>
      <c r="B28" t="s">
        <v>142</v>
      </c>
      <c r="C28" s="11">
        <v>67.575325368368638</v>
      </c>
      <c r="D28" s="11">
        <v>84</v>
      </c>
      <c r="E28" s="4">
        <v>88.310679611650485</v>
      </c>
      <c r="F28" s="4">
        <v>50.625345982041111</v>
      </c>
      <c r="G28" s="4">
        <v>68.783024104259283</v>
      </c>
      <c r="H28" s="4">
        <v>69.646958725971274</v>
      </c>
      <c r="I28" s="4">
        <v>45.801054947503381</v>
      </c>
      <c r="J28" s="4">
        <v>63.599086038962113</v>
      </c>
      <c r="K28" s="4">
        <v>75.765306122448976</v>
      </c>
      <c r="L28" s="4">
        <v>71.292784427035144</v>
      </c>
      <c r="M28" s="4">
        <v>28.187955788577646</v>
      </c>
      <c r="N28" s="4">
        <v>68.205075868418518</v>
      </c>
      <c r="O28" s="4">
        <v>82.590496390559053</v>
      </c>
      <c r="P28" s="4">
        <v>87.658707880062124</v>
      </c>
      <c r="Q28" s="4">
        <v>96.978962170462907</v>
      </c>
      <c r="R28" s="4"/>
      <c r="S28" s="4">
        <v>58.659156014462248</v>
      </c>
      <c r="T28" s="4">
        <v>81.197191402477031</v>
      </c>
      <c r="U28" s="4">
        <v>65.11272526026336</v>
      </c>
    </row>
    <row r="29" spans="1:21" ht="15" x14ac:dyDescent="0.25">
      <c r="A29" t="s">
        <v>255</v>
      </c>
      <c r="B29" t="s">
        <v>256</v>
      </c>
      <c r="C29" s="11">
        <v>59.76542697969586</v>
      </c>
      <c r="D29" s="11">
        <v>120</v>
      </c>
      <c r="E29" s="4">
        <v>56.669408114686135</v>
      </c>
      <c r="F29" s="4">
        <v>36.59837825561025</v>
      </c>
      <c r="G29" s="4">
        <v>54.744765063212618</v>
      </c>
      <c r="H29" s="4">
        <v>88.312598513171608</v>
      </c>
      <c r="I29" s="4">
        <v>66.172792942203372</v>
      </c>
      <c r="J29" s="4">
        <v>60.583544224562786</v>
      </c>
      <c r="K29" s="4">
        <v>59.052414151351165</v>
      </c>
      <c r="L29" s="4">
        <v>63.468661090983701</v>
      </c>
      <c r="M29" s="4">
        <v>28.959684227705747</v>
      </c>
      <c r="N29" s="4">
        <v>0</v>
      </c>
      <c r="O29" s="4">
        <v>82.521656733753744</v>
      </c>
      <c r="P29" s="4">
        <v>67.36383507181155</v>
      </c>
      <c r="Q29" s="4">
        <v>71.507731105089135</v>
      </c>
      <c r="R29" s="4"/>
      <c r="S29" s="4">
        <v>71.701496679962844</v>
      </c>
      <c r="T29" s="4">
        <v>65.727251659031907</v>
      </c>
      <c r="U29" s="4">
        <v>88.117456948110032</v>
      </c>
    </row>
    <row r="30" spans="1:21" ht="15" x14ac:dyDescent="0.25">
      <c r="A30" t="s">
        <v>349</v>
      </c>
      <c r="B30" t="s">
        <v>350</v>
      </c>
      <c r="C30" s="11">
        <v>39.07514635713634</v>
      </c>
      <c r="D30" s="11">
        <v>162</v>
      </c>
      <c r="E30" s="4">
        <v>0</v>
      </c>
      <c r="F30" s="4">
        <v>40.910161579712515</v>
      </c>
      <c r="G30" s="4">
        <v>17.593064661414751</v>
      </c>
      <c r="H30" s="4">
        <v>10.302972582972586</v>
      </c>
      <c r="I30" s="4">
        <v>30.600320817605926</v>
      </c>
      <c r="J30" s="4">
        <v>47.992603752729948</v>
      </c>
      <c r="K30" s="4">
        <v>2.6870804126768975</v>
      </c>
      <c r="L30" s="4">
        <v>37.459337756175358</v>
      </c>
      <c r="M30" s="4">
        <v>1.8702216294934715</v>
      </c>
      <c r="N30" s="4">
        <v>19.281281216043823</v>
      </c>
      <c r="O30" s="4">
        <v>27.755061242306997</v>
      </c>
      <c r="P30" s="4">
        <v>96.143286838560698</v>
      </c>
      <c r="Q30" s="4">
        <v>99.383745132147595</v>
      </c>
      <c r="R30" s="4"/>
      <c r="S30" s="4">
        <v>89.938845418502439</v>
      </c>
      <c r="T30" s="4">
        <v>49.511114651100009</v>
      </c>
      <c r="U30" s="4">
        <v>38.337806506291777</v>
      </c>
    </row>
    <row r="31" spans="1:21" ht="15" x14ac:dyDescent="0.25">
      <c r="A31" t="s">
        <v>71</v>
      </c>
      <c r="B31" t="s">
        <v>72</v>
      </c>
      <c r="C31" s="11">
        <v>77.887427764344238</v>
      </c>
      <c r="D31" s="11">
        <v>20</v>
      </c>
      <c r="E31" s="4">
        <v>99.212776485062449</v>
      </c>
      <c r="F31" s="4">
        <v>60.204531958059135</v>
      </c>
      <c r="G31" s="4">
        <v>94.778542113079951</v>
      </c>
      <c r="H31" s="4">
        <v>99.918268398268381</v>
      </c>
      <c r="I31" s="4">
        <v>80.40124573240999</v>
      </c>
      <c r="J31" s="4">
        <v>84.215922574891238</v>
      </c>
      <c r="K31" s="4">
        <v>95.284095916962997</v>
      </c>
      <c r="L31" s="4">
        <v>84.02786015334236</v>
      </c>
      <c r="M31" s="4">
        <v>74.425806127915962</v>
      </c>
      <c r="N31" s="4">
        <v>78.846293100169007</v>
      </c>
      <c r="O31" s="4">
        <v>80.387343487155562</v>
      </c>
      <c r="P31" s="4">
        <v>50.1481398804493</v>
      </c>
      <c r="Q31" s="4">
        <v>68.492524384377191</v>
      </c>
      <c r="R31" s="4">
        <v>59.494982450076343</v>
      </c>
      <c r="S31" s="4">
        <v>60.735636908929976</v>
      </c>
      <c r="T31" s="4">
        <v>88.130376396776128</v>
      </c>
      <c r="U31" s="4">
        <v>65.381925925925927</v>
      </c>
    </row>
    <row r="32" spans="1:21" ht="15" x14ac:dyDescent="0.25">
      <c r="A32" t="s">
        <v>49</v>
      </c>
      <c r="B32" t="s">
        <v>50</v>
      </c>
      <c r="C32" s="11">
        <v>78.840287124145021</v>
      </c>
      <c r="D32" s="11">
        <v>17</v>
      </c>
      <c r="E32" s="4">
        <v>99.881007783037788</v>
      </c>
      <c r="F32" s="4">
        <v>62.616468191051887</v>
      </c>
      <c r="G32" s="4">
        <v>97.787278991099456</v>
      </c>
      <c r="H32" s="4">
        <v>91.870554930841507</v>
      </c>
      <c r="I32" s="4">
        <v>82.163718912592131</v>
      </c>
      <c r="J32" s="4">
        <v>95.48773236950997</v>
      </c>
      <c r="K32" s="4">
        <v>96.708812777439036</v>
      </c>
      <c r="L32" s="4">
        <v>79.790971396951079</v>
      </c>
      <c r="M32" s="4">
        <v>93.306582963854154</v>
      </c>
      <c r="N32" s="4">
        <v>80.006392572967101</v>
      </c>
      <c r="O32" s="4">
        <v>98.346551011978519</v>
      </c>
      <c r="P32" s="4">
        <v>27.910703023613632</v>
      </c>
      <c r="Q32" s="4">
        <v>88.946028533988454</v>
      </c>
      <c r="R32" s="4"/>
      <c r="S32" s="4">
        <v>57.74133128184976</v>
      </c>
      <c r="T32" s="4">
        <v>82.996948239215186</v>
      </c>
      <c r="U32" s="4">
        <v>53.316370370370372</v>
      </c>
    </row>
    <row r="33" spans="1:21" ht="15" x14ac:dyDescent="0.25">
      <c r="A33" t="s">
        <v>79</v>
      </c>
      <c r="B33" t="s">
        <v>80</v>
      </c>
      <c r="C33" s="11">
        <v>75.611488810501001</v>
      </c>
      <c r="D33" s="11">
        <v>31</v>
      </c>
      <c r="E33" s="4">
        <v>98.907980956965957</v>
      </c>
      <c r="F33" s="4">
        <v>63.323896302101538</v>
      </c>
      <c r="G33" s="4">
        <v>86.571584128548395</v>
      </c>
      <c r="H33" s="4">
        <v>92.762917856301499</v>
      </c>
      <c r="I33" s="4">
        <v>70.453127490297774</v>
      </c>
      <c r="J33" s="4">
        <v>96.576584352574741</v>
      </c>
      <c r="K33" s="4">
        <v>91.035372595501443</v>
      </c>
      <c r="L33" s="4">
        <v>80.653758827253938</v>
      </c>
      <c r="M33" s="4">
        <v>49.248349959790353</v>
      </c>
      <c r="N33" s="4">
        <v>27.315953751684912</v>
      </c>
      <c r="O33" s="4">
        <v>80.659347250987352</v>
      </c>
      <c r="P33" s="4">
        <v>72.450202628545256</v>
      </c>
      <c r="Q33" s="4">
        <v>94.672598110466168</v>
      </c>
      <c r="R33" s="4">
        <v>66.184716747846949</v>
      </c>
      <c r="S33" s="4">
        <v>59.256566212814008</v>
      </c>
      <c r="T33" s="4">
        <v>75.909019273503247</v>
      </c>
      <c r="U33" s="4">
        <v>79.413333333333327</v>
      </c>
    </row>
    <row r="34" spans="1:21" ht="15" x14ac:dyDescent="0.25">
      <c r="A34" t="s">
        <v>145</v>
      </c>
      <c r="B34" t="s">
        <v>146</v>
      </c>
      <c r="C34" s="11">
        <v>73.211408836015877</v>
      </c>
      <c r="D34" s="11">
        <v>39</v>
      </c>
      <c r="E34" s="4">
        <v>97.397817539918165</v>
      </c>
      <c r="F34" s="4">
        <v>71.932729235446118</v>
      </c>
      <c r="G34" s="4">
        <v>81.072757895582711</v>
      </c>
      <c r="H34" s="4">
        <v>99.673622262773733</v>
      </c>
      <c r="I34" s="4">
        <v>76.262285059365894</v>
      </c>
      <c r="J34" s="4">
        <v>71.753732793319301</v>
      </c>
      <c r="K34" s="4">
        <v>76.852799928235768</v>
      </c>
      <c r="L34" s="4">
        <v>87.424736264776556</v>
      </c>
      <c r="M34" s="4">
        <v>61.861737037523149</v>
      </c>
      <c r="N34" s="4">
        <v>59.5164396393467</v>
      </c>
      <c r="O34" s="4">
        <v>75.12611845001625</v>
      </c>
      <c r="P34" s="4">
        <v>81.97116780940614</v>
      </c>
      <c r="Q34" s="4">
        <v>92.024017898491792</v>
      </c>
      <c r="R34" s="4">
        <v>36.162851439001663</v>
      </c>
      <c r="S34" s="4">
        <v>62.726039566012425</v>
      </c>
      <c r="T34" s="4">
        <v>63.353459966021781</v>
      </c>
      <c r="U34" s="4">
        <v>49.481637427031821</v>
      </c>
    </row>
    <row r="35" spans="1:21" ht="15" x14ac:dyDescent="0.25">
      <c r="A35" t="s">
        <v>259</v>
      </c>
      <c r="B35" t="s">
        <v>260</v>
      </c>
      <c r="C35" s="11">
        <v>55.701777174030447</v>
      </c>
      <c r="D35" s="11">
        <v>129</v>
      </c>
      <c r="E35" s="4">
        <v>43.503476958463715</v>
      </c>
      <c r="F35" s="4">
        <v>48.550294722811913</v>
      </c>
      <c r="G35" s="4">
        <v>34.818403819189761</v>
      </c>
      <c r="H35" s="4">
        <v>39.787649877806011</v>
      </c>
      <c r="I35" s="4">
        <v>35.072763348262363</v>
      </c>
      <c r="J35" s="4">
        <v>51.887620684081938</v>
      </c>
      <c r="K35" s="4">
        <v>52.494295357329143</v>
      </c>
      <c r="L35" s="4">
        <v>74.993488208300008</v>
      </c>
      <c r="M35" s="4">
        <v>28.289653380305008</v>
      </c>
      <c r="N35" s="4">
        <v>46.662395772799641</v>
      </c>
      <c r="O35" s="4">
        <v>58.93255735109053</v>
      </c>
      <c r="P35" s="4">
        <v>96.247838326953257</v>
      </c>
      <c r="Q35" s="4">
        <v>99.43286567840731</v>
      </c>
      <c r="R35" s="4">
        <v>54.557885625216372</v>
      </c>
      <c r="S35" s="4">
        <v>76.033604112629988</v>
      </c>
      <c r="T35" s="4">
        <v>52.209438570369912</v>
      </c>
      <c r="U35" s="4">
        <v>53.455980164500694</v>
      </c>
    </row>
    <row r="36" spans="1:21" ht="15" x14ac:dyDescent="0.25">
      <c r="A36" t="s">
        <v>297</v>
      </c>
      <c r="B36" t="s">
        <v>298</v>
      </c>
      <c r="C36" s="11">
        <v>56.021188825248203</v>
      </c>
      <c r="D36" s="11">
        <v>127</v>
      </c>
      <c r="E36" s="4">
        <v>47.594198828532448</v>
      </c>
      <c r="F36" s="4">
        <v>56.646008559575094</v>
      </c>
      <c r="G36" s="4">
        <v>40.643905697005316</v>
      </c>
      <c r="H36" s="4">
        <v>63.795583488564525</v>
      </c>
      <c r="I36" s="4">
        <v>51.891194821717789</v>
      </c>
      <c r="J36" s="4">
        <v>52.531543604437573</v>
      </c>
      <c r="K36" s="4">
        <v>54.817241673139648</v>
      </c>
      <c r="L36" s="4">
        <v>68.018801831378667</v>
      </c>
      <c r="M36" s="4">
        <v>14.303236371748905</v>
      </c>
      <c r="N36" s="4">
        <v>43.189585712594045</v>
      </c>
      <c r="O36" s="4">
        <v>39.722697915671766</v>
      </c>
      <c r="P36" s="4">
        <v>94.861895908643206</v>
      </c>
      <c r="Q36" s="4">
        <v>97.901885747456134</v>
      </c>
      <c r="R36" s="4">
        <v>50.223369466685554</v>
      </c>
      <c r="S36" s="4">
        <v>68.553720414509485</v>
      </c>
      <c r="T36" s="4">
        <v>45.973989687559396</v>
      </c>
      <c r="U36" s="4">
        <v>61.691350299999996</v>
      </c>
    </row>
    <row r="37" spans="1:21" ht="15" x14ac:dyDescent="0.25">
      <c r="A37" t="s">
        <v>337</v>
      </c>
      <c r="B37" t="s">
        <v>338</v>
      </c>
      <c r="C37" s="11">
        <v>44.945578145170401</v>
      </c>
      <c r="D37" s="11">
        <v>160</v>
      </c>
      <c r="E37" s="4">
        <v>0.66115702479338412</v>
      </c>
      <c r="F37" s="4">
        <v>36.455816839689916</v>
      </c>
      <c r="G37" s="4">
        <v>37.749438013046642</v>
      </c>
      <c r="H37" s="4">
        <v>56.098913298913999</v>
      </c>
      <c r="I37" s="4">
        <v>37.171668508976701</v>
      </c>
      <c r="J37" s="4">
        <v>42.656584771766653</v>
      </c>
      <c r="K37" s="4">
        <v>35.228215099457415</v>
      </c>
      <c r="L37" s="4">
        <v>58.442228053245422</v>
      </c>
      <c r="M37" s="4">
        <v>2.3239781978687146</v>
      </c>
      <c r="N37" s="4">
        <v>58.934085469850352</v>
      </c>
      <c r="O37" s="4">
        <v>48.22201012191146</v>
      </c>
      <c r="P37" s="4">
        <v>94.699495562454004</v>
      </c>
      <c r="Q37" s="4">
        <v>99.224616830973602</v>
      </c>
      <c r="R37" s="4">
        <v>15.322128851540612</v>
      </c>
      <c r="S37" s="4">
        <v>65.353392086106211</v>
      </c>
      <c r="T37" s="4">
        <v>31.069904368092143</v>
      </c>
      <c r="U37" s="4">
        <v>44.461195369209747</v>
      </c>
    </row>
    <row r="38" spans="1:21" ht="15" x14ac:dyDescent="0.25">
      <c r="A38" t="s">
        <v>321</v>
      </c>
      <c r="B38" t="s">
        <v>322</v>
      </c>
      <c r="C38" s="11">
        <v>54.217520785813662</v>
      </c>
      <c r="D38" s="11">
        <v>132</v>
      </c>
      <c r="E38" s="4">
        <v>11.26721763085399</v>
      </c>
      <c r="F38" s="4">
        <v>42.835887807107277</v>
      </c>
      <c r="G38" s="4">
        <v>48.452518472733736</v>
      </c>
      <c r="H38" s="4">
        <v>57.713880440252865</v>
      </c>
      <c r="I38" s="4">
        <v>51.84152336464799</v>
      </c>
      <c r="J38" s="4">
        <v>38.32343745917585</v>
      </c>
      <c r="K38" s="4">
        <v>49.15936992060756</v>
      </c>
      <c r="L38" s="4">
        <v>56.342603500608448</v>
      </c>
      <c r="M38" s="4">
        <v>6.6820274581871812</v>
      </c>
      <c r="N38" s="4">
        <v>29.366017731142719</v>
      </c>
      <c r="O38" s="4">
        <v>57.925697033933325</v>
      </c>
      <c r="P38" s="4">
        <v>93.093615014185843</v>
      </c>
      <c r="Q38" s="4">
        <v>95.199296525221101</v>
      </c>
      <c r="R38" s="4">
        <v>59.289204053598965</v>
      </c>
      <c r="S38" s="4">
        <v>91.102385586355837</v>
      </c>
      <c r="T38" s="4">
        <v>53.001822160219554</v>
      </c>
      <c r="U38" s="4">
        <v>80.101349200000001</v>
      </c>
    </row>
    <row r="39" spans="1:21" ht="15" x14ac:dyDescent="0.25">
      <c r="A39" t="s">
        <v>171</v>
      </c>
      <c r="B39" t="s">
        <v>172</v>
      </c>
      <c r="C39" s="11">
        <v>69.570821927960509</v>
      </c>
      <c r="D39" s="11">
        <v>67</v>
      </c>
      <c r="E39" s="4">
        <v>85.82105699537297</v>
      </c>
      <c r="F39" s="4">
        <v>56.047281559656717</v>
      </c>
      <c r="G39" s="4">
        <v>79.294822583999505</v>
      </c>
      <c r="H39" s="4">
        <v>83.276991900104335</v>
      </c>
      <c r="I39" s="4">
        <v>70.456734266551237</v>
      </c>
      <c r="J39" s="4">
        <v>76.862851642035622</v>
      </c>
      <c r="K39" s="4">
        <v>91.019643478205907</v>
      </c>
      <c r="L39" s="4">
        <v>71.858113037571641</v>
      </c>
      <c r="M39" s="4">
        <v>31.774131531745514</v>
      </c>
      <c r="N39" s="4">
        <v>21.662847760697485</v>
      </c>
      <c r="O39" s="4">
        <v>81.556747119765092</v>
      </c>
      <c r="P39" s="4">
        <v>84.76195090491872</v>
      </c>
      <c r="Q39" s="4">
        <v>90.66370663368707</v>
      </c>
      <c r="R39" s="4">
        <v>74.914039254258142</v>
      </c>
      <c r="S39" s="4">
        <v>56.421642325185644</v>
      </c>
      <c r="T39" s="4">
        <v>58.311677518361613</v>
      </c>
      <c r="U39" s="4">
        <v>67.999734263211337</v>
      </c>
    </row>
    <row r="40" spans="1:21" ht="15" x14ac:dyDescent="0.25">
      <c r="A40" t="s">
        <v>327</v>
      </c>
      <c r="B40" t="s">
        <v>328</v>
      </c>
      <c r="C40" s="11">
        <v>52.980901245295875</v>
      </c>
      <c r="D40" s="11">
        <v>137</v>
      </c>
      <c r="E40" s="4">
        <v>49.16209312899516</v>
      </c>
      <c r="F40" s="4">
        <v>41.559316257940232</v>
      </c>
      <c r="G40" s="4">
        <v>50.433450586216807</v>
      </c>
      <c r="H40" s="4">
        <v>47.155786314915474</v>
      </c>
      <c r="I40" s="4">
        <v>32.098501063625449</v>
      </c>
      <c r="J40" s="4">
        <v>66.643161512595299</v>
      </c>
      <c r="K40" s="4">
        <v>41.557997735347811</v>
      </c>
      <c r="L40" s="4">
        <v>48.279978105899524</v>
      </c>
      <c r="M40" s="4">
        <v>10.388210286526116</v>
      </c>
      <c r="N40" s="4">
        <v>50.77316861757091</v>
      </c>
      <c r="O40" s="4">
        <v>76.170867965560973</v>
      </c>
      <c r="P40" s="4">
        <v>83.88688097367455</v>
      </c>
      <c r="Q40" s="4">
        <v>97.388939703791792</v>
      </c>
      <c r="R40" s="4">
        <v>28.312351298502495</v>
      </c>
      <c r="S40" s="4">
        <v>41.20347003741108</v>
      </c>
      <c r="T40" s="4">
        <v>67.585488414789467</v>
      </c>
      <c r="U40" s="4">
        <v>68.075659166666668</v>
      </c>
    </row>
    <row r="41" spans="1:21" ht="15" x14ac:dyDescent="0.25">
      <c r="A41" t="s">
        <v>197</v>
      </c>
      <c r="B41" t="s">
        <v>198</v>
      </c>
      <c r="C41" s="11">
        <v>65.050904824819895</v>
      </c>
      <c r="D41" s="11">
        <v>96</v>
      </c>
      <c r="E41" s="4">
        <v>54.267913022546736</v>
      </c>
      <c r="F41" s="4">
        <v>46.482480378137453</v>
      </c>
      <c r="G41" s="4">
        <v>73.297902291450825</v>
      </c>
      <c r="H41" s="4">
        <v>78.458502788766623</v>
      </c>
      <c r="I41" s="4">
        <v>65.384856195023545</v>
      </c>
      <c r="J41" s="4">
        <v>69.141642066282401</v>
      </c>
      <c r="K41" s="4">
        <v>81.165558571835959</v>
      </c>
      <c r="L41" s="4">
        <v>73.538134011160935</v>
      </c>
      <c r="M41" s="4">
        <v>25.661485493821345</v>
      </c>
      <c r="N41" s="4">
        <v>36.576022228724518</v>
      </c>
      <c r="O41" s="4">
        <v>81.003796335085383</v>
      </c>
      <c r="P41" s="4">
        <v>91.795760048341279</v>
      </c>
      <c r="Q41" s="4">
        <v>89.87492051718398</v>
      </c>
      <c r="R41" s="4">
        <v>45.50772451060142</v>
      </c>
      <c r="S41" s="4">
        <v>54.706425933889648</v>
      </c>
      <c r="T41" s="4">
        <v>74.447398893643467</v>
      </c>
      <c r="U41" s="4">
        <v>64.554858735442906</v>
      </c>
    </row>
    <row r="42" spans="1:21" ht="15" x14ac:dyDescent="0.25">
      <c r="A42" t="s">
        <v>123</v>
      </c>
      <c r="B42" t="s">
        <v>124</v>
      </c>
      <c r="C42" s="11">
        <v>74.975051876747514</v>
      </c>
      <c r="D42" s="11">
        <v>33</v>
      </c>
      <c r="E42" s="4">
        <v>97.59657920778838</v>
      </c>
      <c r="F42" s="4">
        <v>52.381890185345576</v>
      </c>
      <c r="G42" s="4">
        <v>85.825793610806201</v>
      </c>
      <c r="H42" s="4">
        <v>79.446234994210783</v>
      </c>
      <c r="I42" s="4">
        <v>82.266585363717923</v>
      </c>
      <c r="J42" s="4">
        <v>75.406545396084454</v>
      </c>
      <c r="K42" s="4">
        <v>94.119823118914312</v>
      </c>
      <c r="L42" s="4">
        <v>77.919586618555741</v>
      </c>
      <c r="M42" s="4">
        <v>41.510321417951808</v>
      </c>
      <c r="N42" s="4">
        <v>34.738956706624634</v>
      </c>
      <c r="O42" s="4">
        <v>90.151349800808944</v>
      </c>
      <c r="P42" s="4">
        <v>82.742560757232312</v>
      </c>
      <c r="Q42" s="4">
        <v>93.443444109746224</v>
      </c>
      <c r="R42" s="4">
        <v>66.170375308459469</v>
      </c>
      <c r="S42" s="4">
        <v>67.211231635326584</v>
      </c>
      <c r="T42" s="4">
        <v>74.468070607247711</v>
      </c>
      <c r="U42" s="4">
        <v>79.176533065886701</v>
      </c>
    </row>
    <row r="43" spans="1:21" ht="15" x14ac:dyDescent="0.25">
      <c r="A43" t="s">
        <v>111</v>
      </c>
      <c r="B43" t="s">
        <v>112</v>
      </c>
      <c r="C43" s="11">
        <v>70.819126415963197</v>
      </c>
      <c r="D43" s="11">
        <v>56</v>
      </c>
      <c r="E43" s="4"/>
      <c r="F43" s="4">
        <v>64.882190510180649</v>
      </c>
      <c r="G43" s="4">
        <v>85.191190062098528</v>
      </c>
      <c r="H43" s="4">
        <v>96.053957208469129</v>
      </c>
      <c r="I43" s="4">
        <v>82.417384680445593</v>
      </c>
      <c r="J43" s="4">
        <v>73.746833108659956</v>
      </c>
      <c r="K43" s="4">
        <v>85.074407297750312</v>
      </c>
      <c r="L43" s="4">
        <v>90.609123512854126</v>
      </c>
      <c r="M43" s="4">
        <v>12.433430477712522</v>
      </c>
      <c r="N43" s="4"/>
      <c r="O43" s="4">
        <v>56.097356215262614</v>
      </c>
      <c r="P43" s="4">
        <v>90.609091465807893</v>
      </c>
      <c r="Q43" s="4">
        <v>56.723562906534774</v>
      </c>
      <c r="R43" s="4">
        <v>60.057191331507113</v>
      </c>
      <c r="S43" s="4">
        <v>68.343653247087303</v>
      </c>
      <c r="T43" s="4">
        <v>63.274976102872436</v>
      </c>
      <c r="U43" s="4">
        <v>100</v>
      </c>
    </row>
    <row r="44" spans="1:21" ht="15" x14ac:dyDescent="0.25">
      <c r="A44" t="s">
        <v>137</v>
      </c>
      <c r="B44" t="s">
        <v>138</v>
      </c>
      <c r="C44" s="11">
        <v>70.144018017816066</v>
      </c>
      <c r="D44" s="11">
        <v>61</v>
      </c>
      <c r="E44" s="4">
        <v>99.881007783037788</v>
      </c>
      <c r="F44" s="4">
        <v>52.541279302608949</v>
      </c>
      <c r="G44" s="4">
        <v>92.829316649315757</v>
      </c>
      <c r="H44" s="4">
        <v>97.022258582673047</v>
      </c>
      <c r="I44" s="4">
        <v>71.282977254044297</v>
      </c>
      <c r="J44" s="4">
        <v>70.134685543895102</v>
      </c>
      <c r="K44" s="4">
        <v>92.217799320356349</v>
      </c>
      <c r="L44" s="4">
        <v>74.520207805498217</v>
      </c>
      <c r="M44" s="4">
        <v>54.262891331569655</v>
      </c>
      <c r="N44" s="4">
        <v>77.358082650412967</v>
      </c>
      <c r="O44" s="4">
        <v>77.693532908518506</v>
      </c>
      <c r="P44" s="4">
        <v>41.723252950850394</v>
      </c>
      <c r="Q44" s="4">
        <v>72.242265208631068</v>
      </c>
      <c r="R44" s="4">
        <v>32.790066332941116</v>
      </c>
      <c r="S44" s="4">
        <v>77.485731945856159</v>
      </c>
      <c r="T44" s="4">
        <v>81.21839708821922</v>
      </c>
      <c r="U44" s="4">
        <v>27.244553644444448</v>
      </c>
    </row>
    <row r="45" spans="1:21" ht="15" x14ac:dyDescent="0.25">
      <c r="A45" t="s">
        <v>435</v>
      </c>
      <c r="B45" t="s">
        <v>36</v>
      </c>
      <c r="C45" s="11">
        <v>80.736232957988889</v>
      </c>
      <c r="D45" s="11">
        <v>7</v>
      </c>
      <c r="E45" s="4">
        <v>99.405038915188953</v>
      </c>
      <c r="F45" s="4">
        <v>63.102433260315237</v>
      </c>
      <c r="G45" s="4">
        <v>92.409556651983607</v>
      </c>
      <c r="H45" s="4">
        <v>96.279085365853646</v>
      </c>
      <c r="I45" s="4">
        <v>71.071499264425015</v>
      </c>
      <c r="J45" s="4">
        <v>87.952708615942768</v>
      </c>
      <c r="K45" s="4">
        <v>91.797542410263645</v>
      </c>
      <c r="L45" s="4">
        <v>85.142633642537191</v>
      </c>
      <c r="M45" s="4">
        <v>63.207014748281388</v>
      </c>
      <c r="N45" s="4">
        <v>92.271156378195315</v>
      </c>
      <c r="O45" s="4">
        <v>89.405911678842742</v>
      </c>
      <c r="P45" s="4">
        <v>70.750038839864288</v>
      </c>
      <c r="Q45" s="4">
        <v>89.056873652403297</v>
      </c>
      <c r="R45" s="4"/>
      <c r="S45" s="4">
        <v>91.028902951588023</v>
      </c>
      <c r="T45" s="4">
        <v>82.711395409280215</v>
      </c>
      <c r="U45" s="4">
        <v>55.516740740740737</v>
      </c>
    </row>
    <row r="46" spans="1:21" ht="15" x14ac:dyDescent="0.25">
      <c r="A46" t="s">
        <v>27</v>
      </c>
      <c r="B46" t="s">
        <v>28</v>
      </c>
      <c r="C46" s="11">
        <v>81.067212633820958</v>
      </c>
      <c r="D46" s="11">
        <v>6</v>
      </c>
      <c r="E46" s="4">
        <v>99.636136296771781</v>
      </c>
      <c r="F46" s="4">
        <v>68.685315827289045</v>
      </c>
      <c r="G46" s="4">
        <v>94.797366851135521</v>
      </c>
      <c r="H46" s="4">
        <v>88.975666508288455</v>
      </c>
      <c r="I46" s="4">
        <v>77.00055992892014</v>
      </c>
      <c r="J46" s="4">
        <v>89.448023279906423</v>
      </c>
      <c r="K46" s="4">
        <v>93.243680635169497</v>
      </c>
      <c r="L46" s="4">
        <v>84.373300064440812</v>
      </c>
      <c r="M46" s="4">
        <v>80.449243634130866</v>
      </c>
      <c r="N46" s="4">
        <v>83.407861749890827</v>
      </c>
      <c r="O46" s="4">
        <v>90.862614596583398</v>
      </c>
      <c r="P46" s="4">
        <v>47.373186211225125</v>
      </c>
      <c r="Q46" s="4">
        <v>90.215886988898291</v>
      </c>
      <c r="R46" s="4">
        <v>40.535053993448145</v>
      </c>
      <c r="S46" s="4">
        <v>82.55687984336177</v>
      </c>
      <c r="T46" s="4">
        <v>83.43572725438473</v>
      </c>
      <c r="U46" s="4">
        <v>83.146111111111111</v>
      </c>
    </row>
    <row r="47" spans="1:21" ht="15" x14ac:dyDescent="0.25">
      <c r="A47" t="s">
        <v>319</v>
      </c>
      <c r="B47" t="s">
        <v>320</v>
      </c>
      <c r="C47" s="11">
        <v>51.362368233286702</v>
      </c>
      <c r="D47" s="11">
        <v>148</v>
      </c>
      <c r="E47" s="4">
        <v>55.347361523442721</v>
      </c>
      <c r="F47" s="4">
        <v>39.598273115828121</v>
      </c>
      <c r="G47" s="4">
        <v>51.207610825044576</v>
      </c>
      <c r="H47" s="4">
        <v>19.296704202301768</v>
      </c>
      <c r="I47" s="4">
        <v>49.682006686307467</v>
      </c>
      <c r="J47" s="4">
        <v>41.538515172342429</v>
      </c>
      <c r="K47" s="4">
        <v>28.334971215540214</v>
      </c>
      <c r="L47" s="4">
        <v>62.178966144073442</v>
      </c>
      <c r="M47" s="4">
        <v>22.910864016009619</v>
      </c>
      <c r="N47" s="4">
        <v>53.239436619718305</v>
      </c>
      <c r="O47" s="4">
        <v>70.54990718147684</v>
      </c>
      <c r="P47" s="4">
        <v>95.230085109022951</v>
      </c>
      <c r="Q47" s="4">
        <v>90.937300482654692</v>
      </c>
      <c r="R47" s="4">
        <v>14.915966386554619</v>
      </c>
      <c r="S47" s="4">
        <v>36.998221474779307</v>
      </c>
      <c r="T47" s="4">
        <v>67.535169544110232</v>
      </c>
      <c r="U47" s="4">
        <v>73.658900266666677</v>
      </c>
    </row>
    <row r="48" spans="1:21" ht="15" x14ac:dyDescent="0.25">
      <c r="A48" t="s">
        <v>357</v>
      </c>
      <c r="B48" t="s">
        <v>358</v>
      </c>
      <c r="C48" s="11"/>
      <c r="D48" s="11"/>
      <c r="E48" s="4"/>
      <c r="F48" s="4"/>
      <c r="G48" s="4"/>
      <c r="H48" s="4"/>
      <c r="I48" s="4"/>
      <c r="J48" s="4"/>
      <c r="K48" s="4"/>
      <c r="L48" s="4"/>
      <c r="M48" s="4"/>
      <c r="N48" s="4"/>
      <c r="O48" s="4"/>
      <c r="P48" s="4"/>
      <c r="Q48" s="4"/>
      <c r="R48" s="4"/>
      <c r="S48" s="4"/>
      <c r="T48" s="4"/>
      <c r="U48" s="4"/>
    </row>
    <row r="49" spans="1:21" ht="15" x14ac:dyDescent="0.25">
      <c r="A49" t="s">
        <v>25</v>
      </c>
      <c r="B49" t="s">
        <v>26</v>
      </c>
      <c r="C49" s="11">
        <v>85.217772894723552</v>
      </c>
      <c r="D49" s="11">
        <v>1</v>
      </c>
      <c r="E49" s="4">
        <v>99.569753135949071</v>
      </c>
      <c r="F49" s="4">
        <v>68.289578413517589</v>
      </c>
      <c r="G49" s="4">
        <v>96.107051264227593</v>
      </c>
      <c r="H49" s="4">
        <v>98.251054350121422</v>
      </c>
      <c r="I49" s="4">
        <v>84.829951596031492</v>
      </c>
      <c r="J49" s="4">
        <v>90.748756361505258</v>
      </c>
      <c r="K49" s="4">
        <v>93.641149352227515</v>
      </c>
      <c r="L49" s="4">
        <v>83.913169634811197</v>
      </c>
      <c r="M49" s="4">
        <v>88.089764825746556</v>
      </c>
      <c r="N49" s="4">
        <v>96.485658094916545</v>
      </c>
      <c r="O49" s="4">
        <v>90.178631846379744</v>
      </c>
      <c r="P49" s="4">
        <v>49.750182734284742</v>
      </c>
      <c r="Q49" s="4">
        <v>90.155694091351847</v>
      </c>
      <c r="R49" s="4">
        <v>48.874939599860227</v>
      </c>
      <c r="S49" s="4">
        <v>87.171787166119316</v>
      </c>
      <c r="T49" s="4">
        <v>92.811350076583594</v>
      </c>
      <c r="U49" s="4">
        <v>89.833666666666659</v>
      </c>
    </row>
    <row r="50" spans="1:21" ht="15" x14ac:dyDescent="0.25">
      <c r="A50" t="s">
        <v>143</v>
      </c>
      <c r="B50" t="s">
        <v>144</v>
      </c>
      <c r="C50" s="11">
        <v>69.761908656477573</v>
      </c>
      <c r="D50" s="11">
        <v>64</v>
      </c>
      <c r="E50" s="4">
        <v>94.976517157452733</v>
      </c>
      <c r="F50" s="4">
        <v>55.566483473665812</v>
      </c>
      <c r="G50" s="4">
        <v>66.611866639465561</v>
      </c>
      <c r="H50" s="4">
        <v>84.661961546850279</v>
      </c>
      <c r="I50" s="4">
        <v>73.28477667065394</v>
      </c>
      <c r="J50" s="4">
        <v>72.318389299466688</v>
      </c>
      <c r="K50" s="4">
        <v>89.716228103457013</v>
      </c>
      <c r="L50" s="4">
        <v>78.600330216970249</v>
      </c>
      <c r="M50" s="4">
        <v>27.634631443618623</v>
      </c>
      <c r="N50" s="4">
        <v>32.799513910857726</v>
      </c>
      <c r="O50" s="4">
        <v>80.037428823277537</v>
      </c>
      <c r="P50" s="4">
        <v>85.954358613939263</v>
      </c>
      <c r="Q50" s="4">
        <v>88.899459637096115</v>
      </c>
      <c r="R50" s="4">
        <v>67.836047503530565</v>
      </c>
      <c r="S50" s="4">
        <v>75.176208462210454</v>
      </c>
      <c r="T50" s="4">
        <v>51.948689755984361</v>
      </c>
      <c r="U50" s="4">
        <v>59.929555901621498</v>
      </c>
    </row>
    <row r="51" spans="1:21" ht="15" x14ac:dyDescent="0.25">
      <c r="A51" t="s">
        <v>161</v>
      </c>
      <c r="B51" t="s">
        <v>162</v>
      </c>
      <c r="C51" s="11">
        <v>71.099705756448813</v>
      </c>
      <c r="D51" s="11">
        <v>53</v>
      </c>
      <c r="E51" s="4">
        <v>97.841932119072453</v>
      </c>
      <c r="F51" s="4">
        <v>52.656537507574399</v>
      </c>
      <c r="G51" s="4">
        <v>75.479144235304474</v>
      </c>
      <c r="H51" s="4">
        <v>85.932095317733911</v>
      </c>
      <c r="I51" s="4">
        <v>51.107011828474292</v>
      </c>
      <c r="J51" s="4">
        <v>63.558489466815331</v>
      </c>
      <c r="K51" s="4">
        <v>85.910418157472634</v>
      </c>
      <c r="L51" s="4">
        <v>69.69287630521481</v>
      </c>
      <c r="M51" s="4">
        <v>29.827020185462739</v>
      </c>
      <c r="N51" s="4">
        <v>88.736777238442869</v>
      </c>
      <c r="O51" s="4">
        <v>66.611666937938438</v>
      </c>
      <c r="P51" s="4">
        <v>86.535609334221974</v>
      </c>
      <c r="Q51" s="4">
        <v>94.277237098703324</v>
      </c>
      <c r="R51" s="4">
        <v>41.868637966140881</v>
      </c>
      <c r="S51" s="4">
        <v>63.229604255512967</v>
      </c>
      <c r="T51" s="4">
        <v>72.402871749988961</v>
      </c>
      <c r="U51" s="4">
        <v>83.027068155555554</v>
      </c>
    </row>
    <row r="52" spans="1:21" ht="15" x14ac:dyDescent="0.25">
      <c r="A52" t="s">
        <v>167</v>
      </c>
      <c r="B52" t="s">
        <v>168</v>
      </c>
      <c r="C52" s="11">
        <v>72.291182155823691</v>
      </c>
      <c r="D52" s="11">
        <v>46</v>
      </c>
      <c r="E52" s="4">
        <v>88.151782609858515</v>
      </c>
      <c r="F52" s="4">
        <v>47.763176327586294</v>
      </c>
      <c r="G52" s="4">
        <v>76.994656455422202</v>
      </c>
      <c r="H52" s="4">
        <v>93.184582819856544</v>
      </c>
      <c r="I52" s="4">
        <v>76.770836053641162</v>
      </c>
      <c r="J52" s="4">
        <v>73.448708698105179</v>
      </c>
      <c r="K52" s="4">
        <v>90.156471205939468</v>
      </c>
      <c r="L52" s="4">
        <v>75.357654419863337</v>
      </c>
      <c r="M52" s="4">
        <v>27.005109564588992</v>
      </c>
      <c r="N52" s="4">
        <v>35.456613419761119</v>
      </c>
      <c r="O52" s="4">
        <v>90.449794136702678</v>
      </c>
      <c r="P52" s="4">
        <v>84.834711532447983</v>
      </c>
      <c r="Q52" s="4">
        <v>93.892304495421172</v>
      </c>
      <c r="R52" s="4">
        <v>70.201065789505094</v>
      </c>
      <c r="S52" s="4">
        <v>60.051300028496698</v>
      </c>
      <c r="T52" s="4">
        <v>64.425570425139767</v>
      </c>
      <c r="U52" s="4">
        <v>80.805758666666677</v>
      </c>
    </row>
    <row r="53" spans="1:21" ht="15" x14ac:dyDescent="0.25">
      <c r="A53" t="s">
        <v>181</v>
      </c>
      <c r="B53" t="s">
        <v>182</v>
      </c>
      <c r="C53" s="11">
        <v>66.206090938231611</v>
      </c>
      <c r="D53" s="11">
        <v>92</v>
      </c>
      <c r="E53" s="4">
        <v>90.411685255021524</v>
      </c>
      <c r="F53" s="4">
        <v>55.968581211445589</v>
      </c>
      <c r="G53" s="4">
        <v>68.861867847924628</v>
      </c>
      <c r="H53" s="4">
        <v>82.927153904183356</v>
      </c>
      <c r="I53" s="4">
        <v>46.127633481788109</v>
      </c>
      <c r="J53" s="4">
        <v>62.343628524020097</v>
      </c>
      <c r="K53" s="4">
        <v>92.778449976127447</v>
      </c>
      <c r="L53" s="4">
        <v>63.58257428383034</v>
      </c>
      <c r="M53" s="4">
        <v>32.074848019001095</v>
      </c>
      <c r="N53" s="4">
        <v>37.394671037163533</v>
      </c>
      <c r="O53" s="4">
        <v>59.653437789873884</v>
      </c>
      <c r="P53" s="4">
        <v>82.866330749737799</v>
      </c>
      <c r="Q53" s="4">
        <v>97.8262138641538</v>
      </c>
      <c r="R53" s="4">
        <v>56.563549789659611</v>
      </c>
      <c r="S53" s="4">
        <v>68.406969157101827</v>
      </c>
      <c r="T53" s="4">
        <v>70.226330126519855</v>
      </c>
      <c r="U53" s="4">
        <v>57.489620932384945</v>
      </c>
    </row>
    <row r="54" spans="1:21" ht="15" x14ac:dyDescent="0.25">
      <c r="A54" t="s">
        <v>359</v>
      </c>
      <c r="B54" t="s">
        <v>360</v>
      </c>
      <c r="C54" s="11"/>
      <c r="D54" s="11"/>
      <c r="E54" s="4"/>
      <c r="F54" s="4"/>
      <c r="G54" s="4"/>
      <c r="H54" s="4"/>
      <c r="I54" s="4"/>
      <c r="J54" s="4"/>
      <c r="K54" s="4"/>
      <c r="L54" s="4"/>
      <c r="M54" s="4"/>
      <c r="N54" s="4"/>
      <c r="O54" s="4"/>
      <c r="P54" s="4"/>
      <c r="Q54" s="4"/>
      <c r="R54" s="4"/>
      <c r="S54" s="4"/>
      <c r="T54" s="4"/>
      <c r="U54" s="4"/>
    </row>
    <row r="55" spans="1:21" ht="15" x14ac:dyDescent="0.25">
      <c r="A55" t="s">
        <v>51</v>
      </c>
      <c r="B55" t="s">
        <v>52</v>
      </c>
      <c r="C55" s="11">
        <v>77.840504742837652</v>
      </c>
      <c r="D55" s="11">
        <v>21</v>
      </c>
      <c r="E55" s="4">
        <v>98.061354943967473</v>
      </c>
      <c r="F55" s="4">
        <v>56.171765408367385</v>
      </c>
      <c r="G55" s="4">
        <v>95.439559011676891</v>
      </c>
      <c r="H55" s="4">
        <v>95.357458599833876</v>
      </c>
      <c r="I55" s="4">
        <v>82.731451426376992</v>
      </c>
      <c r="J55" s="4">
        <v>88.072122960454124</v>
      </c>
      <c r="K55" s="4">
        <v>94.720993635917196</v>
      </c>
      <c r="L55" s="4">
        <v>75.201933831095772</v>
      </c>
      <c r="M55" s="4">
        <v>68.051747844647181</v>
      </c>
      <c r="N55" s="4">
        <v>69.158557099355775</v>
      </c>
      <c r="O55" s="4">
        <v>89.053396203416597</v>
      </c>
      <c r="P55" s="4">
        <v>53.410244943186292</v>
      </c>
      <c r="Q55" s="4">
        <v>93.342609617996231</v>
      </c>
      <c r="R55" s="4">
        <v>59.424271387551954</v>
      </c>
      <c r="S55" s="4">
        <v>65.40953153157335</v>
      </c>
      <c r="T55" s="4">
        <v>80.593841442082777</v>
      </c>
      <c r="U55" s="4">
        <v>59.087740740740742</v>
      </c>
    </row>
    <row r="56" spans="1:21" ht="15" x14ac:dyDescent="0.25">
      <c r="A56" t="s">
        <v>39</v>
      </c>
      <c r="B56" t="s">
        <v>40</v>
      </c>
      <c r="C56" s="11">
        <v>80.220064514838782</v>
      </c>
      <c r="D56" s="11">
        <v>10</v>
      </c>
      <c r="E56" s="4">
        <v>99.677458610821361</v>
      </c>
      <c r="F56" s="4">
        <v>58.339418190459341</v>
      </c>
      <c r="G56" s="4">
        <v>88.816986888160827</v>
      </c>
      <c r="H56" s="4">
        <v>95.267596928618829</v>
      </c>
      <c r="I56" s="4">
        <v>75.289576130584607</v>
      </c>
      <c r="J56" s="4">
        <v>89.718840716119118</v>
      </c>
      <c r="K56" s="4">
        <v>88.938508924000573</v>
      </c>
      <c r="L56" s="4">
        <v>84.811558090459002</v>
      </c>
      <c r="M56" s="4">
        <v>61.502854602905138</v>
      </c>
      <c r="N56" s="4">
        <v>72.248864845490786</v>
      </c>
      <c r="O56" s="4">
        <v>90.297834610934274</v>
      </c>
      <c r="P56" s="4">
        <v>58.696968170449658</v>
      </c>
      <c r="Q56" s="4">
        <v>85.0328475570725</v>
      </c>
      <c r="R56" s="4">
        <v>81.30170678245446</v>
      </c>
      <c r="S56" s="4">
        <v>90.510669585629259</v>
      </c>
      <c r="T56" s="4">
        <v>87.757369081062649</v>
      </c>
      <c r="U56" s="4">
        <v>55.532037037037043</v>
      </c>
    </row>
    <row r="57" spans="1:21" ht="15" x14ac:dyDescent="0.25">
      <c r="A57" t="s">
        <v>307</v>
      </c>
      <c r="B57" t="s">
        <v>308</v>
      </c>
      <c r="C57" s="11">
        <v>53.249914219757763</v>
      </c>
      <c r="D57" s="11">
        <v>135</v>
      </c>
      <c r="E57" s="4">
        <v>32.534435261707991</v>
      </c>
      <c r="F57" s="4">
        <v>48.590524728990658</v>
      </c>
      <c r="G57" s="4">
        <v>44.629193458408388</v>
      </c>
      <c r="H57" s="4">
        <v>33.495882862039345</v>
      </c>
      <c r="I57" s="4">
        <v>53.314885291937642</v>
      </c>
      <c r="J57" s="4">
        <v>39.431877035585558</v>
      </c>
      <c r="K57" s="4">
        <v>40.678327688953374</v>
      </c>
      <c r="L57" s="4">
        <v>71.423676096208936</v>
      </c>
      <c r="M57" s="4">
        <v>9.9558998744136691</v>
      </c>
      <c r="N57" s="4">
        <v>67.323943661971825</v>
      </c>
      <c r="O57" s="4">
        <v>60.564523234105515</v>
      </c>
      <c r="P57" s="4">
        <v>98.032342791439206</v>
      </c>
      <c r="Q57" s="4">
        <v>95.710345785108444</v>
      </c>
      <c r="R57" s="4"/>
      <c r="S57" s="4">
        <v>56.662575754281121</v>
      </c>
      <c r="T57" s="4">
        <v>51.621903070638339</v>
      </c>
      <c r="U57" s="4">
        <v>46.767621266508961</v>
      </c>
    </row>
    <row r="58" spans="1:21" ht="15" x14ac:dyDescent="0.25">
      <c r="A58" t="s">
        <v>21</v>
      </c>
      <c r="B58" t="s">
        <v>22</v>
      </c>
      <c r="C58" s="11">
        <v>82.822046633502737</v>
      </c>
      <c r="D58" s="11">
        <v>3</v>
      </c>
      <c r="E58" s="4">
        <v>99.838107464762373</v>
      </c>
      <c r="F58" s="4">
        <v>58.218859915741476</v>
      </c>
      <c r="G58" s="4">
        <v>96.22854920110467</v>
      </c>
      <c r="H58" s="4">
        <v>98.888920177383596</v>
      </c>
      <c r="I58" s="4">
        <v>89.240131604126333</v>
      </c>
      <c r="J58" s="4">
        <v>92.59949724254929</v>
      </c>
      <c r="K58" s="4">
        <v>96.39067090843794</v>
      </c>
      <c r="L58" s="4">
        <v>82.531691834039194</v>
      </c>
      <c r="M58" s="4">
        <v>83.662412572469847</v>
      </c>
      <c r="N58" s="4">
        <v>97.860283918783693</v>
      </c>
      <c r="O58" s="4">
        <v>88.311248620688161</v>
      </c>
      <c r="P58" s="4">
        <v>48.718495616040776</v>
      </c>
      <c r="Q58" s="4">
        <v>70.982365997186577</v>
      </c>
      <c r="R58" s="4">
        <v>55.467864541574627</v>
      </c>
      <c r="S58" s="4">
        <v>82.132846486606269</v>
      </c>
      <c r="T58" s="4">
        <v>92.939994816199587</v>
      </c>
      <c r="U58" s="4">
        <v>73.962851851851852</v>
      </c>
    </row>
    <row r="59" spans="1:21" ht="15" x14ac:dyDescent="0.25">
      <c r="A59" t="s">
        <v>133</v>
      </c>
      <c r="B59" t="s">
        <v>134</v>
      </c>
      <c r="C59" s="11">
        <v>70.070842083604262</v>
      </c>
      <c r="D59" s="11">
        <v>62</v>
      </c>
      <c r="E59" s="4">
        <v>90.984741501511138</v>
      </c>
      <c r="F59" s="4">
        <v>55.811474702874456</v>
      </c>
      <c r="G59" s="4">
        <v>73.902745921694247</v>
      </c>
      <c r="H59" s="4">
        <v>95.067527557808049</v>
      </c>
      <c r="I59" s="4">
        <v>57.601863224911618</v>
      </c>
      <c r="J59" s="4">
        <v>76.622487109657271</v>
      </c>
      <c r="K59" s="4">
        <v>68.418518056128889</v>
      </c>
      <c r="L59" s="4">
        <v>79.878740287595448</v>
      </c>
      <c r="M59" s="4">
        <v>27.378131590059905</v>
      </c>
      <c r="N59" s="4">
        <v>74.084507042253506</v>
      </c>
      <c r="O59" s="4">
        <v>95.603173335301904</v>
      </c>
      <c r="P59" s="4">
        <v>83.62059966906989</v>
      </c>
      <c r="Q59" s="4">
        <v>70.074792424558453</v>
      </c>
      <c r="R59" s="4">
        <v>50.599453280666914</v>
      </c>
      <c r="S59" s="4">
        <v>38.714768038915096</v>
      </c>
      <c r="T59" s="4">
        <v>86.81791843333545</v>
      </c>
      <c r="U59" s="4">
        <v>66.022873244930182</v>
      </c>
    </row>
    <row r="60" spans="1:21" ht="15" x14ac:dyDescent="0.25">
      <c r="A60" t="s">
        <v>31</v>
      </c>
      <c r="B60" t="s">
        <v>32</v>
      </c>
      <c r="C60" s="11">
        <v>81.493399146215395</v>
      </c>
      <c r="D60" s="11">
        <v>4</v>
      </c>
      <c r="E60" s="4">
        <v>99.543448607879327</v>
      </c>
      <c r="F60" s="4">
        <v>66.026262985373762</v>
      </c>
      <c r="G60" s="4">
        <v>94.262540093699457</v>
      </c>
      <c r="H60" s="4">
        <v>97.391036796536795</v>
      </c>
      <c r="I60" s="4">
        <v>86.506250814348192</v>
      </c>
      <c r="J60" s="4">
        <v>87.906934672423063</v>
      </c>
      <c r="K60" s="4">
        <v>96.955929506086704</v>
      </c>
      <c r="L60" s="4">
        <v>78.067747126260528</v>
      </c>
      <c r="M60" s="4">
        <v>73.630996382103987</v>
      </c>
      <c r="N60" s="4">
        <v>85.645814680717365</v>
      </c>
      <c r="O60" s="4">
        <v>87.040456406480487</v>
      </c>
      <c r="P60" s="4">
        <v>53.407043429642421</v>
      </c>
      <c r="Q60" s="4">
        <v>86.364460773392381</v>
      </c>
      <c r="R60" s="4">
        <v>64.225828630142558</v>
      </c>
      <c r="S60" s="4">
        <v>76.671024961339839</v>
      </c>
      <c r="T60" s="4">
        <v>76.602713322938371</v>
      </c>
      <c r="U60" s="4">
        <v>75.139296296296308</v>
      </c>
    </row>
    <row r="61" spans="1:21" ht="15" x14ac:dyDescent="0.25">
      <c r="A61" t="s">
        <v>361</v>
      </c>
      <c r="B61" t="s">
        <v>362</v>
      </c>
      <c r="C61" s="11"/>
      <c r="D61" s="11"/>
      <c r="E61" s="4"/>
      <c r="F61" s="4"/>
      <c r="G61" s="4"/>
      <c r="H61" s="4"/>
      <c r="I61" s="4"/>
      <c r="J61" s="4"/>
      <c r="K61" s="4"/>
      <c r="L61" s="4"/>
      <c r="M61" s="4"/>
      <c r="N61" s="4"/>
      <c r="O61" s="4"/>
      <c r="P61" s="4"/>
      <c r="Q61" s="4"/>
      <c r="R61" s="4"/>
      <c r="S61" s="4"/>
      <c r="T61" s="4"/>
      <c r="U61" s="4"/>
    </row>
    <row r="62" spans="1:21" ht="15" x14ac:dyDescent="0.25">
      <c r="A62" t="s">
        <v>245</v>
      </c>
      <c r="B62" t="s">
        <v>246</v>
      </c>
      <c r="C62" s="11">
        <v>64.764913085220954</v>
      </c>
      <c r="D62" s="11">
        <v>99</v>
      </c>
      <c r="E62" s="4">
        <v>85.901508465056565</v>
      </c>
      <c r="F62" s="4">
        <v>52.712837755477899</v>
      </c>
      <c r="G62" s="4">
        <v>50.269011640451545</v>
      </c>
      <c r="H62" s="4">
        <v>79.022153284671546</v>
      </c>
      <c r="I62" s="4">
        <v>46.282302690746562</v>
      </c>
      <c r="J62" s="4">
        <v>61.692400215825955</v>
      </c>
      <c r="K62" s="4">
        <v>80.792889991028332</v>
      </c>
      <c r="L62" s="4">
        <v>62.911100954223272</v>
      </c>
      <c r="M62" s="4">
        <v>29.309398409635197</v>
      </c>
      <c r="N62" s="4">
        <v>46.961418004103109</v>
      </c>
      <c r="O62" s="4">
        <v>54.015590114016867</v>
      </c>
      <c r="P62" s="4">
        <v>91.097286753990034</v>
      </c>
      <c r="Q62" s="4">
        <v>94.661230934472428</v>
      </c>
      <c r="R62" s="4">
        <v>62.821106764186155</v>
      </c>
      <c r="S62" s="4">
        <v>85.486608649882129</v>
      </c>
      <c r="T62" s="4">
        <v>53.122116520988783</v>
      </c>
      <c r="U62" s="4">
        <v>63.944561300000004</v>
      </c>
    </row>
    <row r="63" spans="1:21" ht="15" x14ac:dyDescent="0.25">
      <c r="A63" t="s">
        <v>41</v>
      </c>
      <c r="B63" t="s">
        <v>42</v>
      </c>
      <c r="C63" s="11">
        <v>79.3759676753142</v>
      </c>
      <c r="D63" s="11">
        <v>13</v>
      </c>
      <c r="E63" s="4">
        <v>99.692810719730403</v>
      </c>
      <c r="F63" s="4">
        <v>66.378901330392665</v>
      </c>
      <c r="G63" s="4">
        <v>94.546822968060653</v>
      </c>
      <c r="H63" s="4">
        <v>99.414090909090902</v>
      </c>
      <c r="I63" s="4">
        <v>81.293167704939165</v>
      </c>
      <c r="J63" s="4">
        <v>95.090092681195273</v>
      </c>
      <c r="K63" s="4">
        <v>93.009228795806351</v>
      </c>
      <c r="L63" s="4">
        <v>82.913089205856693</v>
      </c>
      <c r="M63" s="4">
        <v>81.415833152312985</v>
      </c>
      <c r="N63" s="4">
        <v>71.397450272466102</v>
      </c>
      <c r="O63" s="4">
        <v>90.792179803658769</v>
      </c>
      <c r="P63" s="4">
        <v>42.928684766310752</v>
      </c>
      <c r="Q63" s="4">
        <v>84.62419736352885</v>
      </c>
      <c r="R63" s="4">
        <v>57.521500625643732</v>
      </c>
      <c r="S63" s="4">
        <v>73.726112808377025</v>
      </c>
      <c r="T63" s="4">
        <v>85.706694780378825</v>
      </c>
      <c r="U63" s="4">
        <v>48.940592592592594</v>
      </c>
    </row>
    <row r="64" spans="1:21" ht="15" x14ac:dyDescent="0.25">
      <c r="A64" t="s">
        <v>103</v>
      </c>
      <c r="B64" t="s">
        <v>104</v>
      </c>
      <c r="C64" s="11">
        <v>68.913411341655944</v>
      </c>
      <c r="D64" s="11">
        <v>73</v>
      </c>
      <c r="E64" s="4">
        <v>83.883856214394612</v>
      </c>
      <c r="F64" s="4">
        <v>51.216648681485211</v>
      </c>
      <c r="G64" s="4">
        <v>73.214344293583011</v>
      </c>
      <c r="H64" s="4">
        <v>98.329040904351132</v>
      </c>
      <c r="I64" s="4">
        <v>61.18282633430578</v>
      </c>
      <c r="J64" s="4">
        <v>75.598384037962091</v>
      </c>
      <c r="K64" s="4">
        <v>88.633812912800749</v>
      </c>
      <c r="L64" s="4">
        <v>72.829990918640007</v>
      </c>
      <c r="M64" s="4">
        <v>30.111571078975174</v>
      </c>
      <c r="N64" s="4">
        <v>32.599225514371632</v>
      </c>
      <c r="O64" s="4">
        <v>87.103304241256012</v>
      </c>
      <c r="P64" s="4">
        <v>82.23208585734524</v>
      </c>
      <c r="Q64" s="4">
        <v>91.281228537248282</v>
      </c>
      <c r="R64" s="4">
        <v>42.970944820969578</v>
      </c>
      <c r="S64" s="4">
        <v>60.563414653580466</v>
      </c>
      <c r="T64" s="4">
        <v>81.925702114889035</v>
      </c>
      <c r="U64" s="4">
        <v>57.851611691993362</v>
      </c>
    </row>
    <row r="65" spans="1:21" ht="15" x14ac:dyDescent="0.25">
      <c r="A65" t="s">
        <v>263</v>
      </c>
      <c r="B65" t="s">
        <v>264</v>
      </c>
      <c r="C65" s="11">
        <v>63.801658776686111</v>
      </c>
      <c r="D65" s="11">
        <v>104</v>
      </c>
      <c r="E65" s="4">
        <v>69.022265907084972</v>
      </c>
      <c r="F65" s="4">
        <v>61.581991163007892</v>
      </c>
      <c r="G65" s="4">
        <v>54.390098908063194</v>
      </c>
      <c r="H65" s="4">
        <v>69.165140866689725</v>
      </c>
      <c r="I65" s="4">
        <v>54.106137428144514</v>
      </c>
      <c r="J65" s="4">
        <v>52.846784987563979</v>
      </c>
      <c r="K65" s="4">
        <v>58.621888358190709</v>
      </c>
      <c r="L65" s="4">
        <v>76.607451843780069</v>
      </c>
      <c r="M65" s="4">
        <v>30.18758438442342</v>
      </c>
      <c r="N65" s="4">
        <v>58.634081021161144</v>
      </c>
      <c r="O65" s="4">
        <v>50.002871739319829</v>
      </c>
      <c r="P65" s="4">
        <v>97.321747655217834</v>
      </c>
      <c r="Q65" s="4">
        <v>96.521929362741744</v>
      </c>
      <c r="R65" s="4">
        <v>51.0300572724326</v>
      </c>
      <c r="S65" s="4">
        <v>75.443781807827762</v>
      </c>
      <c r="T65" s="4">
        <v>69.735234198799674</v>
      </c>
      <c r="U65" s="4">
        <v>59.409152299214782</v>
      </c>
    </row>
    <row r="66" spans="1:21" ht="15" x14ac:dyDescent="0.25">
      <c r="A66" t="s">
        <v>303</v>
      </c>
      <c r="B66" t="s">
        <v>304</v>
      </c>
      <c r="C66" s="11">
        <v>52.814963287021826</v>
      </c>
      <c r="D66" s="11">
        <v>138</v>
      </c>
      <c r="E66" s="4">
        <v>35.502754820936637</v>
      </c>
      <c r="F66" s="4">
        <v>49.790767651311114</v>
      </c>
      <c r="G66" s="4">
        <v>33.278263470856658</v>
      </c>
      <c r="H66" s="4">
        <v>24.735708383332291</v>
      </c>
      <c r="I66" s="4">
        <v>35.677195860643479</v>
      </c>
      <c r="J66" s="4">
        <v>43.651729351962231</v>
      </c>
      <c r="K66" s="4">
        <v>13.421342134213422</v>
      </c>
      <c r="L66" s="4">
        <v>65.370510050564391</v>
      </c>
      <c r="M66" s="4">
        <v>5.5165685734303151</v>
      </c>
      <c r="N66" s="4">
        <v>82.50067066138898</v>
      </c>
      <c r="O66" s="4">
        <v>55.978122903392055</v>
      </c>
      <c r="P66" s="4">
        <v>94.899333322768697</v>
      </c>
      <c r="Q66" s="4">
        <v>99.244533684192689</v>
      </c>
      <c r="R66" s="4">
        <v>70.845111339733464</v>
      </c>
      <c r="S66" s="4">
        <v>78.148626217015405</v>
      </c>
      <c r="T66" s="4">
        <v>48.309519353629327</v>
      </c>
      <c r="U66" s="4">
        <v>60.983618100000001</v>
      </c>
    </row>
    <row r="67" spans="1:21" ht="15" x14ac:dyDescent="0.25">
      <c r="A67" t="s">
        <v>277</v>
      </c>
      <c r="B67" t="s">
        <v>278</v>
      </c>
      <c r="C67" s="11">
        <v>55.001109353246029</v>
      </c>
      <c r="D67" s="11">
        <v>131</v>
      </c>
      <c r="E67" s="4">
        <v>62.156957928802584</v>
      </c>
      <c r="F67" s="4">
        <v>45.296324191823601</v>
      </c>
      <c r="G67" s="4">
        <v>43.178529085549314</v>
      </c>
      <c r="H67" s="4">
        <v>45.714626028462867</v>
      </c>
      <c r="I67" s="4">
        <v>34.915519841863627</v>
      </c>
      <c r="J67" s="4">
        <v>59.973073512003523</v>
      </c>
      <c r="K67" s="4">
        <v>21.926789897717331</v>
      </c>
      <c r="L67" s="4">
        <v>69.310133145865393</v>
      </c>
      <c r="M67" s="4">
        <v>8.2433990903648517</v>
      </c>
      <c r="N67" s="4">
        <v>44.256534039134706</v>
      </c>
      <c r="O67" s="4">
        <v>64.63983656911067</v>
      </c>
      <c r="P67" s="4">
        <v>93.588357898213133</v>
      </c>
      <c r="Q67" s="4">
        <v>93.52786039900306</v>
      </c>
      <c r="R67" s="4">
        <v>60.389387822889454</v>
      </c>
      <c r="S67" s="4">
        <v>74.913103523916064</v>
      </c>
      <c r="T67" s="4">
        <v>60.137071147216666</v>
      </c>
      <c r="U67" s="4">
        <v>52.851354883245591</v>
      </c>
    </row>
    <row r="68" spans="1:21" ht="15" x14ac:dyDescent="0.25">
      <c r="A68" t="s">
        <v>363</v>
      </c>
      <c r="B68" t="s">
        <v>364</v>
      </c>
      <c r="C68" s="11"/>
      <c r="D68" s="11"/>
      <c r="E68" s="4"/>
      <c r="F68" s="4"/>
      <c r="G68" s="4"/>
      <c r="H68" s="4"/>
      <c r="I68" s="4"/>
      <c r="J68" s="4"/>
      <c r="K68" s="4"/>
      <c r="L68" s="4"/>
      <c r="M68" s="4"/>
      <c r="N68" s="4"/>
      <c r="O68" s="4"/>
      <c r="P68" s="4"/>
      <c r="Q68" s="4"/>
      <c r="R68" s="4"/>
      <c r="S68" s="4"/>
      <c r="T68" s="4"/>
      <c r="U68" s="4"/>
    </row>
    <row r="69" spans="1:21" ht="15" x14ac:dyDescent="0.25">
      <c r="A69" t="s">
        <v>365</v>
      </c>
      <c r="B69" t="s">
        <v>366</v>
      </c>
      <c r="C69" s="11"/>
      <c r="D69" s="11"/>
      <c r="E69" s="4"/>
      <c r="F69" s="4"/>
      <c r="G69" s="4"/>
      <c r="H69" s="4"/>
      <c r="I69" s="4"/>
      <c r="J69" s="4"/>
      <c r="K69" s="4"/>
      <c r="L69" s="4"/>
      <c r="M69" s="4"/>
      <c r="N69" s="4"/>
      <c r="O69" s="4"/>
      <c r="P69" s="4"/>
      <c r="Q69" s="4"/>
      <c r="R69" s="4"/>
      <c r="S69" s="4"/>
      <c r="T69" s="4"/>
      <c r="U69" s="4"/>
    </row>
    <row r="70" spans="1:21" ht="15" x14ac:dyDescent="0.25">
      <c r="A70" t="s">
        <v>75</v>
      </c>
      <c r="B70" t="s">
        <v>76</v>
      </c>
      <c r="C70" s="11">
        <v>71.409637255876717</v>
      </c>
      <c r="D70" s="11">
        <v>50</v>
      </c>
      <c r="E70" s="4">
        <v>96.659993580999753</v>
      </c>
      <c r="F70" s="4">
        <v>61.177934245646235</v>
      </c>
      <c r="G70" s="4">
        <v>90.155387774511155</v>
      </c>
      <c r="H70" s="4">
        <v>90.133537625164379</v>
      </c>
      <c r="I70" s="4">
        <v>62.612704360289612</v>
      </c>
      <c r="J70" s="4">
        <v>90.59897668036831</v>
      </c>
      <c r="K70" s="4">
        <v>90.657111705425748</v>
      </c>
      <c r="L70" s="4">
        <v>62.951111199856157</v>
      </c>
      <c r="M70" s="4">
        <v>49.925643959860594</v>
      </c>
      <c r="N70" s="4">
        <v>50.906724996969729</v>
      </c>
      <c r="O70" s="4">
        <v>82.065621803168654</v>
      </c>
      <c r="P70" s="4">
        <v>39.404338041893617</v>
      </c>
      <c r="Q70" s="4">
        <v>82.237590318790069</v>
      </c>
      <c r="R70" s="4">
        <v>59.35855437265657</v>
      </c>
      <c r="S70" s="4">
        <v>78.74328936766247</v>
      </c>
      <c r="T70" s="4">
        <v>72.823165168493105</v>
      </c>
      <c r="U70" s="4">
        <v>53.552148148148149</v>
      </c>
    </row>
    <row r="71" spans="1:21" ht="15" x14ac:dyDescent="0.25">
      <c r="A71" t="s">
        <v>367</v>
      </c>
      <c r="B71" t="s">
        <v>368</v>
      </c>
      <c r="C71" s="11"/>
      <c r="D71" s="11"/>
      <c r="E71" s="4"/>
      <c r="F71" s="4"/>
      <c r="G71" s="4"/>
      <c r="H71" s="4"/>
      <c r="I71" s="4"/>
      <c r="J71" s="4"/>
      <c r="K71" s="4"/>
      <c r="L71" s="4"/>
      <c r="M71" s="4"/>
      <c r="N71" s="4"/>
      <c r="O71" s="4"/>
      <c r="P71" s="4"/>
      <c r="Q71" s="4"/>
      <c r="R71" s="4"/>
      <c r="S71" s="4"/>
      <c r="T71" s="4"/>
      <c r="U71" s="4"/>
    </row>
    <row r="72" spans="1:21" ht="15" x14ac:dyDescent="0.25">
      <c r="A72" t="s">
        <v>273</v>
      </c>
      <c r="B72" t="s">
        <v>274</v>
      </c>
      <c r="C72" s="11">
        <v>59.647258812235989</v>
      </c>
      <c r="D72" s="11">
        <v>122</v>
      </c>
      <c r="E72" s="4">
        <v>74.313835620102168</v>
      </c>
      <c r="F72" s="4">
        <v>43.332965107765837</v>
      </c>
      <c r="G72" s="4">
        <v>70.511768465529798</v>
      </c>
      <c r="H72" s="4">
        <v>70.982473433179692</v>
      </c>
      <c r="I72" s="4">
        <v>53.179443676339716</v>
      </c>
      <c r="J72" s="4">
        <v>69.259391696030036</v>
      </c>
      <c r="K72" s="4">
        <v>70.81813333675251</v>
      </c>
      <c r="L72" s="4">
        <v>74.994324526886132</v>
      </c>
      <c r="M72" s="4">
        <v>12.030997671186809</v>
      </c>
      <c r="N72" s="4">
        <v>20.244164869818889</v>
      </c>
      <c r="O72" s="4">
        <v>84.305797311803119</v>
      </c>
      <c r="P72" s="4">
        <v>85.561599104837043</v>
      </c>
      <c r="Q72" s="4">
        <v>94.87734714647948</v>
      </c>
      <c r="R72" s="4">
        <v>41.102240185299877</v>
      </c>
      <c r="S72" s="4">
        <v>52.986899102652401</v>
      </c>
      <c r="T72" s="4">
        <v>50.414435226810902</v>
      </c>
      <c r="U72" s="4">
        <v>45.08758332653764</v>
      </c>
    </row>
    <row r="73" spans="1:21" ht="15" x14ac:dyDescent="0.25">
      <c r="A73" t="s">
        <v>211</v>
      </c>
      <c r="B73" t="s">
        <v>212</v>
      </c>
      <c r="C73" s="11">
        <v>61.407773566286942</v>
      </c>
      <c r="D73" s="11">
        <v>114</v>
      </c>
      <c r="E73" s="4">
        <v>84.872221776458318</v>
      </c>
      <c r="F73" s="4">
        <v>54.390552863170001</v>
      </c>
      <c r="G73" s="4">
        <v>61.910363155856295</v>
      </c>
      <c r="H73" s="4">
        <v>83.26002576401109</v>
      </c>
      <c r="I73" s="4">
        <v>61.937865019189978</v>
      </c>
      <c r="J73" s="4">
        <v>73.248921088393018</v>
      </c>
      <c r="K73" s="4">
        <v>78.312322674515713</v>
      </c>
      <c r="L73" s="4">
        <v>52.546739738301355</v>
      </c>
      <c r="M73" s="4">
        <v>14.80492537182902</v>
      </c>
      <c r="N73" s="4"/>
      <c r="O73" s="4">
        <v>82.644418009530582</v>
      </c>
      <c r="P73" s="4">
        <v>58.226037195994273</v>
      </c>
      <c r="Q73" s="4">
        <v>71.996652843001144</v>
      </c>
      <c r="R73" s="4">
        <v>55.046204551598358</v>
      </c>
      <c r="S73" s="4">
        <v>59.451531758407249</v>
      </c>
      <c r="T73" s="4">
        <v>56.47291244565838</v>
      </c>
      <c r="U73" s="4">
        <v>57.701814666666664</v>
      </c>
    </row>
    <row r="74" spans="1:21" ht="15" x14ac:dyDescent="0.25">
      <c r="A74" t="s">
        <v>251</v>
      </c>
      <c r="B74" t="s">
        <v>252</v>
      </c>
      <c r="C74" s="11">
        <v>63.414189045943473</v>
      </c>
      <c r="D74" s="11">
        <v>107</v>
      </c>
      <c r="E74" s="4">
        <v>57.674904383642243</v>
      </c>
      <c r="F74" s="4">
        <v>46.225363794156614</v>
      </c>
      <c r="G74" s="4">
        <v>75.282772453384524</v>
      </c>
      <c r="H74" s="4">
        <v>64.248814875657047</v>
      </c>
      <c r="I74" s="4">
        <v>65.013970219381122</v>
      </c>
      <c r="J74" s="4">
        <v>70.329333170457318</v>
      </c>
      <c r="K74" s="4">
        <v>73.44602930297583</v>
      </c>
      <c r="L74" s="4">
        <v>72.880617626244728</v>
      </c>
      <c r="M74" s="4">
        <v>13.772945742963854</v>
      </c>
      <c r="N74" s="4">
        <v>26.660000438421545</v>
      </c>
      <c r="O74" s="4">
        <v>80.800395340018227</v>
      </c>
      <c r="P74" s="4">
        <v>88.286426548598413</v>
      </c>
      <c r="Q74" s="4">
        <v>94.37241787616361</v>
      </c>
      <c r="R74" s="4">
        <v>66.159025073212305</v>
      </c>
      <c r="S74" s="4">
        <v>65.17554118942293</v>
      </c>
      <c r="T74" s="4">
        <v>48.734199667057453</v>
      </c>
      <c r="U74" s="4">
        <v>68.978456079281088</v>
      </c>
    </row>
    <row r="75" spans="1:21" ht="15" x14ac:dyDescent="0.25">
      <c r="A75" t="s">
        <v>43</v>
      </c>
      <c r="B75" t="s">
        <v>44</v>
      </c>
      <c r="C75" s="11">
        <v>77.791860196871312</v>
      </c>
      <c r="D75" s="11">
        <v>22</v>
      </c>
      <c r="E75" s="4">
        <v>98.384471368584343</v>
      </c>
      <c r="F75" s="4">
        <v>64.630395681213471</v>
      </c>
      <c r="G75" s="4">
        <v>87.093729483495821</v>
      </c>
      <c r="H75" s="4">
        <v>87.363616571755344</v>
      </c>
      <c r="I75" s="4">
        <v>63.717890042552291</v>
      </c>
      <c r="J75" s="4">
        <v>82.51083081775856</v>
      </c>
      <c r="K75" s="4">
        <v>89.464137903107527</v>
      </c>
      <c r="L75" s="4">
        <v>78.066129443411938</v>
      </c>
      <c r="M75" s="4">
        <v>48.634957328796666</v>
      </c>
      <c r="N75" s="4">
        <v>69.845706308391726</v>
      </c>
      <c r="O75" s="4">
        <v>76.243256815360084</v>
      </c>
      <c r="P75" s="4">
        <v>73.538987222789615</v>
      </c>
      <c r="Q75" s="4">
        <v>93.587464137781438</v>
      </c>
      <c r="R75" s="4">
        <v>74.847661081609971</v>
      </c>
      <c r="S75" s="4">
        <v>79.217779942466933</v>
      </c>
      <c r="T75" s="4">
        <v>70.586645797736807</v>
      </c>
      <c r="U75" s="4">
        <v>84.727963399999993</v>
      </c>
    </row>
    <row r="76" spans="1:21" ht="15" x14ac:dyDescent="0.25">
      <c r="A76" t="s">
        <v>323</v>
      </c>
      <c r="B76" t="s">
        <v>324</v>
      </c>
      <c r="C76" s="11">
        <v>48.435080656033016</v>
      </c>
      <c r="D76" s="11">
        <v>156</v>
      </c>
      <c r="E76" s="4">
        <v>37.983444328545829</v>
      </c>
      <c r="F76" s="4">
        <v>42.198493512164063</v>
      </c>
      <c r="G76" s="4">
        <v>42.161524356871652</v>
      </c>
      <c r="H76" s="4">
        <v>49.537810218978109</v>
      </c>
      <c r="I76" s="4">
        <v>39.919339605378781</v>
      </c>
      <c r="J76" s="4">
        <v>49.132483460819898</v>
      </c>
      <c r="K76" s="4">
        <v>26.512549645195165</v>
      </c>
      <c r="L76" s="4">
        <v>58.767651769774872</v>
      </c>
      <c r="M76" s="4">
        <v>7.2833416876165709</v>
      </c>
      <c r="N76" s="4">
        <v>62.280827508845803</v>
      </c>
      <c r="O76" s="4">
        <v>41.344730238163912</v>
      </c>
      <c r="P76" s="4">
        <v>91.764404208808884</v>
      </c>
      <c r="Q76" s="4">
        <v>89.358038048936862</v>
      </c>
      <c r="R76" s="4">
        <v>33.001501960578423</v>
      </c>
      <c r="S76" s="4">
        <v>43.577448111132149</v>
      </c>
      <c r="T76" s="4">
        <v>45.60414825741676</v>
      </c>
      <c r="U76" s="4">
        <v>62.968634233333333</v>
      </c>
    </row>
    <row r="77" spans="1:21" ht="15" x14ac:dyDescent="0.25">
      <c r="A77" t="s">
        <v>63</v>
      </c>
      <c r="B77" t="s">
        <v>64</v>
      </c>
      <c r="C77" s="11">
        <v>76.886593768729384</v>
      </c>
      <c r="D77" s="11">
        <v>25</v>
      </c>
      <c r="E77" s="4">
        <v>98.93155740993339</v>
      </c>
      <c r="F77" s="4">
        <v>64.188914099977765</v>
      </c>
      <c r="G77" s="4">
        <v>85.92880748787509</v>
      </c>
      <c r="H77" s="4">
        <v>90.394261480364818</v>
      </c>
      <c r="I77" s="4">
        <v>64.05271384370441</v>
      </c>
      <c r="J77" s="4">
        <v>89.012108820598854</v>
      </c>
      <c r="K77" s="4">
        <v>91.613553401217942</v>
      </c>
      <c r="L77" s="4">
        <v>82.108507773426737</v>
      </c>
      <c r="M77" s="4">
        <v>49.647937396897071</v>
      </c>
      <c r="N77" s="4">
        <v>75.603221167980777</v>
      </c>
      <c r="O77" s="4">
        <v>86.073587288697397</v>
      </c>
      <c r="P77" s="4">
        <v>71.01070422947349</v>
      </c>
      <c r="Q77" s="4">
        <v>94.908483895764491</v>
      </c>
      <c r="R77" s="4"/>
      <c r="S77" s="4">
        <v>87.311210831670877</v>
      </c>
      <c r="T77" s="4">
        <v>73.387763847377855</v>
      </c>
      <c r="U77" s="4">
        <v>51.49133333333333</v>
      </c>
    </row>
    <row r="78" spans="1:21" ht="15" x14ac:dyDescent="0.25">
      <c r="A78" t="s">
        <v>169</v>
      </c>
      <c r="B78" t="s">
        <v>170</v>
      </c>
      <c r="C78" s="11">
        <v>64.193491155383953</v>
      </c>
      <c r="D78" s="11">
        <v>102</v>
      </c>
      <c r="E78" s="4">
        <v>74.009775602449906</v>
      </c>
      <c r="F78" s="4">
        <v>53.659466196597528</v>
      </c>
      <c r="G78" s="4">
        <v>62.933354353790889</v>
      </c>
      <c r="H78" s="4">
        <v>90.054788688148051</v>
      </c>
      <c r="I78" s="4">
        <v>61.158643747871167</v>
      </c>
      <c r="J78" s="4">
        <v>68.730877245054899</v>
      </c>
      <c r="K78" s="4">
        <v>73.361348201185109</v>
      </c>
      <c r="L78" s="4">
        <v>75.95535077498225</v>
      </c>
      <c r="M78" s="4">
        <v>33.77790419565266</v>
      </c>
      <c r="N78" s="4">
        <v>34.764779789347045</v>
      </c>
      <c r="O78" s="4">
        <v>67.397803817942474</v>
      </c>
      <c r="P78" s="4">
        <v>90.953389156473051</v>
      </c>
      <c r="Q78" s="4">
        <v>94.794737307419425</v>
      </c>
      <c r="R78" s="4">
        <v>50.372870551420974</v>
      </c>
      <c r="S78" s="4">
        <v>41.898828782386296</v>
      </c>
      <c r="T78" s="4">
        <v>70.58415493526681</v>
      </c>
      <c r="U78" s="4">
        <v>46.881276295538676</v>
      </c>
    </row>
    <row r="79" spans="1:21" ht="15" x14ac:dyDescent="0.25">
      <c r="A79" t="s">
        <v>243</v>
      </c>
      <c r="B79" t="s">
        <v>244</v>
      </c>
      <c r="C79" s="11">
        <v>61.076888335186311</v>
      </c>
      <c r="D79" s="11">
        <v>115</v>
      </c>
      <c r="E79" s="4">
        <v>71.406456444408789</v>
      </c>
      <c r="F79" s="4">
        <v>42.567653143490233</v>
      </c>
      <c r="G79" s="4">
        <v>58.758006013518653</v>
      </c>
      <c r="H79" s="4">
        <v>80.242410615475947</v>
      </c>
      <c r="I79" s="4">
        <v>33.187863457581493</v>
      </c>
      <c r="J79" s="4">
        <v>56.582692499487734</v>
      </c>
      <c r="K79" s="4">
        <v>65.380015427828894</v>
      </c>
      <c r="L79" s="4">
        <v>83.243629360059714</v>
      </c>
      <c r="M79" s="4">
        <v>28.668793907447711</v>
      </c>
      <c r="N79" s="4">
        <v>48.957837803263061</v>
      </c>
      <c r="O79" s="4">
        <v>51.123524465723214</v>
      </c>
      <c r="P79" s="4">
        <v>94.460732959371455</v>
      </c>
      <c r="Q79" s="4">
        <v>94.472972649647289</v>
      </c>
      <c r="R79" s="4">
        <v>51.240340188816376</v>
      </c>
      <c r="S79" s="4">
        <v>51.060938517470518</v>
      </c>
      <c r="T79" s="4">
        <v>61.255014611243027</v>
      </c>
      <c r="U79" s="4">
        <v>65.698219633333338</v>
      </c>
    </row>
    <row r="80" spans="1:21" ht="15" x14ac:dyDescent="0.25">
      <c r="A80" t="s">
        <v>53</v>
      </c>
      <c r="B80" t="s">
        <v>54</v>
      </c>
      <c r="C80" s="11">
        <v>78.215979023948307</v>
      </c>
      <c r="D80" s="11">
        <v>19</v>
      </c>
      <c r="E80" s="4">
        <v>99.685923667388806</v>
      </c>
      <c r="F80" s="4">
        <v>70.151485687797802</v>
      </c>
      <c r="G80" s="4">
        <v>95.243337545607446</v>
      </c>
      <c r="H80" s="4">
        <v>95.167553531834017</v>
      </c>
      <c r="I80" s="4">
        <v>73.07037249139232</v>
      </c>
      <c r="J80" s="4">
        <v>81.972489586128575</v>
      </c>
      <c r="K80" s="4">
        <v>92.501376576190822</v>
      </c>
      <c r="L80" s="4">
        <v>87.735211154875671</v>
      </c>
      <c r="M80" s="4">
        <v>67.19296640513852</v>
      </c>
      <c r="N80" s="4">
        <v>84.76537012718093</v>
      </c>
      <c r="O80" s="4">
        <v>84.527141155054963</v>
      </c>
      <c r="P80" s="4">
        <v>46.282400583388323</v>
      </c>
      <c r="Q80" s="4">
        <v>91.722442141986221</v>
      </c>
      <c r="R80" s="4">
        <v>53.433034489734531</v>
      </c>
      <c r="S80" s="4">
        <v>82.432702061661956</v>
      </c>
      <c r="T80" s="4">
        <v>90.37153990546382</v>
      </c>
      <c r="U80" s="4">
        <v>33.416296296296295</v>
      </c>
    </row>
    <row r="81" spans="1:21" ht="15" x14ac:dyDescent="0.25">
      <c r="A81" t="s">
        <v>191</v>
      </c>
      <c r="B81" t="s">
        <v>192</v>
      </c>
      <c r="C81" s="11">
        <v>70.486408710103362</v>
      </c>
      <c r="D81" s="11">
        <v>58</v>
      </c>
      <c r="E81" s="4">
        <v>96.796785150712765</v>
      </c>
      <c r="F81" s="4">
        <v>58.219045264201085</v>
      </c>
      <c r="G81" s="4">
        <v>77.345904853832849</v>
      </c>
      <c r="H81" s="4">
        <v>95.546417892652713</v>
      </c>
      <c r="I81" s="4">
        <v>42.599208859383616</v>
      </c>
      <c r="J81" s="4">
        <v>49.922423529579369</v>
      </c>
      <c r="K81" s="4">
        <v>87.688958458940363</v>
      </c>
      <c r="L81" s="4">
        <v>68.26096774843306</v>
      </c>
      <c r="M81" s="4">
        <v>39.84507155034688</v>
      </c>
      <c r="N81" s="4">
        <v>64.737218870243552</v>
      </c>
      <c r="O81" s="4">
        <v>76.105300913844317</v>
      </c>
      <c r="P81" s="4">
        <v>80.648145778927329</v>
      </c>
      <c r="Q81" s="4">
        <v>88.964790252651255</v>
      </c>
      <c r="R81" s="4">
        <v>73.185207874958977</v>
      </c>
      <c r="S81" s="4">
        <v>68.045398052020204</v>
      </c>
      <c r="T81" s="4">
        <v>64.713672644953363</v>
      </c>
      <c r="U81" s="4">
        <v>65.644430376075434</v>
      </c>
    </row>
    <row r="82" spans="1:21" ht="15" x14ac:dyDescent="0.25">
      <c r="A82" t="s">
        <v>229</v>
      </c>
      <c r="B82" t="s">
        <v>230</v>
      </c>
      <c r="C82" s="11">
        <v>60.792815590367766</v>
      </c>
      <c r="D82" s="11">
        <v>117</v>
      </c>
      <c r="E82" s="4">
        <v>84.064270239910144</v>
      </c>
      <c r="F82" s="4">
        <v>41.739592580193708</v>
      </c>
      <c r="G82" s="4">
        <v>62.645057622281634</v>
      </c>
      <c r="H82" s="4">
        <v>44.350131846453557</v>
      </c>
      <c r="I82" s="4">
        <v>38.18341232653794</v>
      </c>
      <c r="J82" s="4">
        <v>46.336009873636065</v>
      </c>
      <c r="K82" s="4">
        <v>87.818006514934339</v>
      </c>
      <c r="L82" s="4">
        <v>61.524202592472903</v>
      </c>
      <c r="M82" s="4">
        <v>20.874887817566961</v>
      </c>
      <c r="N82" s="4">
        <v>94.366197183098592</v>
      </c>
      <c r="O82" s="4">
        <v>59.705335297939889</v>
      </c>
      <c r="P82" s="4">
        <v>90.591037718578988</v>
      </c>
      <c r="Q82" s="4">
        <v>89.957744843738666</v>
      </c>
      <c r="R82" s="4">
        <v>28.523212227992321</v>
      </c>
      <c r="S82" s="4">
        <v>39.400620632676265</v>
      </c>
      <c r="T82" s="4">
        <v>65.157259138139807</v>
      </c>
      <c r="U82" s="4">
        <v>78.24088658010038</v>
      </c>
    </row>
    <row r="83" spans="1:21" ht="15" x14ac:dyDescent="0.25">
      <c r="A83" t="s">
        <v>77</v>
      </c>
      <c r="B83" t="s">
        <v>78</v>
      </c>
      <c r="C83" s="11">
        <v>79.203001186217008</v>
      </c>
      <c r="D83" s="11">
        <v>14</v>
      </c>
      <c r="E83" s="4">
        <v>99.69563240525288</v>
      </c>
      <c r="F83" s="4">
        <v>62.584045575295683</v>
      </c>
      <c r="G83" s="4">
        <v>96.884852369713244</v>
      </c>
      <c r="H83" s="4">
        <v>97.434357195649881</v>
      </c>
      <c r="I83" s="4">
        <v>85.488624329913151</v>
      </c>
      <c r="J83" s="4">
        <v>87.363784170784712</v>
      </c>
      <c r="K83" s="4">
        <v>99.373630082570841</v>
      </c>
      <c r="L83" s="4">
        <v>83.041987919259199</v>
      </c>
      <c r="M83" s="4">
        <v>75.500286070886219</v>
      </c>
      <c r="N83" s="4">
        <v>99.211428870617496</v>
      </c>
      <c r="O83" s="4">
        <v>89.899067147118117</v>
      </c>
      <c r="P83" s="4">
        <v>50.594769188038562</v>
      </c>
      <c r="Q83" s="4">
        <v>88.554581070931135</v>
      </c>
      <c r="R83" s="4">
        <v>35.889027269663778</v>
      </c>
      <c r="S83" s="4">
        <v>34.493512274695291</v>
      </c>
      <c r="T83" s="4">
        <v>93.046212003076704</v>
      </c>
      <c r="U83" s="4">
        <v>67.395222222222216</v>
      </c>
    </row>
    <row r="84" spans="1:21" ht="15" x14ac:dyDescent="0.25">
      <c r="A84" t="s">
        <v>115</v>
      </c>
      <c r="B84" t="s">
        <v>116</v>
      </c>
      <c r="C84" s="11">
        <v>71.529392345074712</v>
      </c>
      <c r="D84" s="11">
        <v>49</v>
      </c>
      <c r="E84" s="4">
        <v>99.21335152050068</v>
      </c>
      <c r="F84" s="4">
        <v>58.642484445108551</v>
      </c>
      <c r="G84" s="4">
        <v>95.829707912905121</v>
      </c>
      <c r="H84" s="4">
        <v>96.777272727272731</v>
      </c>
      <c r="I84" s="4">
        <v>75.241608085645581</v>
      </c>
      <c r="J84" s="4">
        <v>74.315591430676932</v>
      </c>
      <c r="K84" s="4">
        <v>93.980930128826614</v>
      </c>
      <c r="L84" s="4">
        <v>85.021617788721102</v>
      </c>
      <c r="M84" s="4">
        <v>77.488827879204038</v>
      </c>
      <c r="N84" s="4">
        <v>50.181924121480591</v>
      </c>
      <c r="O84" s="4">
        <v>80.143096499534337</v>
      </c>
      <c r="P84" s="4">
        <v>41.498253758594124</v>
      </c>
      <c r="Q84" s="4">
        <v>91.155003148128515</v>
      </c>
      <c r="R84" s="4">
        <v>17.377739654528472</v>
      </c>
      <c r="S84" s="4">
        <v>50.641725418009131</v>
      </c>
      <c r="T84" s="4">
        <v>73.589979791578145</v>
      </c>
      <c r="U84" s="4">
        <v>54.900555555555563</v>
      </c>
    </row>
    <row r="85" spans="1:21" ht="15" x14ac:dyDescent="0.25">
      <c r="A85" t="s">
        <v>67</v>
      </c>
      <c r="B85" t="s">
        <v>68</v>
      </c>
      <c r="C85" s="11">
        <v>75.790128020068551</v>
      </c>
      <c r="D85" s="11">
        <v>30</v>
      </c>
      <c r="E85" s="4">
        <v>97.307657332370482</v>
      </c>
      <c r="F85" s="4">
        <v>64.311304091120178</v>
      </c>
      <c r="G85" s="4">
        <v>95.082343596446478</v>
      </c>
      <c r="H85" s="4">
        <v>97.611962785873956</v>
      </c>
      <c r="I85" s="4">
        <v>71.199112711572496</v>
      </c>
      <c r="J85" s="4">
        <v>84.769809013510354</v>
      </c>
      <c r="K85" s="4">
        <v>93.089622573426823</v>
      </c>
      <c r="L85" s="4">
        <v>78.7084903589774</v>
      </c>
      <c r="M85" s="4">
        <v>63.769801640781601</v>
      </c>
      <c r="N85" s="4">
        <v>69.85833241905965</v>
      </c>
      <c r="O85" s="4">
        <v>73.956130697450519</v>
      </c>
      <c r="P85" s="4">
        <v>51.736579069744259</v>
      </c>
      <c r="Q85" s="4">
        <v>84.680768918067045</v>
      </c>
      <c r="R85" s="4">
        <v>41.109944486725382</v>
      </c>
      <c r="S85" s="4">
        <v>82.911453874697955</v>
      </c>
      <c r="T85" s="4">
        <v>75.214751660229751</v>
      </c>
      <c r="U85" s="4">
        <v>63.114111111111107</v>
      </c>
    </row>
    <row r="86" spans="1:21" ht="15" x14ac:dyDescent="0.25">
      <c r="A86" t="s">
        <v>183</v>
      </c>
      <c r="B86" t="s">
        <v>184</v>
      </c>
      <c r="C86" s="11">
        <v>68.797480227758726</v>
      </c>
      <c r="D86" s="11">
        <v>74</v>
      </c>
      <c r="E86" s="4">
        <v>86.002193158415565</v>
      </c>
      <c r="F86" s="4">
        <v>47.74924217116336</v>
      </c>
      <c r="G86" s="4">
        <v>80.378146648920307</v>
      </c>
      <c r="H86" s="4">
        <v>85.786592322292066</v>
      </c>
      <c r="I86" s="4">
        <v>69.955935894309221</v>
      </c>
      <c r="J86" s="4">
        <v>73.394012047958483</v>
      </c>
      <c r="K86" s="4">
        <v>85.977850395305481</v>
      </c>
      <c r="L86" s="4">
        <v>74.137982733949883</v>
      </c>
      <c r="M86" s="4">
        <v>31.694895183106951</v>
      </c>
      <c r="N86" s="4">
        <v>49.295774647887328</v>
      </c>
      <c r="O86" s="4">
        <v>88.938154131218127</v>
      </c>
      <c r="P86" s="4">
        <v>90.792827108549474</v>
      </c>
      <c r="Q86" s="4">
        <v>86.970380051501735</v>
      </c>
      <c r="R86" s="4">
        <v>21.819531015485939</v>
      </c>
      <c r="S86" s="4">
        <v>55.753431867944315</v>
      </c>
      <c r="T86" s="4">
        <v>67.308738370862855</v>
      </c>
      <c r="U86" s="4">
        <v>73.601476123027382</v>
      </c>
    </row>
    <row r="87" spans="1:21" ht="15" x14ac:dyDescent="0.25">
      <c r="A87" t="s">
        <v>173</v>
      </c>
      <c r="B87" t="s">
        <v>174</v>
      </c>
      <c r="C87" s="11">
        <v>68.085263889132989</v>
      </c>
      <c r="D87" s="11">
        <v>81</v>
      </c>
      <c r="E87" s="4">
        <v>86.798216052849767</v>
      </c>
      <c r="F87" s="4">
        <v>45.378263248873111</v>
      </c>
      <c r="G87" s="4">
        <v>76.277825246656676</v>
      </c>
      <c r="H87" s="4">
        <v>77.988742066639077</v>
      </c>
      <c r="I87" s="4">
        <v>42.705538853837787</v>
      </c>
      <c r="J87" s="4">
        <v>54.753253309165814</v>
      </c>
      <c r="K87" s="4">
        <v>92.166023341323069</v>
      </c>
      <c r="L87" s="4">
        <v>62.493761711051306</v>
      </c>
      <c r="M87" s="4">
        <v>41.730607151550551</v>
      </c>
      <c r="N87" s="4">
        <v>55.873840291735156</v>
      </c>
      <c r="O87" s="4">
        <v>75.170738371972831</v>
      </c>
      <c r="P87" s="4">
        <v>85.776003340612732</v>
      </c>
      <c r="Q87" s="4">
        <v>94.753712431244537</v>
      </c>
      <c r="R87" s="4">
        <v>27.857142857142858</v>
      </c>
      <c r="S87" s="4">
        <v>90.245580338937742</v>
      </c>
      <c r="T87" s="4">
        <v>74.520679896608399</v>
      </c>
      <c r="U87" s="4">
        <v>72.959557605059175</v>
      </c>
    </row>
    <row r="88" spans="1:21" ht="15" x14ac:dyDescent="0.25">
      <c r="A88" t="s">
        <v>61</v>
      </c>
      <c r="B88" t="s">
        <v>62</v>
      </c>
      <c r="C88" s="11">
        <v>78.91741824397424</v>
      </c>
      <c r="D88" s="11">
        <v>15</v>
      </c>
      <c r="E88" s="4">
        <v>98.981679103479635</v>
      </c>
      <c r="F88" s="4">
        <v>68.028590944491697</v>
      </c>
      <c r="G88" s="4">
        <v>94.887690529285962</v>
      </c>
      <c r="H88" s="4">
        <v>98.09</v>
      </c>
      <c r="I88" s="4">
        <v>58.494937895127755</v>
      </c>
      <c r="J88" s="4">
        <v>84.459545618249066</v>
      </c>
      <c r="K88" s="4">
        <v>93.384441482220211</v>
      </c>
      <c r="L88" s="4">
        <v>88.492384953958975</v>
      </c>
      <c r="M88" s="4">
        <v>79.900073772996933</v>
      </c>
      <c r="N88" s="4">
        <v>76.774217377246273</v>
      </c>
      <c r="O88" s="4">
        <v>75.359086902994576</v>
      </c>
      <c r="P88" s="4">
        <v>55.567609174555514</v>
      </c>
      <c r="Q88" s="4">
        <v>90.388153582095924</v>
      </c>
      <c r="R88" s="4">
        <v>53.59737618953303</v>
      </c>
      <c r="S88" s="4">
        <v>69.963414274082794</v>
      </c>
      <c r="T88" s="4">
        <v>90.348982421317714</v>
      </c>
      <c r="U88" s="4">
        <v>64.877925925925922</v>
      </c>
    </row>
    <row r="89" spans="1:21" ht="15" x14ac:dyDescent="0.25">
      <c r="A89" t="s">
        <v>151</v>
      </c>
      <c r="B89" t="s">
        <v>152</v>
      </c>
      <c r="C89" s="11">
        <v>68.709332095140255</v>
      </c>
      <c r="D89" s="11">
        <v>77</v>
      </c>
      <c r="E89" s="4">
        <v>99.866899355425389</v>
      </c>
      <c r="F89" s="4">
        <v>50.891827876166403</v>
      </c>
      <c r="G89" s="4">
        <v>75.766633420876616</v>
      </c>
      <c r="H89" s="4">
        <v>90.980994038402798</v>
      </c>
      <c r="I89" s="4">
        <v>77.146954744914396</v>
      </c>
      <c r="J89" s="4">
        <v>74.813702075381713</v>
      </c>
      <c r="K89" s="4">
        <v>85.769911361056572</v>
      </c>
      <c r="L89" s="4">
        <v>76.746455874534064</v>
      </c>
      <c r="M89" s="4">
        <v>35.207740659939198</v>
      </c>
      <c r="N89" s="4">
        <v>62.085735629981677</v>
      </c>
      <c r="O89" s="4">
        <v>78.402641875903143</v>
      </c>
      <c r="P89" s="4">
        <v>62.441532553856902</v>
      </c>
      <c r="Q89" s="4">
        <v>75.082954091833074</v>
      </c>
      <c r="R89" s="4">
        <v>43.352919999999997</v>
      </c>
      <c r="S89" s="4">
        <v>58.567607410752295</v>
      </c>
      <c r="T89" s="4">
        <v>69.024035073796199</v>
      </c>
      <c r="U89" s="4">
        <v>51.910099574564036</v>
      </c>
    </row>
    <row r="90" spans="1:21" ht="15" x14ac:dyDescent="0.25">
      <c r="A90" t="s">
        <v>265</v>
      </c>
      <c r="B90" t="s">
        <v>266</v>
      </c>
      <c r="C90" s="11">
        <v>57.028216638193449</v>
      </c>
      <c r="D90" s="11">
        <v>125</v>
      </c>
      <c r="E90" s="4">
        <v>29.800275482093664</v>
      </c>
      <c r="F90" s="4">
        <v>49.87624402736666</v>
      </c>
      <c r="G90" s="4">
        <v>50.419318859350781</v>
      </c>
      <c r="H90" s="4">
        <v>70.99880975977122</v>
      </c>
      <c r="I90" s="4">
        <v>67.458330830992509</v>
      </c>
      <c r="J90" s="4">
        <v>43.902154934958098</v>
      </c>
      <c r="K90" s="4">
        <v>46.072114556630538</v>
      </c>
      <c r="L90" s="4">
        <v>70.203039692670657</v>
      </c>
      <c r="M90" s="4">
        <v>19.740710418593974</v>
      </c>
      <c r="N90" s="4">
        <v>36.286519950544331</v>
      </c>
      <c r="O90" s="4">
        <v>62.160195005127775</v>
      </c>
      <c r="P90" s="4">
        <v>93.073415238046593</v>
      </c>
      <c r="Q90" s="4">
        <v>94.785052376750912</v>
      </c>
      <c r="R90" s="4">
        <v>58.129724247576547</v>
      </c>
      <c r="S90" s="4">
        <v>59.22140782943427</v>
      </c>
      <c r="T90" s="4">
        <v>57.214131702608839</v>
      </c>
      <c r="U90" s="4">
        <v>60.138237936771496</v>
      </c>
    </row>
    <row r="91" spans="1:21" ht="15" x14ac:dyDescent="0.25">
      <c r="A91" t="s">
        <v>109</v>
      </c>
      <c r="B91" t="s">
        <v>110</v>
      </c>
      <c r="C91" s="11">
        <v>71.617264070928599</v>
      </c>
      <c r="D91" s="11">
        <v>48</v>
      </c>
      <c r="E91" s="4">
        <v>82.792331969295788</v>
      </c>
      <c r="F91" s="4">
        <v>58.081636974596321</v>
      </c>
      <c r="G91" s="4">
        <v>70.082529963549618</v>
      </c>
      <c r="H91" s="4">
        <v>91.065695740949266</v>
      </c>
      <c r="I91" s="4">
        <v>61.016556719353318</v>
      </c>
      <c r="J91" s="4">
        <v>67.890950394059018</v>
      </c>
      <c r="K91" s="4">
        <v>89.260721704951052</v>
      </c>
      <c r="L91" s="4">
        <v>69.858636858470987</v>
      </c>
      <c r="M91" s="4">
        <v>26.968649721024104</v>
      </c>
      <c r="N91" s="4">
        <v>79.303544675800168</v>
      </c>
      <c r="O91" s="4">
        <v>87.858472825262666</v>
      </c>
      <c r="P91" s="4">
        <v>91.748908553019959</v>
      </c>
      <c r="Q91" s="4">
        <v>94.190384702210736</v>
      </c>
      <c r="R91" s="4"/>
      <c r="S91" s="4">
        <v>68.049131295484628</v>
      </c>
      <c r="T91" s="4">
        <v>63.238479606559054</v>
      </c>
      <c r="U91" s="4">
        <v>75.361726942016745</v>
      </c>
    </row>
    <row r="92" spans="1:21" ht="15" x14ac:dyDescent="0.25">
      <c r="A92" t="s">
        <v>225</v>
      </c>
      <c r="B92" t="s">
        <v>226</v>
      </c>
      <c r="C92" s="11">
        <v>61.784181512636827</v>
      </c>
      <c r="D92" s="11">
        <v>112</v>
      </c>
      <c r="E92" s="4">
        <v>87.512744390061243</v>
      </c>
      <c r="F92" s="4">
        <v>52.686041497613026</v>
      </c>
      <c r="G92" s="4">
        <v>62.581316658819823</v>
      </c>
      <c r="H92" s="4">
        <v>69.858345637765794</v>
      </c>
      <c r="I92" s="4">
        <v>54.838516931506426</v>
      </c>
      <c r="J92" s="4">
        <v>60.288672101576637</v>
      </c>
      <c r="K92" s="4">
        <v>42.940820211593916</v>
      </c>
      <c r="L92" s="4">
        <v>62.034401023654212</v>
      </c>
      <c r="M92" s="4">
        <v>19.467532596109283</v>
      </c>
      <c r="N92" s="4">
        <v>90.853850270660828</v>
      </c>
      <c r="O92" s="4">
        <v>77.770570521863547</v>
      </c>
      <c r="P92" s="4">
        <v>97.078780451706393</v>
      </c>
      <c r="Q92" s="4">
        <v>92.749368676978904</v>
      </c>
      <c r="R92" s="4">
        <v>34.372849398267846</v>
      </c>
      <c r="S92" s="4">
        <v>44.392178324880334</v>
      </c>
      <c r="T92" s="4">
        <v>52.402358830988014</v>
      </c>
      <c r="U92" s="4">
        <v>48.502738190779858</v>
      </c>
    </row>
    <row r="93" spans="1:21" ht="15" x14ac:dyDescent="0.25">
      <c r="A93" t="s">
        <v>369</v>
      </c>
      <c r="B93" t="s">
        <v>370</v>
      </c>
      <c r="C93" s="11"/>
      <c r="D93" s="11"/>
      <c r="E93" s="4"/>
      <c r="F93" s="4"/>
      <c r="G93" s="4"/>
      <c r="H93" s="4"/>
      <c r="I93" s="4"/>
      <c r="J93" s="4"/>
      <c r="K93" s="4"/>
      <c r="L93" s="4"/>
      <c r="M93" s="4"/>
      <c r="N93" s="4"/>
      <c r="O93" s="4"/>
      <c r="P93" s="4"/>
      <c r="Q93" s="4"/>
      <c r="R93" s="4"/>
      <c r="S93" s="4"/>
      <c r="T93" s="4"/>
      <c r="U93" s="4"/>
    </row>
    <row r="94" spans="1:21" ht="15" x14ac:dyDescent="0.25">
      <c r="A94" t="s">
        <v>371</v>
      </c>
      <c r="B94" t="s">
        <v>372</v>
      </c>
      <c r="C94" s="11"/>
      <c r="D94" s="11"/>
      <c r="E94" s="4"/>
      <c r="F94" s="4"/>
      <c r="G94" s="4"/>
      <c r="H94" s="4"/>
      <c r="I94" s="4"/>
      <c r="J94" s="4"/>
      <c r="K94" s="4"/>
      <c r="L94" s="4"/>
      <c r="M94" s="4"/>
      <c r="N94" s="4"/>
      <c r="O94" s="4"/>
      <c r="P94" s="4"/>
      <c r="Q94" s="4"/>
      <c r="R94" s="4"/>
      <c r="S94" s="4"/>
      <c r="T94" s="4"/>
      <c r="U94" s="4"/>
    </row>
    <row r="95" spans="1:21" ht="15" x14ac:dyDescent="0.25">
      <c r="A95" t="s">
        <v>81</v>
      </c>
      <c r="B95" t="s">
        <v>82</v>
      </c>
      <c r="C95" s="11">
        <v>78.331815424141894</v>
      </c>
      <c r="D95" s="11">
        <v>18</v>
      </c>
      <c r="E95" s="4">
        <v>99.01487068389099</v>
      </c>
      <c r="F95" s="4">
        <v>77.87171987556134</v>
      </c>
      <c r="G95" s="4">
        <v>92.351990963630627</v>
      </c>
      <c r="H95" s="4">
        <v>95.824696969696973</v>
      </c>
      <c r="I95" s="4">
        <v>63.936889115647496</v>
      </c>
      <c r="J95" s="4">
        <v>81.487846483599171</v>
      </c>
      <c r="K95" s="4">
        <v>92.504199115079317</v>
      </c>
      <c r="L95" s="4">
        <v>86.20158599133012</v>
      </c>
      <c r="M95" s="4">
        <v>83.724884507356606</v>
      </c>
      <c r="N95" s="4">
        <v>86.469559266533651</v>
      </c>
      <c r="O95" s="4">
        <v>80.306327592651655</v>
      </c>
      <c r="P95" s="4">
        <v>63.527625806230276</v>
      </c>
      <c r="Q95" s="4">
        <v>87.724911565737045</v>
      </c>
      <c r="R95" s="4">
        <v>54.792051810282068</v>
      </c>
      <c r="S95" s="4">
        <v>57.187105878851831</v>
      </c>
      <c r="T95" s="4">
        <v>75.363633621370127</v>
      </c>
      <c r="U95" s="4">
        <v>53.35096296296296</v>
      </c>
    </row>
    <row r="96" spans="1:21" ht="15" x14ac:dyDescent="0.25">
      <c r="A96" t="s">
        <v>235</v>
      </c>
      <c r="B96" t="s">
        <v>236</v>
      </c>
      <c r="C96" s="11">
        <v>63.511739003313139</v>
      </c>
      <c r="D96" s="11">
        <v>106</v>
      </c>
      <c r="E96" s="4"/>
      <c r="F96" s="4">
        <v>60.797535951583505</v>
      </c>
      <c r="G96" s="4">
        <v>83.842219818494328</v>
      </c>
      <c r="H96" s="4">
        <v>86.460122341449036</v>
      </c>
      <c r="I96" s="4">
        <v>51.245679693222804</v>
      </c>
      <c r="J96" s="4">
        <v>55.018979342219907</v>
      </c>
      <c r="K96" s="4">
        <v>92.029169933116364</v>
      </c>
      <c r="L96" s="4">
        <v>56.333607755300768</v>
      </c>
      <c r="M96" s="4">
        <v>48.893430130336249</v>
      </c>
      <c r="N96" s="4"/>
      <c r="O96" s="4">
        <v>48.766967767849764</v>
      </c>
      <c r="P96" s="4">
        <v>22.17453505007153</v>
      </c>
      <c r="Q96" s="4">
        <v>50.168177760626548</v>
      </c>
      <c r="R96" s="4">
        <v>42.434500287875444</v>
      </c>
      <c r="S96" s="4">
        <v>41.027124388539477</v>
      </c>
      <c r="T96" s="4">
        <v>76.95194046156449</v>
      </c>
      <c r="U96" s="4">
        <v>100</v>
      </c>
    </row>
    <row r="97" spans="1:21" ht="15" x14ac:dyDescent="0.25">
      <c r="A97" t="s">
        <v>249</v>
      </c>
      <c r="B97" t="s">
        <v>250</v>
      </c>
      <c r="C97" s="11">
        <v>62.029066741302223</v>
      </c>
      <c r="D97" s="11">
        <v>111</v>
      </c>
      <c r="E97" s="4">
        <v>54.770507368477354</v>
      </c>
      <c r="F97" s="4">
        <v>61.050998818143277</v>
      </c>
      <c r="G97" s="4">
        <v>49.838952323744358</v>
      </c>
      <c r="H97" s="4">
        <v>78.276549923688165</v>
      </c>
      <c r="I97" s="4">
        <v>67.315518019892124</v>
      </c>
      <c r="J97" s="4">
        <v>67.311465558988004</v>
      </c>
      <c r="K97" s="4">
        <v>44.748903456231211</v>
      </c>
      <c r="L97" s="4">
        <v>71.723955379450175</v>
      </c>
      <c r="M97" s="4">
        <v>15.209053600700116</v>
      </c>
      <c r="N97" s="4">
        <v>74.929577464788736</v>
      </c>
      <c r="O97" s="4">
        <v>73.427572701223824</v>
      </c>
      <c r="P97" s="4">
        <v>94.549660985338321</v>
      </c>
      <c r="Q97" s="4">
        <v>96.479847747163319</v>
      </c>
      <c r="R97" s="4"/>
      <c r="S97" s="4">
        <v>53.551774266362123</v>
      </c>
      <c r="T97" s="4">
        <v>58.373399837002417</v>
      </c>
      <c r="U97" s="4">
        <v>46.57037662383194</v>
      </c>
    </row>
    <row r="98" spans="1:21" ht="15" x14ac:dyDescent="0.25">
      <c r="A98" t="s">
        <v>209</v>
      </c>
      <c r="B98" t="s">
        <v>210</v>
      </c>
      <c r="C98" s="11">
        <v>65.66628291192977</v>
      </c>
      <c r="D98" s="11">
        <v>94</v>
      </c>
      <c r="E98" s="4">
        <v>99.927973468132336</v>
      </c>
      <c r="F98" s="4">
        <v>45.920152317825419</v>
      </c>
      <c r="G98" s="4">
        <v>80.114266851635179</v>
      </c>
      <c r="H98" s="4">
        <v>70.311064249915432</v>
      </c>
      <c r="I98" s="4">
        <v>42.46720868355235</v>
      </c>
      <c r="J98" s="4">
        <v>79.446515434564262</v>
      </c>
      <c r="K98" s="4">
        <v>88.907402444901166</v>
      </c>
      <c r="L98" s="4">
        <v>67.402165663121409</v>
      </c>
      <c r="M98" s="4">
        <v>42.334368184875686</v>
      </c>
      <c r="N98" s="4">
        <v>69.514061027849223</v>
      </c>
      <c r="O98" s="4">
        <v>59.944894187603509</v>
      </c>
      <c r="P98" s="4">
        <v>75.607048180730175</v>
      </c>
      <c r="Q98" s="4">
        <v>77.408401228850991</v>
      </c>
      <c r="R98" s="4">
        <v>36.591870550257553</v>
      </c>
      <c r="S98" s="4">
        <v>56.606913099906947</v>
      </c>
      <c r="T98" s="4">
        <v>65.890784423193992</v>
      </c>
      <c r="U98" s="4">
        <v>57.93171950589052</v>
      </c>
    </row>
    <row r="99" spans="1:21" ht="15" x14ac:dyDescent="0.25">
      <c r="A99" t="s">
        <v>333</v>
      </c>
      <c r="B99" t="s">
        <v>334</v>
      </c>
      <c r="C99" s="11">
        <v>48.182539929371927</v>
      </c>
      <c r="D99" s="11">
        <v>157</v>
      </c>
      <c r="E99" s="4">
        <v>20.468319559228647</v>
      </c>
      <c r="F99" s="4">
        <v>48.566879263243159</v>
      </c>
      <c r="G99" s="4">
        <v>39.200244474351372</v>
      </c>
      <c r="H99" s="4">
        <v>10.20197394813364</v>
      </c>
      <c r="I99" s="4">
        <v>41.449281639950541</v>
      </c>
      <c r="J99" s="4">
        <v>48.010926242881098</v>
      </c>
      <c r="K99" s="4">
        <v>5.8855885588558854</v>
      </c>
      <c r="L99" s="4">
        <v>64.929330040635747</v>
      </c>
      <c r="M99" s="4">
        <v>3.5356633444017258</v>
      </c>
      <c r="N99" s="4">
        <v>83.869277255635865</v>
      </c>
      <c r="O99" s="4">
        <v>28.980277736561266</v>
      </c>
      <c r="P99" s="4">
        <v>99.294567869037508</v>
      </c>
      <c r="Q99" s="4">
        <v>99.314171460227683</v>
      </c>
      <c r="R99" s="4">
        <v>75.202661258966771</v>
      </c>
      <c r="S99" s="4">
        <v>53.977855823571375</v>
      </c>
      <c r="T99" s="4">
        <v>44.938716640055191</v>
      </c>
      <c r="U99" s="4">
        <v>51.277443683585112</v>
      </c>
    </row>
    <row r="100" spans="1:21" ht="15" x14ac:dyDescent="0.25">
      <c r="A100" t="s">
        <v>373</v>
      </c>
      <c r="B100" t="s">
        <v>374</v>
      </c>
      <c r="C100" s="11"/>
      <c r="D100" s="11"/>
      <c r="E100" s="4"/>
      <c r="F100" s="4"/>
      <c r="G100" s="4"/>
      <c r="H100" s="4"/>
      <c r="I100" s="4"/>
      <c r="J100" s="4"/>
      <c r="K100" s="4"/>
      <c r="L100" s="4"/>
      <c r="M100" s="4"/>
      <c r="N100" s="4"/>
      <c r="O100" s="4"/>
      <c r="P100" s="4"/>
      <c r="Q100" s="4"/>
      <c r="R100" s="4"/>
      <c r="S100" s="4"/>
      <c r="T100" s="4"/>
      <c r="U100" s="4"/>
    </row>
    <row r="101" spans="1:21" ht="15" x14ac:dyDescent="0.25">
      <c r="A101" t="s">
        <v>375</v>
      </c>
      <c r="B101" t="s">
        <v>376</v>
      </c>
      <c r="C101" s="11"/>
      <c r="D101" s="11"/>
      <c r="E101" s="4"/>
      <c r="F101" s="4"/>
      <c r="G101" s="4"/>
      <c r="H101" s="4"/>
      <c r="I101" s="4"/>
      <c r="J101" s="4"/>
      <c r="K101" s="4"/>
      <c r="L101" s="4"/>
      <c r="M101" s="4"/>
      <c r="N101" s="4"/>
      <c r="O101" s="4"/>
      <c r="P101" s="4"/>
      <c r="Q101" s="4"/>
      <c r="R101" s="4"/>
      <c r="S101" s="4"/>
      <c r="T101" s="4"/>
      <c r="U101" s="4"/>
    </row>
    <row r="102" spans="1:21" ht="15" x14ac:dyDescent="0.25">
      <c r="A102" t="s">
        <v>377</v>
      </c>
      <c r="B102" t="s">
        <v>378</v>
      </c>
      <c r="C102" s="11"/>
      <c r="D102" s="11"/>
      <c r="E102" s="4"/>
      <c r="F102" s="4"/>
      <c r="G102" s="4"/>
      <c r="H102" s="4"/>
      <c r="I102" s="4"/>
      <c r="J102" s="4"/>
      <c r="K102" s="4"/>
      <c r="L102" s="4"/>
      <c r="M102" s="4"/>
      <c r="N102" s="4"/>
      <c r="O102" s="4"/>
      <c r="P102" s="4"/>
      <c r="Q102" s="4"/>
      <c r="R102" s="4"/>
      <c r="S102" s="4"/>
      <c r="T102" s="4"/>
      <c r="U102" s="4"/>
    </row>
    <row r="103" spans="1:21" ht="15" x14ac:dyDescent="0.25">
      <c r="A103" t="s">
        <v>185</v>
      </c>
      <c r="B103" t="s">
        <v>186</v>
      </c>
      <c r="C103" s="11">
        <v>65.841249082403692</v>
      </c>
      <c r="D103" s="11">
        <v>93</v>
      </c>
      <c r="E103" s="4">
        <v>91.167963839631994</v>
      </c>
      <c r="F103" s="4">
        <v>52.698699098165335</v>
      </c>
      <c r="G103" s="4">
        <v>79.46997557272239</v>
      </c>
      <c r="H103" s="4">
        <v>97.228884611521252</v>
      </c>
      <c r="I103" s="4">
        <v>48.566704797816548</v>
      </c>
      <c r="J103" s="4">
        <v>65.812845207809403</v>
      </c>
      <c r="K103" s="4">
        <v>64.663980165297062</v>
      </c>
      <c r="L103" s="4">
        <v>82.809837842823001</v>
      </c>
      <c r="M103" s="4">
        <v>17.232176031276161</v>
      </c>
      <c r="N103" s="4">
        <v>36.429822948616994</v>
      </c>
      <c r="O103" s="4">
        <v>80.611489047685154</v>
      </c>
      <c r="P103" s="4">
        <v>77.916545244197252</v>
      </c>
      <c r="Q103" s="4">
        <v>92.290467852184833</v>
      </c>
      <c r="R103" s="4">
        <v>55.713815764404806</v>
      </c>
      <c r="S103" s="4">
        <v>63.371337277582896</v>
      </c>
      <c r="T103" s="4">
        <v>67.319914303874597</v>
      </c>
      <c r="U103" s="4">
        <v>45.99677479525311</v>
      </c>
    </row>
    <row r="104" spans="1:21" ht="15" x14ac:dyDescent="0.25">
      <c r="A104" t="s">
        <v>305</v>
      </c>
      <c r="B104" t="s">
        <v>306</v>
      </c>
      <c r="C104" s="11">
        <v>50.9427933174616</v>
      </c>
      <c r="D104" s="11">
        <v>150</v>
      </c>
      <c r="E104" s="4">
        <v>13.705234159779609</v>
      </c>
      <c r="F104" s="4">
        <v>54.463272844404059</v>
      </c>
      <c r="G104" s="4">
        <v>28.719135156408601</v>
      </c>
      <c r="H104" s="4">
        <v>55.009081817436801</v>
      </c>
      <c r="I104" s="4">
        <v>71.9021846057733</v>
      </c>
      <c r="J104" s="4">
        <v>58.122774592649897</v>
      </c>
      <c r="K104" s="4">
        <v>28.497413964814449</v>
      </c>
      <c r="L104" s="4">
        <v>52.462996370300615</v>
      </c>
      <c r="M104" s="4">
        <v>14.140092128748115</v>
      </c>
      <c r="N104" s="4">
        <v>0.34508705139160156</v>
      </c>
      <c r="O104" s="4">
        <v>67.537515371284655</v>
      </c>
      <c r="P104" s="4">
        <v>92.139512555713438</v>
      </c>
      <c r="Q104" s="4">
        <v>66.162007957246132</v>
      </c>
      <c r="R104" s="4"/>
      <c r="S104" s="4">
        <v>62.130534963516943</v>
      </c>
      <c r="T104" s="4">
        <v>46.180058983796016</v>
      </c>
      <c r="U104" s="4">
        <v>100</v>
      </c>
    </row>
    <row r="105" spans="1:21" ht="15" x14ac:dyDescent="0.25">
      <c r="A105" t="s">
        <v>93</v>
      </c>
      <c r="B105" t="s">
        <v>94</v>
      </c>
      <c r="C105" s="11">
        <v>75.103272065882862</v>
      </c>
      <c r="D105" s="11">
        <v>32</v>
      </c>
      <c r="E105" s="4">
        <v>98.438658428949694</v>
      </c>
      <c r="F105" s="4">
        <v>58.503359621960122</v>
      </c>
      <c r="G105" s="4">
        <v>84.6464215034501</v>
      </c>
      <c r="H105" s="4">
        <v>98.675483352819128</v>
      </c>
      <c r="I105" s="4">
        <v>72.07309639395929</v>
      </c>
      <c r="J105" s="4">
        <v>85.719065933921371</v>
      </c>
      <c r="K105" s="4">
        <v>83.469217613400488</v>
      </c>
      <c r="L105" s="4">
        <v>80.450930276738873</v>
      </c>
      <c r="M105" s="4">
        <v>45.4347919580268</v>
      </c>
      <c r="N105" s="4">
        <v>49.570111825432576</v>
      </c>
      <c r="O105" s="4">
        <v>83.146340934480747</v>
      </c>
      <c r="P105" s="4">
        <v>67.445650694302174</v>
      </c>
      <c r="Q105" s="4">
        <v>84.131531996261117</v>
      </c>
      <c r="R105" s="4">
        <v>62.496015090065988</v>
      </c>
      <c r="S105" s="4">
        <v>90.397333308334808</v>
      </c>
      <c r="T105" s="4">
        <v>80.520838410127368</v>
      </c>
      <c r="U105" s="4">
        <v>51.63677777777778</v>
      </c>
    </row>
    <row r="106" spans="1:21" ht="15" x14ac:dyDescent="0.25">
      <c r="A106" t="s">
        <v>85</v>
      </c>
      <c r="B106" t="s">
        <v>86</v>
      </c>
      <c r="C106" s="11">
        <v>74.784460775079822</v>
      </c>
      <c r="D106" s="11">
        <v>34</v>
      </c>
      <c r="E106" s="4">
        <v>99.854703254968058</v>
      </c>
      <c r="F106" s="4">
        <v>62.425879897562496</v>
      </c>
      <c r="G106" s="4">
        <v>96.409270155631546</v>
      </c>
      <c r="H106" s="4">
        <v>94.39334645232816</v>
      </c>
      <c r="I106" s="4">
        <v>74.568682779265444</v>
      </c>
      <c r="J106" s="4">
        <v>90.033256815623801</v>
      </c>
      <c r="K106" s="4">
        <v>66.666666666666671</v>
      </c>
      <c r="L106" s="4">
        <v>69.90754877002189</v>
      </c>
      <c r="M106" s="4">
        <v>69.419846959039475</v>
      </c>
      <c r="N106" s="4">
        <v>88.260913902605083</v>
      </c>
      <c r="O106" s="4">
        <v>94.525725477083554</v>
      </c>
      <c r="P106" s="4">
        <v>23.895273466856953</v>
      </c>
      <c r="Q106" s="4">
        <v>78.747075026149389</v>
      </c>
      <c r="R106" s="4"/>
      <c r="S106" s="4">
        <v>62.289140155136273</v>
      </c>
      <c r="T106" s="4">
        <v>90.151075637313227</v>
      </c>
      <c r="U106" s="4">
        <v>58.38</v>
      </c>
    </row>
    <row r="107" spans="1:21" ht="15" x14ac:dyDescent="0.25">
      <c r="A107" t="s">
        <v>47</v>
      </c>
      <c r="B107" t="s">
        <v>48</v>
      </c>
      <c r="C107" s="11">
        <v>77.134977995718401</v>
      </c>
      <c r="D107" s="11">
        <v>24</v>
      </c>
      <c r="E107" s="4">
        <v>98.728008237716978</v>
      </c>
      <c r="F107" s="4">
        <v>60.364185294336558</v>
      </c>
      <c r="G107" s="4">
        <v>84.5045783879835</v>
      </c>
      <c r="H107" s="4">
        <v>95.693682589520947</v>
      </c>
      <c r="I107" s="4">
        <v>70.201829985071228</v>
      </c>
      <c r="J107" s="4">
        <v>88.985194077556315</v>
      </c>
      <c r="K107" s="4">
        <v>91.161765116475109</v>
      </c>
      <c r="L107" s="4">
        <v>83.262209619687795</v>
      </c>
      <c r="M107" s="4">
        <v>49.303107801647975</v>
      </c>
      <c r="N107" s="4">
        <v>76.456046104431152</v>
      </c>
      <c r="O107" s="4">
        <v>86.335974808397793</v>
      </c>
      <c r="P107" s="4">
        <v>67.932019467125002</v>
      </c>
      <c r="Q107" s="4">
        <v>87.79939077524061</v>
      </c>
      <c r="R107" s="4">
        <v>50.937447123554499</v>
      </c>
      <c r="S107" s="4">
        <v>92.233890209564194</v>
      </c>
      <c r="T107" s="4">
        <v>76.959148180755122</v>
      </c>
      <c r="U107" s="4">
        <v>50.436148148148142</v>
      </c>
    </row>
    <row r="108" spans="1:21" ht="15" x14ac:dyDescent="0.25">
      <c r="A108" t="s">
        <v>159</v>
      </c>
      <c r="B108" t="s">
        <v>160</v>
      </c>
      <c r="C108" s="11">
        <v>69.069729658474841</v>
      </c>
      <c r="D108" s="11">
        <v>72</v>
      </c>
      <c r="E108" s="4">
        <v>94.917689694830031</v>
      </c>
      <c r="F108" s="4">
        <v>53.81702299125994</v>
      </c>
      <c r="G108" s="4">
        <v>73.666403469792968</v>
      </c>
      <c r="H108" s="4">
        <v>78.045154590232031</v>
      </c>
      <c r="I108" s="4">
        <v>42.904559623844804</v>
      </c>
      <c r="J108" s="4">
        <v>66.134727794360018</v>
      </c>
      <c r="K108" s="4">
        <v>87.708209591530476</v>
      </c>
      <c r="L108" s="4">
        <v>67.411282324913401</v>
      </c>
      <c r="M108" s="4">
        <v>32.37449917210148</v>
      </c>
      <c r="N108" s="4">
        <v>61.472630500793457</v>
      </c>
      <c r="O108" s="4">
        <v>72.161551072449853</v>
      </c>
      <c r="P108" s="4">
        <v>82.458612266907892</v>
      </c>
      <c r="Q108" s="4">
        <v>92.373967673346655</v>
      </c>
      <c r="R108" s="4">
        <v>48.239728828504219</v>
      </c>
      <c r="S108" s="4">
        <v>75.608603098162661</v>
      </c>
      <c r="T108" s="4">
        <v>69.034052972187112</v>
      </c>
      <c r="U108" s="4">
        <v>75.856708528855563</v>
      </c>
    </row>
    <row r="109" spans="1:21" ht="15" x14ac:dyDescent="0.25">
      <c r="A109" t="s">
        <v>379</v>
      </c>
      <c r="B109" t="s">
        <v>380</v>
      </c>
      <c r="C109" s="11"/>
      <c r="D109" s="11"/>
      <c r="E109" s="4"/>
      <c r="F109" s="4"/>
      <c r="G109" s="4"/>
      <c r="H109" s="4"/>
      <c r="I109" s="4"/>
      <c r="J109" s="4"/>
      <c r="K109" s="4"/>
      <c r="L109" s="4"/>
      <c r="M109" s="4"/>
      <c r="N109" s="4"/>
      <c r="O109" s="4"/>
      <c r="P109" s="4"/>
      <c r="Q109" s="4"/>
      <c r="R109" s="4"/>
      <c r="S109" s="4"/>
      <c r="T109" s="4"/>
      <c r="U109" s="4"/>
    </row>
    <row r="110" spans="1:21" ht="15" x14ac:dyDescent="0.25">
      <c r="A110" t="s">
        <v>69</v>
      </c>
      <c r="B110" t="s">
        <v>70</v>
      </c>
      <c r="C110" s="11">
        <v>74.409774039128607</v>
      </c>
      <c r="D110" s="11">
        <v>37</v>
      </c>
      <c r="E110" s="4">
        <v>99.571571852683945</v>
      </c>
      <c r="F110" s="4">
        <v>54.495399835549925</v>
      </c>
      <c r="G110" s="4">
        <v>74.824050997820322</v>
      </c>
      <c r="H110" s="4">
        <v>82.661170085606443</v>
      </c>
      <c r="I110" s="4">
        <v>68.645633959524488</v>
      </c>
      <c r="J110" s="4">
        <v>73.951768621954599</v>
      </c>
      <c r="K110" s="4">
        <v>89.885518900466153</v>
      </c>
      <c r="L110" s="4">
        <v>73.994193684419955</v>
      </c>
      <c r="M110" s="4">
        <v>26.070763787701214</v>
      </c>
      <c r="N110" s="4">
        <v>92.620296881232463</v>
      </c>
      <c r="O110" s="4">
        <v>79.651731989888859</v>
      </c>
      <c r="P110" s="4">
        <v>97.009167241256122</v>
      </c>
      <c r="Q110" s="4">
        <v>97.909388906276661</v>
      </c>
      <c r="R110" s="4"/>
      <c r="S110" s="4">
        <v>64.08201133660755</v>
      </c>
      <c r="T110" s="4">
        <v>62.956380180769628</v>
      </c>
      <c r="U110" s="4">
        <v>85.911979844244954</v>
      </c>
    </row>
    <row r="111" spans="1:21" ht="15" x14ac:dyDescent="0.25">
      <c r="A111" t="s">
        <v>331</v>
      </c>
      <c r="B111" t="s">
        <v>332</v>
      </c>
      <c r="C111" s="11">
        <v>46.698955069499632</v>
      </c>
      <c r="D111" s="11">
        <v>158</v>
      </c>
      <c r="E111" s="4">
        <v>0</v>
      </c>
      <c r="F111" s="4">
        <v>37.442507379252071</v>
      </c>
      <c r="G111" s="4">
        <v>41.169726430922267</v>
      </c>
      <c r="H111" s="4">
        <v>44.042873632302069</v>
      </c>
      <c r="I111" s="4">
        <v>66.923865851389451</v>
      </c>
      <c r="J111" s="4">
        <v>38.730317878687899</v>
      </c>
      <c r="K111" s="4">
        <v>7.5907590759075898</v>
      </c>
      <c r="L111" s="4">
        <v>62.803507459101546</v>
      </c>
      <c r="M111" s="4">
        <v>5.8468167650213765</v>
      </c>
      <c r="N111" s="4">
        <v>31.661770377360597</v>
      </c>
      <c r="O111" s="4">
        <v>62.449704338327045</v>
      </c>
      <c r="P111" s="4">
        <v>94.584074176964947</v>
      </c>
      <c r="Q111" s="4">
        <v>96.874410214356644</v>
      </c>
      <c r="R111" s="4">
        <v>57.83657210267495</v>
      </c>
      <c r="S111" s="4">
        <v>50.576879382952107</v>
      </c>
      <c r="T111" s="4">
        <v>51.052224582939807</v>
      </c>
      <c r="U111" s="4">
        <v>44.296226533333332</v>
      </c>
    </row>
    <row r="112" spans="1:21" ht="15" x14ac:dyDescent="0.25">
      <c r="A112" t="s">
        <v>155</v>
      </c>
      <c r="B112" t="s">
        <v>156</v>
      </c>
      <c r="C112" s="11">
        <v>72.123130368073589</v>
      </c>
      <c r="D112" s="11">
        <v>47</v>
      </c>
      <c r="E112" s="4">
        <v>90.401013667121347</v>
      </c>
      <c r="F112" s="4">
        <v>46.626764359041879</v>
      </c>
      <c r="G112" s="4">
        <v>91.097622180872875</v>
      </c>
      <c r="H112" s="4">
        <v>99.193345077469147</v>
      </c>
      <c r="I112" s="4">
        <v>43.581713713306435</v>
      </c>
      <c r="J112" s="4">
        <v>72.068039240437514</v>
      </c>
      <c r="K112" s="4">
        <v>96.852040816326536</v>
      </c>
      <c r="L112" s="4">
        <v>79.593531991779003</v>
      </c>
      <c r="M112" s="4">
        <v>39.123421445220913</v>
      </c>
      <c r="N112" s="4">
        <v>69.295774647887328</v>
      </c>
      <c r="O112" s="4">
        <v>96.0448480156644</v>
      </c>
      <c r="P112" s="4">
        <v>76.432552353720084</v>
      </c>
      <c r="Q112" s="4">
        <v>78.857009647853047</v>
      </c>
      <c r="R112" s="4">
        <v>52.424934141241941</v>
      </c>
      <c r="S112" s="4">
        <v>38.133680802572108</v>
      </c>
      <c r="T112" s="4">
        <v>74.843763961389271</v>
      </c>
      <c r="U112" s="4">
        <v>81.52316019534733</v>
      </c>
    </row>
    <row r="113" spans="1:21" ht="15" x14ac:dyDescent="0.25">
      <c r="A113" t="s">
        <v>179</v>
      </c>
      <c r="B113" t="s">
        <v>180</v>
      </c>
      <c r="C113" s="11">
        <v>68.509282027793247</v>
      </c>
      <c r="D113" s="11">
        <v>78</v>
      </c>
      <c r="E113" s="4">
        <v>87.527895905212773</v>
      </c>
      <c r="F113" s="4">
        <v>54.664506207702004</v>
      </c>
      <c r="G113" s="4">
        <v>81.882278314455945</v>
      </c>
      <c r="H113" s="4">
        <v>92.629832438425822</v>
      </c>
      <c r="I113" s="4">
        <v>77.36730955904612</v>
      </c>
      <c r="J113" s="4">
        <v>79.110675280979819</v>
      </c>
      <c r="K113" s="4">
        <v>86.526714755566616</v>
      </c>
      <c r="L113" s="4">
        <v>73.02994179110101</v>
      </c>
      <c r="M113" s="4">
        <v>36.268118092434172</v>
      </c>
      <c r="N113" s="4">
        <v>14.565025920599279</v>
      </c>
      <c r="O113" s="4">
        <v>81.163223479298082</v>
      </c>
      <c r="P113" s="4">
        <v>78.815279170899842</v>
      </c>
      <c r="Q113" s="4">
        <v>90.596726274921195</v>
      </c>
      <c r="R113" s="4">
        <v>69.538515061296025</v>
      </c>
      <c r="S113" s="4">
        <v>47.641655319101417</v>
      </c>
      <c r="T113" s="4">
        <v>53.082262019166457</v>
      </c>
      <c r="U113" s="4">
        <v>60.247834882278731</v>
      </c>
    </row>
    <row r="114" spans="1:21" ht="15" x14ac:dyDescent="0.25">
      <c r="A114" t="s">
        <v>381</v>
      </c>
      <c r="B114" t="s">
        <v>382</v>
      </c>
      <c r="C114" s="11"/>
      <c r="D114" s="11"/>
      <c r="E114" s="4"/>
      <c r="F114" s="4"/>
      <c r="G114" s="4"/>
      <c r="H114" s="4"/>
      <c r="I114" s="4"/>
      <c r="J114" s="4"/>
      <c r="K114" s="4"/>
      <c r="L114" s="4"/>
      <c r="M114" s="4"/>
      <c r="N114" s="4"/>
      <c r="O114" s="4"/>
      <c r="P114" s="4"/>
      <c r="Q114" s="4"/>
      <c r="R114" s="4"/>
      <c r="S114" s="4"/>
      <c r="T114" s="4"/>
      <c r="U114" s="4"/>
    </row>
    <row r="115" spans="1:21" ht="15" x14ac:dyDescent="0.25">
      <c r="A115" t="s">
        <v>139</v>
      </c>
      <c r="B115" t="s">
        <v>140</v>
      </c>
      <c r="C115" s="11">
        <v>69.383922103433903</v>
      </c>
      <c r="D115" s="11">
        <v>70</v>
      </c>
      <c r="E115" s="4">
        <v>89.353031640322016</v>
      </c>
      <c r="F115" s="4">
        <v>61.192427956442948</v>
      </c>
      <c r="G115" s="4">
        <v>80.002866988092364</v>
      </c>
      <c r="H115" s="4">
        <v>88.323098708286352</v>
      </c>
      <c r="I115" s="4">
        <v>54.368359622837403</v>
      </c>
      <c r="J115" s="4">
        <v>75.179311137647545</v>
      </c>
      <c r="K115" s="4">
        <v>80.858377439059282</v>
      </c>
      <c r="L115" s="4">
        <v>64.178325943024817</v>
      </c>
      <c r="M115" s="4">
        <v>31.026778411908186</v>
      </c>
      <c r="N115" s="4">
        <v>48.833809772007903</v>
      </c>
      <c r="O115" s="4">
        <v>72.937809316013443</v>
      </c>
      <c r="P115" s="4">
        <v>81.22444777301844</v>
      </c>
      <c r="Q115" s="4">
        <v>85.839682206020385</v>
      </c>
      <c r="R115" s="4"/>
      <c r="S115" s="4">
        <v>74.00309090525657</v>
      </c>
      <c r="T115" s="4">
        <v>74.102363809174278</v>
      </c>
      <c r="U115" s="4">
        <v>77.377763570081569</v>
      </c>
    </row>
    <row r="116" spans="1:21" ht="15" x14ac:dyDescent="0.25">
      <c r="A116" t="s">
        <v>281</v>
      </c>
      <c r="B116" t="s">
        <v>282</v>
      </c>
      <c r="C116" s="11">
        <v>50.214733177515093</v>
      </c>
      <c r="D116" s="11">
        <v>152</v>
      </c>
      <c r="E116" s="4">
        <v>24.256198347107436</v>
      </c>
      <c r="F116" s="4">
        <v>45.040583947812749</v>
      </c>
      <c r="G116" s="4">
        <v>32.326625973234805</v>
      </c>
      <c r="H116" s="4">
        <v>12.61789850859879</v>
      </c>
      <c r="I116" s="4">
        <v>35.568924759657513</v>
      </c>
      <c r="J116" s="4">
        <v>56.005275868493371</v>
      </c>
      <c r="K116" s="4">
        <v>14.284653448560174</v>
      </c>
      <c r="L116" s="4">
        <v>67.372443502419671</v>
      </c>
      <c r="M116" s="4">
        <v>11.675076906726561</v>
      </c>
      <c r="N116" s="4">
        <v>73.958510748097595</v>
      </c>
      <c r="O116" s="4">
        <v>59.063706091900023</v>
      </c>
      <c r="P116" s="4">
        <v>94.93864273789778</v>
      </c>
      <c r="Q116" s="4">
        <v>99.242716293314132</v>
      </c>
      <c r="R116" s="4"/>
      <c r="S116" s="4">
        <v>69.915001026435419</v>
      </c>
      <c r="T116" s="4">
        <v>50.749534556692169</v>
      </c>
      <c r="U116" s="4">
        <v>52.124087427225362</v>
      </c>
    </row>
    <row r="117" spans="1:21" ht="15" x14ac:dyDescent="0.25">
      <c r="A117" t="s">
        <v>101</v>
      </c>
      <c r="B117" t="s">
        <v>102</v>
      </c>
      <c r="C117" s="11">
        <v>76.105312330491927</v>
      </c>
      <c r="D117" s="11">
        <v>28</v>
      </c>
      <c r="E117" s="4">
        <v>99.745419775869905</v>
      </c>
      <c r="F117" s="4">
        <v>58.246400979726211</v>
      </c>
      <c r="G117" s="4">
        <v>92.689016742157591</v>
      </c>
      <c r="H117" s="4">
        <v>97.486934357563783</v>
      </c>
      <c r="I117" s="4">
        <v>59.058686770096877</v>
      </c>
      <c r="J117" s="4">
        <v>86.42857704072037</v>
      </c>
      <c r="K117" s="4">
        <v>92.428531225243788</v>
      </c>
      <c r="L117" s="4">
        <v>87.426307897638083</v>
      </c>
      <c r="M117" s="4">
        <v>43.286385875971625</v>
      </c>
      <c r="N117" s="4">
        <v>94.647887323943664</v>
      </c>
      <c r="O117" s="4">
        <v>83.075088999731165</v>
      </c>
      <c r="P117" s="4">
        <v>48.373394032438817</v>
      </c>
      <c r="Q117" s="4">
        <v>91.122796766957507</v>
      </c>
      <c r="R117" s="4">
        <v>50.215188895279169</v>
      </c>
      <c r="S117" s="4">
        <v>70.56207066850105</v>
      </c>
      <c r="T117" s="4">
        <v>76.845725140597395</v>
      </c>
      <c r="U117" s="4">
        <v>62.151897125925927</v>
      </c>
    </row>
    <row r="118" spans="1:21" ht="15" x14ac:dyDescent="0.25">
      <c r="A118" t="s">
        <v>269</v>
      </c>
      <c r="B118" t="s">
        <v>270</v>
      </c>
      <c r="C118" s="11">
        <v>62.1785335363315</v>
      </c>
      <c r="D118" s="11">
        <v>110</v>
      </c>
      <c r="E118" s="4">
        <v>80.403634758886298</v>
      </c>
      <c r="F118" s="4">
        <v>53.267258083077152</v>
      </c>
      <c r="G118" s="4">
        <v>53.818522434534586</v>
      </c>
      <c r="H118" s="4">
        <v>73.058624104931923</v>
      </c>
      <c r="I118" s="4">
        <v>60.637420381371882</v>
      </c>
      <c r="J118" s="4">
        <v>61.352165398183637</v>
      </c>
      <c r="K118" s="4">
        <v>49.676519968088634</v>
      </c>
      <c r="L118" s="4">
        <v>69.761721462609714</v>
      </c>
      <c r="M118" s="4">
        <v>21.91629561653043</v>
      </c>
      <c r="N118" s="4">
        <v>70.140845070422529</v>
      </c>
      <c r="O118" s="4">
        <v>67.744596899373732</v>
      </c>
      <c r="P118" s="4">
        <v>96.13251071984152</v>
      </c>
      <c r="Q118" s="4">
        <v>95.022002894106549</v>
      </c>
      <c r="R118" s="4">
        <v>42.824284139340001</v>
      </c>
      <c r="S118" s="4">
        <v>52.571475995877094</v>
      </c>
      <c r="T118" s="4">
        <v>66.679634278319028</v>
      </c>
      <c r="U118" s="4">
        <v>42.027557912140757</v>
      </c>
    </row>
    <row r="119" spans="1:21" ht="15" x14ac:dyDescent="0.25">
      <c r="A119" t="s">
        <v>153</v>
      </c>
      <c r="B119" t="s">
        <v>154</v>
      </c>
      <c r="C119" s="11">
        <v>67.250133974186483</v>
      </c>
      <c r="D119" s="11">
        <v>87</v>
      </c>
      <c r="E119" s="4">
        <v>99.896025569017624</v>
      </c>
      <c r="F119" s="4">
        <v>51.022652531930525</v>
      </c>
      <c r="G119" s="4">
        <v>79.880534794761033</v>
      </c>
      <c r="H119" s="4">
        <v>96.273705060215832</v>
      </c>
      <c r="I119" s="4">
        <v>54.385300700580515</v>
      </c>
      <c r="J119" s="4">
        <v>74.431039178691776</v>
      </c>
      <c r="K119" s="4">
        <v>84.976170320276992</v>
      </c>
      <c r="L119" s="4">
        <v>67.036901332417386</v>
      </c>
      <c r="M119" s="4">
        <v>32.948631627231322</v>
      </c>
      <c r="N119" s="4">
        <v>62.89662743957949</v>
      </c>
      <c r="O119" s="4">
        <v>68.229337111505131</v>
      </c>
      <c r="P119" s="4">
        <v>60.595038024721696</v>
      </c>
      <c r="Q119" s="4">
        <v>79.424938041630597</v>
      </c>
      <c r="R119" s="4">
        <v>28.356114577786173</v>
      </c>
      <c r="S119" s="4">
        <v>32.222998951781975</v>
      </c>
      <c r="T119" s="4">
        <v>70.676262299041881</v>
      </c>
      <c r="U119" s="4">
        <v>100</v>
      </c>
    </row>
    <row r="120" spans="1:21" ht="15" x14ac:dyDescent="0.25">
      <c r="A120" t="s">
        <v>231</v>
      </c>
      <c r="B120" t="s">
        <v>232</v>
      </c>
      <c r="C120" s="11">
        <v>64.693858635434353</v>
      </c>
      <c r="D120" s="11">
        <v>100</v>
      </c>
      <c r="E120" s="4">
        <v>95.575730829923259</v>
      </c>
      <c r="F120" s="4">
        <v>44.505204471451428</v>
      </c>
      <c r="G120" s="4">
        <v>65.735254898283159</v>
      </c>
      <c r="H120" s="4">
        <v>97.531493216839934</v>
      </c>
      <c r="I120" s="4">
        <v>67.057987561212499</v>
      </c>
      <c r="J120" s="4">
        <v>65.41966150941542</v>
      </c>
      <c r="K120" s="4">
        <v>55.262752988341141</v>
      </c>
      <c r="L120" s="4">
        <v>76.085865484679431</v>
      </c>
      <c r="M120" s="4">
        <v>23.309279880084816</v>
      </c>
      <c r="N120" s="4">
        <v>73.050496947597452</v>
      </c>
      <c r="O120" s="4">
        <v>48.202693565602459</v>
      </c>
      <c r="P120" s="4">
        <v>80.838786488701786</v>
      </c>
      <c r="Q120" s="4">
        <v>64.489458562217337</v>
      </c>
      <c r="R120" s="4"/>
      <c r="S120" s="4">
        <v>72.289192083824616</v>
      </c>
      <c r="T120" s="4">
        <v>64.596859175010636</v>
      </c>
      <c r="U120" s="4">
        <v>59.478858612086505</v>
      </c>
    </row>
    <row r="121" spans="1:21" ht="15" x14ac:dyDescent="0.25">
      <c r="A121" t="s">
        <v>317</v>
      </c>
      <c r="B121" t="s">
        <v>318</v>
      </c>
      <c r="C121" s="11">
        <v>53.03355690479534</v>
      </c>
      <c r="D121" s="11">
        <v>136</v>
      </c>
      <c r="E121" s="4">
        <v>11.039944903581263</v>
      </c>
      <c r="F121" s="4">
        <v>45.094267423389724</v>
      </c>
      <c r="G121" s="4">
        <v>31.156779595024823</v>
      </c>
      <c r="H121" s="4">
        <v>41.59433441911677</v>
      </c>
      <c r="I121" s="4">
        <v>60.031787776583542</v>
      </c>
      <c r="J121" s="4">
        <v>41.109769000547736</v>
      </c>
      <c r="K121" s="4">
        <v>37.985097099746504</v>
      </c>
      <c r="L121" s="4">
        <v>53.356145767194903</v>
      </c>
      <c r="M121" s="4">
        <v>11.859647652122554</v>
      </c>
      <c r="N121" s="4">
        <v>49.201133889211732</v>
      </c>
      <c r="O121" s="4">
        <v>68.20918600972746</v>
      </c>
      <c r="P121" s="4">
        <v>98.737226397581779</v>
      </c>
      <c r="Q121" s="4">
        <v>92.154219941575803</v>
      </c>
      <c r="R121" s="4">
        <v>73.967021617293383</v>
      </c>
      <c r="S121" s="4">
        <v>66.646705140132667</v>
      </c>
      <c r="T121" s="4">
        <v>52.633922077453775</v>
      </c>
      <c r="U121" s="4">
        <v>66.793278671236308</v>
      </c>
    </row>
    <row r="122" spans="1:21" ht="15" x14ac:dyDescent="0.25">
      <c r="A122" t="s">
        <v>285</v>
      </c>
      <c r="B122" t="s">
        <v>286</v>
      </c>
      <c r="C122" s="11">
        <v>53.329439294053032</v>
      </c>
      <c r="D122" s="11">
        <v>134</v>
      </c>
      <c r="E122" s="4">
        <v>80.914560432212681</v>
      </c>
      <c r="F122" s="4">
        <v>36.365229049802991</v>
      </c>
      <c r="G122" s="4">
        <v>47.174258361336634</v>
      </c>
      <c r="H122" s="4">
        <v>29.370944407450995</v>
      </c>
      <c r="I122" s="4">
        <v>30.839198328244969</v>
      </c>
      <c r="J122" s="4">
        <v>54.301470927247706</v>
      </c>
      <c r="K122" s="4">
        <v>40.640143403826869</v>
      </c>
      <c r="L122" s="4">
        <v>45.59782053738116</v>
      </c>
      <c r="M122" s="4">
        <v>13.565721432859423</v>
      </c>
      <c r="N122" s="4">
        <v>86.165197802261574</v>
      </c>
      <c r="O122" s="4">
        <v>37.237091238472637</v>
      </c>
      <c r="P122" s="4">
        <v>93.71952045616365</v>
      </c>
      <c r="Q122" s="4">
        <v>73.215767976316329</v>
      </c>
      <c r="R122" s="4">
        <v>62.455193186888536</v>
      </c>
      <c r="S122" s="4">
        <v>65.847292428888693</v>
      </c>
      <c r="T122" s="4">
        <v>44.877708329546778</v>
      </c>
      <c r="U122" s="4">
        <v>64.313349700000003</v>
      </c>
    </row>
    <row r="123" spans="1:21" ht="15" x14ac:dyDescent="0.25">
      <c r="A123" t="s">
        <v>205</v>
      </c>
      <c r="B123" t="s">
        <v>206</v>
      </c>
      <c r="C123" s="11">
        <v>63.589158574407733</v>
      </c>
      <c r="D123" s="11">
        <v>105</v>
      </c>
      <c r="E123" s="4">
        <v>98.590414292973861</v>
      </c>
      <c r="F123" s="4">
        <v>46.034813964213697</v>
      </c>
      <c r="G123" s="4">
        <v>79.117430954679875</v>
      </c>
      <c r="H123" s="4">
        <v>89.401985680452128</v>
      </c>
      <c r="I123" s="4">
        <v>48.933011193958663</v>
      </c>
      <c r="J123" s="4">
        <v>57.03992786675542</v>
      </c>
      <c r="K123" s="4">
        <v>89.442289276700478</v>
      </c>
      <c r="L123" s="4">
        <v>75.104602874917106</v>
      </c>
      <c r="M123" s="4">
        <v>27.503429868964389</v>
      </c>
      <c r="N123" s="4">
        <v>39.162267765528718</v>
      </c>
      <c r="O123" s="4">
        <v>90.795291139835498</v>
      </c>
      <c r="P123" s="4">
        <v>61.350080199286218</v>
      </c>
      <c r="Q123" s="4">
        <v>67.953809288167719</v>
      </c>
      <c r="R123" s="4">
        <v>54.10969641735548</v>
      </c>
      <c r="S123" s="4">
        <v>23.497405638957176</v>
      </c>
      <c r="T123" s="4">
        <v>69.509321331833988</v>
      </c>
      <c r="U123" s="4">
        <v>63.469918010350966</v>
      </c>
    </row>
    <row r="124" spans="1:21" ht="15" x14ac:dyDescent="0.25">
      <c r="A124" t="s">
        <v>289</v>
      </c>
      <c r="B124" t="s">
        <v>290</v>
      </c>
      <c r="C124" s="11">
        <v>51.381143152093152</v>
      </c>
      <c r="D124" s="11">
        <v>146</v>
      </c>
      <c r="E124" s="4">
        <v>3.2300275482093652</v>
      </c>
      <c r="F124" s="4">
        <v>53.744796864730439</v>
      </c>
      <c r="G124" s="4">
        <v>43.639261959748083</v>
      </c>
      <c r="H124" s="4">
        <v>48.443661992261688</v>
      </c>
      <c r="I124" s="4">
        <v>62.18627876858757</v>
      </c>
      <c r="J124" s="4">
        <v>56.486989629215273</v>
      </c>
      <c r="K124" s="4">
        <v>1.3002065512673717</v>
      </c>
      <c r="L124" s="4">
        <v>62.80816271684705</v>
      </c>
      <c r="M124" s="4">
        <v>8.7412709526787058</v>
      </c>
      <c r="N124" s="4">
        <v>43.60822858944745</v>
      </c>
      <c r="O124" s="4">
        <v>63.949180747001321</v>
      </c>
      <c r="P124" s="4">
        <v>97.5217547518982</v>
      </c>
      <c r="Q124" s="4">
        <v>89.349635354322587</v>
      </c>
      <c r="R124" s="4"/>
      <c r="S124" s="4">
        <v>66.943713339697211</v>
      </c>
      <c r="T124" s="4">
        <v>55.805168688066324</v>
      </c>
      <c r="U124" s="4">
        <v>61.210511258022109</v>
      </c>
    </row>
    <row r="125" spans="1:21" ht="15" x14ac:dyDescent="0.25">
      <c r="A125" t="s">
        <v>175</v>
      </c>
      <c r="B125" t="s">
        <v>176</v>
      </c>
      <c r="C125" s="11">
        <v>69.557890555518384</v>
      </c>
      <c r="D125" s="11">
        <v>68</v>
      </c>
      <c r="E125" s="4">
        <v>99.980582524271853</v>
      </c>
      <c r="F125" s="4">
        <v>45.243686578678428</v>
      </c>
      <c r="G125" s="4">
        <v>79.039284944919146</v>
      </c>
      <c r="H125" s="4">
        <v>91.353762597233029</v>
      </c>
      <c r="I125" s="4">
        <v>55.560073159703386</v>
      </c>
      <c r="J125" s="4">
        <v>76.306868218755412</v>
      </c>
      <c r="K125" s="4">
        <v>89.963000127450456</v>
      </c>
      <c r="L125" s="4">
        <v>80.433319257317606</v>
      </c>
      <c r="M125" s="4">
        <v>56.823754303396242</v>
      </c>
      <c r="N125" s="4">
        <v>42.506356978080639</v>
      </c>
      <c r="O125" s="4">
        <v>82.616451210541513</v>
      </c>
      <c r="P125" s="4">
        <v>77.132579310685216</v>
      </c>
      <c r="Q125" s="4">
        <v>87.750799101530816</v>
      </c>
      <c r="R125" s="4">
        <v>49.21420717532208</v>
      </c>
      <c r="S125" s="4">
        <v>42.997356109696909</v>
      </c>
      <c r="T125" s="4">
        <v>68.481530798362982</v>
      </c>
      <c r="U125" s="4">
        <v>57.080527047867086</v>
      </c>
    </row>
    <row r="126" spans="1:21" ht="15" x14ac:dyDescent="0.25">
      <c r="A126" t="s">
        <v>237</v>
      </c>
      <c r="B126" t="s">
        <v>238</v>
      </c>
      <c r="C126" s="11">
        <v>59.86720464887587</v>
      </c>
      <c r="D126" s="11">
        <v>119</v>
      </c>
      <c r="E126" s="4">
        <v>55.14042900318276</v>
      </c>
      <c r="F126" s="4">
        <v>39.811801158323952</v>
      </c>
      <c r="G126" s="4">
        <v>49.789438075194028</v>
      </c>
      <c r="H126" s="4">
        <v>82.167908243913232</v>
      </c>
      <c r="I126" s="4">
        <v>87.307180258217556</v>
      </c>
      <c r="J126" s="4">
        <v>58.997681724553942</v>
      </c>
      <c r="K126" s="4">
        <v>48.496598579232739</v>
      </c>
      <c r="L126" s="4">
        <v>64.628143516368738</v>
      </c>
      <c r="M126" s="4">
        <v>23.646365204663415</v>
      </c>
      <c r="N126" s="4">
        <v>0</v>
      </c>
      <c r="O126" s="4">
        <v>76.785589831231519</v>
      </c>
      <c r="P126" s="4">
        <v>79.429260919100855</v>
      </c>
      <c r="Q126" s="4">
        <v>61.122826058428686</v>
      </c>
      <c r="R126" s="4">
        <v>60.52091119936253</v>
      </c>
      <c r="S126" s="4">
        <v>85.519218597624473</v>
      </c>
      <c r="T126" s="4">
        <v>69.6108442539132</v>
      </c>
      <c r="U126" s="4">
        <v>74.768282407577985</v>
      </c>
    </row>
    <row r="127" spans="1:21" ht="15" x14ac:dyDescent="0.25">
      <c r="A127" t="s">
        <v>341</v>
      </c>
      <c r="B127" t="s">
        <v>342</v>
      </c>
      <c r="C127" s="11">
        <v>49.448012073583577</v>
      </c>
      <c r="D127" s="11">
        <v>154</v>
      </c>
      <c r="E127" s="4">
        <v>5.5922865013774041</v>
      </c>
      <c r="F127" s="4">
        <v>42.931227993820606</v>
      </c>
      <c r="G127" s="4">
        <v>39.094721050446857</v>
      </c>
      <c r="H127" s="4">
        <v>8.4150873543800433</v>
      </c>
      <c r="I127" s="4">
        <v>40.234661755267432</v>
      </c>
      <c r="J127" s="4">
        <v>40.412730854929677</v>
      </c>
      <c r="K127" s="4">
        <v>13.470442535644622</v>
      </c>
      <c r="L127" s="4">
        <v>64.189952725584376</v>
      </c>
      <c r="M127" s="4">
        <v>3.2166697385955181</v>
      </c>
      <c r="N127" s="4">
        <v>81.757291605774782</v>
      </c>
      <c r="O127" s="4">
        <v>55.901905994361357</v>
      </c>
      <c r="P127" s="4">
        <v>91.155518995940085</v>
      </c>
      <c r="Q127" s="4">
        <v>95.12758247231892</v>
      </c>
      <c r="R127" s="4"/>
      <c r="S127" s="4">
        <v>73.749860384132646</v>
      </c>
      <c r="T127" s="4">
        <v>55.869819314763532</v>
      </c>
      <c r="U127" s="4">
        <v>74.985862099999991</v>
      </c>
    </row>
    <row r="128" spans="1:21" ht="15" x14ac:dyDescent="0.25">
      <c r="A128" t="s">
        <v>311</v>
      </c>
      <c r="B128" t="s">
        <v>312</v>
      </c>
      <c r="C128" s="11">
        <v>46.405791749960798</v>
      </c>
      <c r="D128" s="11">
        <v>159</v>
      </c>
      <c r="E128" s="4">
        <v>17.148760330578508</v>
      </c>
      <c r="F128" s="4">
        <v>48.014625277601851</v>
      </c>
      <c r="G128" s="4">
        <v>28.040012521695811</v>
      </c>
      <c r="H128" s="4">
        <v>32.128384690389233</v>
      </c>
      <c r="I128" s="4">
        <v>36.50498826843603</v>
      </c>
      <c r="J128" s="4">
        <v>53.521653912463179</v>
      </c>
      <c r="K128" s="4">
        <v>37.074479425964718</v>
      </c>
      <c r="L128" s="4">
        <v>64.707157004877203</v>
      </c>
      <c r="M128" s="4">
        <v>18.383456764844201</v>
      </c>
      <c r="N128" s="4">
        <v>9.0562471201722055</v>
      </c>
      <c r="O128" s="4">
        <v>32.641457130491325</v>
      </c>
      <c r="P128" s="4">
        <v>94.837284728581565</v>
      </c>
      <c r="Q128" s="4">
        <v>96.137889140562109</v>
      </c>
      <c r="R128" s="4">
        <v>51.433329683857146</v>
      </c>
      <c r="S128" s="4">
        <v>76.323667918013101</v>
      </c>
      <c r="T128" s="4">
        <v>42.945065830805447</v>
      </c>
      <c r="U128" s="4">
        <v>50</v>
      </c>
    </row>
    <row r="129" spans="1:21" ht="15" x14ac:dyDescent="0.25">
      <c r="A129" t="s">
        <v>227</v>
      </c>
      <c r="B129" t="s">
        <v>228</v>
      </c>
      <c r="C129" s="11">
        <v>67.943408643478023</v>
      </c>
      <c r="D129" s="11">
        <v>82</v>
      </c>
      <c r="E129" s="4">
        <v>85.063494610714372</v>
      </c>
      <c r="F129" s="4">
        <v>45.753830265879444</v>
      </c>
      <c r="G129" s="4">
        <v>76.790152367668227</v>
      </c>
      <c r="H129" s="4">
        <v>76.505842414839918</v>
      </c>
      <c r="I129" s="4">
        <v>82.05185606782743</v>
      </c>
      <c r="J129" s="4">
        <v>66.813436394094268</v>
      </c>
      <c r="K129" s="4">
        <v>70.574495962134804</v>
      </c>
      <c r="L129" s="4">
        <v>72.333700555055842</v>
      </c>
      <c r="M129" s="4">
        <v>14.656672809119803</v>
      </c>
      <c r="N129" s="4">
        <v>46.413768848902741</v>
      </c>
      <c r="O129" s="4">
        <v>77.483571378369234</v>
      </c>
      <c r="P129" s="4">
        <v>90.24627072239339</v>
      </c>
      <c r="Q129" s="4">
        <v>94.92707067245891</v>
      </c>
      <c r="R129" s="4">
        <v>59.173108170645023</v>
      </c>
      <c r="S129" s="4">
        <v>73.778811172549695</v>
      </c>
      <c r="T129" s="4">
        <v>61.50903132861751</v>
      </c>
      <c r="U129" s="4">
        <v>60.962833197855893</v>
      </c>
    </row>
    <row r="130" spans="1:21" ht="15" x14ac:dyDescent="0.25">
      <c r="A130" t="s">
        <v>59</v>
      </c>
      <c r="B130" t="s">
        <v>60</v>
      </c>
      <c r="C130" s="11">
        <v>80.378564185555263</v>
      </c>
      <c r="D130" s="11">
        <v>9</v>
      </c>
      <c r="E130" s="4">
        <v>99.6126534542245</v>
      </c>
      <c r="F130" s="4">
        <v>65.41403886724278</v>
      </c>
      <c r="G130" s="4">
        <v>96.434172857759464</v>
      </c>
      <c r="H130" s="4">
        <v>94.211103896103893</v>
      </c>
      <c r="I130" s="4">
        <v>81.549350387356739</v>
      </c>
      <c r="J130" s="4">
        <v>92.653262156731216</v>
      </c>
      <c r="K130" s="4">
        <v>91.553301880214278</v>
      </c>
      <c r="L130" s="4">
        <v>83.054825013156872</v>
      </c>
      <c r="M130" s="4">
        <v>82.344382055551321</v>
      </c>
      <c r="N130" s="4">
        <v>94.57258405819745</v>
      </c>
      <c r="O130" s="4">
        <v>91.067732427540719</v>
      </c>
      <c r="P130" s="4">
        <v>44.048788743519545</v>
      </c>
      <c r="Q130" s="4">
        <v>88.280693231338347</v>
      </c>
      <c r="R130" s="4">
        <v>41.210042246050001</v>
      </c>
      <c r="S130" s="4">
        <v>83.202236692531983</v>
      </c>
      <c r="T130" s="4">
        <v>83.540238001734608</v>
      </c>
      <c r="U130" s="4">
        <v>53.686185185185188</v>
      </c>
    </row>
    <row r="131" spans="1:21" ht="15" x14ac:dyDescent="0.25">
      <c r="A131" t="s">
        <v>33</v>
      </c>
      <c r="B131" t="s">
        <v>34</v>
      </c>
      <c r="C131" s="11">
        <v>80.660824396521122</v>
      </c>
      <c r="D131" s="11">
        <v>8</v>
      </c>
      <c r="E131" s="4">
        <v>99.479887132579108</v>
      </c>
      <c r="F131" s="4">
        <v>57.031953681165952</v>
      </c>
      <c r="G131" s="4">
        <v>97.892753783631207</v>
      </c>
      <c r="H131" s="4">
        <v>99.867792207792206</v>
      </c>
      <c r="I131" s="4">
        <v>87.717651217399606</v>
      </c>
      <c r="J131" s="4">
        <v>87.454439671226709</v>
      </c>
      <c r="K131" s="4">
        <v>98.56283633717851</v>
      </c>
      <c r="L131" s="4">
        <v>78.478589865298716</v>
      </c>
      <c r="M131" s="4">
        <v>79.962894021437265</v>
      </c>
      <c r="N131" s="4">
        <v>100</v>
      </c>
      <c r="O131" s="4">
        <v>86.09720969236669</v>
      </c>
      <c r="P131" s="4">
        <v>30.500201679223562</v>
      </c>
      <c r="Q131" s="4">
        <v>54.354320980808183</v>
      </c>
      <c r="R131" s="4">
        <v>66.174818485568153</v>
      </c>
      <c r="S131" s="4">
        <v>63.151750116982349</v>
      </c>
      <c r="T131" s="4">
        <v>84.941101053385992</v>
      </c>
      <c r="U131" s="4">
        <v>99.565814814814814</v>
      </c>
    </row>
    <row r="132" spans="1:21" ht="15" x14ac:dyDescent="0.25">
      <c r="A132" t="s">
        <v>217</v>
      </c>
      <c r="B132" t="s">
        <v>218</v>
      </c>
      <c r="C132" s="11">
        <v>63.934703982277625</v>
      </c>
      <c r="D132" s="11">
        <v>103</v>
      </c>
      <c r="E132" s="4">
        <v>62.314410655540399</v>
      </c>
      <c r="F132" s="4">
        <v>55.076146512843934</v>
      </c>
      <c r="G132" s="4">
        <v>58.667141347822223</v>
      </c>
      <c r="H132" s="4">
        <v>82.579057278191513</v>
      </c>
      <c r="I132" s="4">
        <v>57.903436022555383</v>
      </c>
      <c r="J132" s="4">
        <v>62.920051486513934</v>
      </c>
      <c r="K132" s="4">
        <v>62.691459570373773</v>
      </c>
      <c r="L132" s="4">
        <v>72.576104488928848</v>
      </c>
      <c r="M132" s="4">
        <v>20.242973513470897</v>
      </c>
      <c r="N132" s="4">
        <v>83.177502390364523</v>
      </c>
      <c r="O132" s="4">
        <v>45.3941488731733</v>
      </c>
      <c r="P132" s="4">
        <v>98.238942646672328</v>
      </c>
      <c r="Q132" s="4">
        <v>97.963852752516345</v>
      </c>
      <c r="R132" s="4"/>
      <c r="S132" s="4">
        <v>68.771355764061084</v>
      </c>
      <c r="T132" s="4">
        <v>53.33074303068431</v>
      </c>
      <c r="U132" s="4">
        <v>58.676620837894433</v>
      </c>
    </row>
    <row r="133" spans="1:21" ht="15" x14ac:dyDescent="0.25">
      <c r="A133" t="s">
        <v>383</v>
      </c>
      <c r="B133" t="s">
        <v>384</v>
      </c>
      <c r="C133" s="11"/>
      <c r="D133" s="11"/>
      <c r="E133" s="4"/>
      <c r="F133" s="4"/>
      <c r="G133" s="4"/>
      <c r="H133" s="4"/>
      <c r="I133" s="4"/>
      <c r="J133" s="4"/>
      <c r="K133" s="4"/>
      <c r="L133" s="4"/>
      <c r="M133" s="4"/>
      <c r="N133" s="4"/>
      <c r="O133" s="4"/>
      <c r="P133" s="4"/>
      <c r="Q133" s="4"/>
      <c r="R133" s="4"/>
      <c r="S133" s="4"/>
      <c r="T133" s="4"/>
      <c r="U133" s="4"/>
    </row>
    <row r="134" spans="1:21" ht="15" x14ac:dyDescent="0.25">
      <c r="A134" t="s">
        <v>73</v>
      </c>
      <c r="B134" t="s">
        <v>74</v>
      </c>
      <c r="C134" s="11">
        <v>79.498484385834075</v>
      </c>
      <c r="D134" s="11">
        <v>11</v>
      </c>
      <c r="E134" s="4">
        <v>99.973695471930242</v>
      </c>
      <c r="F134" s="4">
        <v>63.081356913662702</v>
      </c>
      <c r="G134" s="4">
        <v>94.637805774870543</v>
      </c>
      <c r="H134" s="4">
        <v>98.09562770562772</v>
      </c>
      <c r="I134" s="4">
        <v>84.706473158186867</v>
      </c>
      <c r="J134" s="4">
        <v>90.734298740777106</v>
      </c>
      <c r="K134" s="4">
        <v>95.876871920983191</v>
      </c>
      <c r="L134" s="4">
        <v>88.146059107149242</v>
      </c>
      <c r="M134" s="4">
        <v>73.881888414179784</v>
      </c>
      <c r="N134" s="4"/>
      <c r="O134" s="4">
        <v>83.039200234652398</v>
      </c>
      <c r="P134" s="4">
        <v>51.51806097485504</v>
      </c>
      <c r="Q134" s="4">
        <v>91.532351035939385</v>
      </c>
      <c r="R134" s="4">
        <v>57.012007981037186</v>
      </c>
      <c r="S134" s="4">
        <v>47.064250361734011</v>
      </c>
      <c r="T134" s="4">
        <v>92.60992495473117</v>
      </c>
      <c r="U134" s="4">
        <v>64.905925925925928</v>
      </c>
    </row>
    <row r="135" spans="1:21" ht="15" x14ac:dyDescent="0.25">
      <c r="A135" t="s">
        <v>199</v>
      </c>
      <c r="B135" t="s">
        <v>200</v>
      </c>
      <c r="C135" s="11">
        <v>67.855285199563681</v>
      </c>
      <c r="D135" s="11">
        <v>83</v>
      </c>
      <c r="E135" s="4"/>
      <c r="F135" s="4">
        <v>49.961248654576998</v>
      </c>
      <c r="G135" s="4">
        <v>83.906487861132476</v>
      </c>
      <c r="H135" s="4">
        <v>94.812002799684834</v>
      </c>
      <c r="I135" s="4">
        <v>35.762451732734704</v>
      </c>
      <c r="J135" s="4">
        <v>37.914194080386466</v>
      </c>
      <c r="K135" s="4">
        <v>86.698359381909498</v>
      </c>
      <c r="L135" s="4">
        <v>71.262971851190017</v>
      </c>
      <c r="M135" s="4">
        <v>44.913463583500352</v>
      </c>
      <c r="N135" s="4"/>
      <c r="O135" s="4">
        <v>77.475998073803225</v>
      </c>
      <c r="P135" s="4">
        <v>69.817641100515985</v>
      </c>
      <c r="Q135" s="4">
        <v>71.060191307196888</v>
      </c>
      <c r="R135" s="4">
        <v>65.092755226913582</v>
      </c>
      <c r="S135" s="4">
        <v>51.674856169932447</v>
      </c>
      <c r="T135" s="4">
        <v>74.917204328365457</v>
      </c>
      <c r="U135" s="4">
        <v>74.714449866666669</v>
      </c>
    </row>
    <row r="136" spans="1:21" ht="15" x14ac:dyDescent="0.25">
      <c r="A136" t="s">
        <v>275</v>
      </c>
      <c r="B136" t="s">
        <v>276</v>
      </c>
      <c r="C136" s="11">
        <v>55.566034091191867</v>
      </c>
      <c r="D136" s="11">
        <v>130</v>
      </c>
      <c r="E136" s="4">
        <v>77.864692824092643</v>
      </c>
      <c r="F136" s="4">
        <v>34.351446793964257</v>
      </c>
      <c r="G136" s="4">
        <v>50.193042824086852</v>
      </c>
      <c r="H136" s="4">
        <v>47.493486089049917</v>
      </c>
      <c r="I136" s="4">
        <v>28.869081933623384</v>
      </c>
      <c r="J136" s="4">
        <v>46.325932506755592</v>
      </c>
      <c r="K136" s="4">
        <v>72.372316006827219</v>
      </c>
      <c r="L136" s="4">
        <v>65.728017170236697</v>
      </c>
      <c r="M136" s="4">
        <v>14.991035794286015</v>
      </c>
      <c r="N136" s="4">
        <v>57.962588525154224</v>
      </c>
      <c r="O136" s="4">
        <v>50.571897970336806</v>
      </c>
      <c r="P136" s="4">
        <v>92.103302770959985</v>
      </c>
      <c r="Q136" s="4">
        <v>98.730610429398638</v>
      </c>
      <c r="R136" s="4">
        <v>47.610872374028354</v>
      </c>
      <c r="S136" s="4">
        <v>66.981085788058664</v>
      </c>
      <c r="T136" s="4">
        <v>49.128125016055499</v>
      </c>
      <c r="U136" s="4">
        <v>43.345044733347045</v>
      </c>
    </row>
    <row r="137" spans="1:21" ht="15" x14ac:dyDescent="0.25">
      <c r="A137" t="s">
        <v>213</v>
      </c>
      <c r="B137" t="s">
        <v>214</v>
      </c>
      <c r="C137" s="11">
        <v>66.306559572046211</v>
      </c>
      <c r="D137" s="11">
        <v>90</v>
      </c>
      <c r="E137" s="4">
        <v>93.526986546845336</v>
      </c>
      <c r="F137" s="4">
        <v>49.593821181671558</v>
      </c>
      <c r="G137" s="4">
        <v>78.8848583014193</v>
      </c>
      <c r="H137" s="4">
        <v>78.832449810549861</v>
      </c>
      <c r="I137" s="4">
        <v>65.325777812583723</v>
      </c>
      <c r="J137" s="4">
        <v>71.814894183440131</v>
      </c>
      <c r="K137" s="4">
        <v>87.82434077442889</v>
      </c>
      <c r="L137" s="4">
        <v>77.378944127092382</v>
      </c>
      <c r="M137" s="4">
        <v>29.333804795582381</v>
      </c>
      <c r="N137" s="4">
        <v>25.352643912946675</v>
      </c>
      <c r="O137" s="4">
        <v>88.655073313070659</v>
      </c>
      <c r="P137" s="4">
        <v>80.20135604629489</v>
      </c>
      <c r="Q137" s="4">
        <v>90.240604054252728</v>
      </c>
      <c r="R137" s="4">
        <v>55.417227801952478</v>
      </c>
      <c r="S137" s="4">
        <v>57.206117615466979</v>
      </c>
      <c r="T137" s="4">
        <v>64.729088547187473</v>
      </c>
      <c r="U137" s="4">
        <v>32.893523900000005</v>
      </c>
    </row>
    <row r="138" spans="1:21" ht="15" x14ac:dyDescent="0.25">
      <c r="A138" t="s">
        <v>149</v>
      </c>
      <c r="B138" t="s">
        <v>150</v>
      </c>
      <c r="C138" s="11">
        <v>71.185725324021902</v>
      </c>
      <c r="D138" s="11">
        <v>51</v>
      </c>
      <c r="E138" s="4">
        <v>89.864492230335117</v>
      </c>
      <c r="F138" s="4">
        <v>61.288933856778996</v>
      </c>
      <c r="G138" s="4">
        <v>77.96195045614671</v>
      </c>
      <c r="H138" s="4">
        <v>91.600103783967484</v>
      </c>
      <c r="I138" s="4">
        <v>68.138357800780511</v>
      </c>
      <c r="J138" s="4">
        <v>76.931762339393728</v>
      </c>
      <c r="K138" s="4">
        <v>83.716913699059077</v>
      </c>
      <c r="L138" s="4">
        <v>75.60585152286896</v>
      </c>
      <c r="M138" s="4">
        <v>32.891385247375652</v>
      </c>
      <c r="N138" s="4">
        <v>41.830331171062632</v>
      </c>
      <c r="O138" s="4">
        <v>73.094508639833322</v>
      </c>
      <c r="P138" s="4">
        <v>78.769061251976311</v>
      </c>
      <c r="Q138" s="4">
        <v>93.054083862757707</v>
      </c>
      <c r="R138" s="4">
        <v>78.759659666408538</v>
      </c>
      <c r="S138" s="4">
        <v>71.314810227532519</v>
      </c>
      <c r="T138" s="4">
        <v>58.198219133373385</v>
      </c>
      <c r="U138" s="4">
        <v>57.136905618721613</v>
      </c>
    </row>
    <row r="139" spans="1:21" ht="15" x14ac:dyDescent="0.25">
      <c r="A139" t="s">
        <v>215</v>
      </c>
      <c r="B139" t="s">
        <v>216</v>
      </c>
      <c r="C139" s="11">
        <v>64.936388939171209</v>
      </c>
      <c r="D139" s="11">
        <v>97</v>
      </c>
      <c r="E139" s="4">
        <v>74.366083607478132</v>
      </c>
      <c r="F139" s="4">
        <v>53.097067169870421</v>
      </c>
      <c r="G139" s="4">
        <v>58.889126067631025</v>
      </c>
      <c r="H139" s="4">
        <v>89.391341094250834</v>
      </c>
      <c r="I139" s="4">
        <v>64.054370703990614</v>
      </c>
      <c r="J139" s="4">
        <v>67.6219934122919</v>
      </c>
      <c r="K139" s="4">
        <v>69.915977398663401</v>
      </c>
      <c r="L139" s="4">
        <v>72.507355443637067</v>
      </c>
      <c r="M139" s="4">
        <v>33.670331032543508</v>
      </c>
      <c r="N139" s="4">
        <v>35.291223123039998</v>
      </c>
      <c r="O139" s="4">
        <v>72.596541634107908</v>
      </c>
      <c r="P139" s="4">
        <v>94.203633551868037</v>
      </c>
      <c r="Q139" s="4">
        <v>94.364058565060731</v>
      </c>
      <c r="R139" s="4">
        <v>62.192026395750972</v>
      </c>
      <c r="S139" s="4">
        <v>55.430032617698203</v>
      </c>
      <c r="T139" s="4">
        <v>57.865770100103731</v>
      </c>
      <c r="U139" s="4">
        <v>48.461680047924062</v>
      </c>
    </row>
    <row r="140" spans="1:21" ht="15" x14ac:dyDescent="0.25">
      <c r="A140" t="s">
        <v>385</v>
      </c>
      <c r="B140" t="s">
        <v>386</v>
      </c>
      <c r="C140" s="11"/>
      <c r="D140" s="11"/>
      <c r="E140" s="4"/>
      <c r="F140" s="4"/>
      <c r="G140" s="4"/>
      <c r="H140" s="4"/>
      <c r="I140" s="4"/>
      <c r="J140" s="4"/>
      <c r="K140" s="4"/>
      <c r="L140" s="4"/>
      <c r="M140" s="4"/>
      <c r="N140" s="4"/>
      <c r="O140" s="4"/>
      <c r="P140" s="4"/>
      <c r="Q140" s="4"/>
      <c r="R140" s="4"/>
      <c r="S140" s="4"/>
      <c r="T140" s="4"/>
      <c r="U140" s="4"/>
    </row>
    <row r="141" spans="1:21" ht="15" x14ac:dyDescent="0.25">
      <c r="A141" t="s">
        <v>315</v>
      </c>
      <c r="B141" t="s">
        <v>316</v>
      </c>
      <c r="C141" s="11">
        <v>51.615213771093018</v>
      </c>
      <c r="D141" s="11">
        <v>143</v>
      </c>
      <c r="E141" s="4">
        <v>29.249311294765839</v>
      </c>
      <c r="F141" s="4">
        <v>27.602561934206662</v>
      </c>
      <c r="G141" s="4">
        <v>46.318969237452421</v>
      </c>
      <c r="H141" s="4">
        <v>48.281101553442305</v>
      </c>
      <c r="I141" s="4">
        <v>44.029886327582986</v>
      </c>
      <c r="J141" s="4">
        <v>27.465163400933555</v>
      </c>
      <c r="K141" s="4">
        <v>13.440078033579487</v>
      </c>
      <c r="L141" s="4">
        <v>76.894977532664655</v>
      </c>
      <c r="M141" s="4">
        <v>4.5597857209256851</v>
      </c>
      <c r="N141" s="4">
        <v>59.436619718309856</v>
      </c>
      <c r="O141" s="4">
        <v>80.783953489217041</v>
      </c>
      <c r="P141" s="4">
        <v>97.571952320984337</v>
      </c>
      <c r="Q141" s="4">
        <v>86.492030250954315</v>
      </c>
      <c r="R141" s="4">
        <v>47.725216155161071</v>
      </c>
      <c r="S141" s="4">
        <v>62.340062479845059</v>
      </c>
      <c r="T141" s="4">
        <v>66.266186560801685</v>
      </c>
      <c r="U141" s="4">
        <v>59.000778097754541</v>
      </c>
    </row>
    <row r="142" spans="1:21" ht="15" x14ac:dyDescent="0.25">
      <c r="A142" t="s">
        <v>37</v>
      </c>
      <c r="B142" t="s">
        <v>38</v>
      </c>
      <c r="C142" s="11">
        <v>75.928088942651129</v>
      </c>
      <c r="D142" s="11">
        <v>29</v>
      </c>
      <c r="E142" s="4">
        <v>99.908555992404189</v>
      </c>
      <c r="F142" s="4">
        <v>61.231575600904378</v>
      </c>
      <c r="G142" s="4">
        <v>87.564322678121471</v>
      </c>
      <c r="H142" s="4">
        <v>94.393606695274926</v>
      </c>
      <c r="I142" s="4">
        <v>71.115376510241376</v>
      </c>
      <c r="J142" s="4">
        <v>81.952990262747548</v>
      </c>
      <c r="K142" s="4">
        <v>89.715725019566207</v>
      </c>
      <c r="L142" s="4">
        <v>84.395775162751306</v>
      </c>
      <c r="M142" s="4">
        <v>54.906350972509195</v>
      </c>
      <c r="N142" s="4">
        <v>53.713138338545676</v>
      </c>
      <c r="O142" s="4">
        <v>78.479336018151926</v>
      </c>
      <c r="P142" s="4">
        <v>73.683056822001333</v>
      </c>
      <c r="Q142" s="4">
        <v>89.157762523094945</v>
      </c>
      <c r="R142" s="4">
        <v>43.719898402355746</v>
      </c>
      <c r="S142" s="4">
        <v>92.00192854072472</v>
      </c>
      <c r="T142" s="4">
        <v>81.44044581900711</v>
      </c>
      <c r="U142" s="4">
        <v>53.397666666666659</v>
      </c>
    </row>
    <row r="143" spans="1:21" ht="15" x14ac:dyDescent="0.25">
      <c r="A143" t="s">
        <v>387</v>
      </c>
      <c r="B143" t="s">
        <v>388</v>
      </c>
      <c r="C143" s="11"/>
      <c r="D143" s="11"/>
      <c r="E143" s="4"/>
      <c r="F143" s="4"/>
      <c r="G143" s="4"/>
      <c r="H143" s="4"/>
      <c r="I143" s="4"/>
      <c r="J143" s="4"/>
      <c r="K143" s="4"/>
      <c r="L143" s="4"/>
      <c r="M143" s="4"/>
      <c r="N143" s="4"/>
      <c r="O143" s="4"/>
      <c r="P143" s="4"/>
      <c r="Q143" s="4"/>
      <c r="R143" s="4"/>
      <c r="S143" s="4"/>
      <c r="T143" s="4"/>
      <c r="U143" s="4"/>
    </row>
    <row r="144" spans="1:21" ht="15" x14ac:dyDescent="0.25">
      <c r="A144" t="s">
        <v>55</v>
      </c>
      <c r="B144" t="s">
        <v>56</v>
      </c>
      <c r="C144" s="11">
        <v>76.425953618360921</v>
      </c>
      <c r="D144" s="11">
        <v>26</v>
      </c>
      <c r="E144" s="4">
        <v>98.737716975581066</v>
      </c>
      <c r="F144" s="4">
        <v>56.02519123772182</v>
      </c>
      <c r="G144" s="4">
        <v>92.13605211812876</v>
      </c>
      <c r="H144" s="4">
        <v>95.466968670016115</v>
      </c>
      <c r="I144" s="4">
        <v>80.709400850110768</v>
      </c>
      <c r="J144" s="4">
        <v>87.025645975959861</v>
      </c>
      <c r="K144" s="4">
        <v>94.599107335728363</v>
      </c>
      <c r="L144" s="4">
        <v>82.346740541799747</v>
      </c>
      <c r="M144" s="4">
        <v>56.134422356599565</v>
      </c>
      <c r="N144" s="4">
        <v>57.347292295643982</v>
      </c>
      <c r="O144" s="4">
        <v>84.415862634120884</v>
      </c>
      <c r="P144" s="4">
        <v>54.825606986912085</v>
      </c>
      <c r="Q144" s="4">
        <v>91.523949978283127</v>
      </c>
      <c r="R144" s="4">
        <v>51.782209009915576</v>
      </c>
      <c r="S144" s="4">
        <v>73.3780007118675</v>
      </c>
      <c r="T144" s="4">
        <v>84.130191981894612</v>
      </c>
      <c r="U144" s="4">
        <v>58.656851851851854</v>
      </c>
    </row>
    <row r="145" spans="1:21" ht="15" x14ac:dyDescent="0.25">
      <c r="A145" t="s">
        <v>195</v>
      </c>
      <c r="B145" t="s">
        <v>196</v>
      </c>
      <c r="C145" s="11">
        <v>67.518446793134117</v>
      </c>
      <c r="D145" s="11">
        <v>86</v>
      </c>
      <c r="E145" s="4">
        <v>94.875979566182565</v>
      </c>
      <c r="F145" s="4">
        <v>66.866301955004602</v>
      </c>
      <c r="G145" s="4">
        <v>73.871267896437033</v>
      </c>
      <c r="H145" s="4">
        <v>76.214067620429731</v>
      </c>
      <c r="I145" s="4">
        <v>66.567939038302811</v>
      </c>
      <c r="J145" s="4">
        <v>77.487199981867633</v>
      </c>
      <c r="K145" s="4">
        <v>87.341761237537824</v>
      </c>
      <c r="L145" s="4">
        <v>77.692140705211997</v>
      </c>
      <c r="M145" s="4">
        <v>23.774964512924075</v>
      </c>
      <c r="N145" s="4">
        <v>42.401553543520649</v>
      </c>
      <c r="O145" s="4">
        <v>77.390576273218855</v>
      </c>
      <c r="P145" s="4">
        <v>81.800632575499506</v>
      </c>
      <c r="Q145" s="4">
        <v>93.040562433602148</v>
      </c>
      <c r="R145" s="4"/>
      <c r="S145" s="4">
        <v>44.705045066744901</v>
      </c>
      <c r="T145" s="4">
        <v>48.443563187125534</v>
      </c>
      <c r="U145" s="4">
        <v>61.571017369528732</v>
      </c>
    </row>
    <row r="146" spans="1:21" ht="15" x14ac:dyDescent="0.25">
      <c r="A146" t="s">
        <v>219</v>
      </c>
      <c r="B146" t="s">
        <v>220</v>
      </c>
      <c r="C146" s="11">
        <v>66.279108915129299</v>
      </c>
      <c r="D146" s="11">
        <v>91</v>
      </c>
      <c r="E146" s="4"/>
      <c r="F146" s="4">
        <v>59.697277097304131</v>
      </c>
      <c r="G146" s="4">
        <v>87.674591732588709</v>
      </c>
      <c r="H146" s="4">
        <v>86.440407852142314</v>
      </c>
      <c r="I146" s="4">
        <v>57.594012175947341</v>
      </c>
      <c r="J146" s="4">
        <v>54</v>
      </c>
      <c r="K146" s="4">
        <v>88.244241894923334</v>
      </c>
      <c r="L146" s="4">
        <v>73.854562945064345</v>
      </c>
      <c r="M146" s="4">
        <v>56.945736718843278</v>
      </c>
      <c r="N146" s="4"/>
      <c r="O146" s="4">
        <v>35.504446486725541</v>
      </c>
      <c r="P146" s="4">
        <v>58.012630662752962</v>
      </c>
      <c r="Q146" s="4">
        <v>49.922692019726028</v>
      </c>
      <c r="R146" s="4">
        <v>45.456542675070025</v>
      </c>
      <c r="S146" s="4">
        <v>59.551690680612062</v>
      </c>
      <c r="T146" s="4">
        <v>81.26677727475824</v>
      </c>
      <c r="U146" s="4">
        <v>69.023668966666662</v>
      </c>
    </row>
    <row r="147" spans="1:21" ht="15" x14ac:dyDescent="0.25">
      <c r="A147" t="s">
        <v>89</v>
      </c>
      <c r="B147" t="s">
        <v>90</v>
      </c>
      <c r="C147" s="11">
        <v>72.730755238719397</v>
      </c>
      <c r="D147" s="11">
        <v>42</v>
      </c>
      <c r="E147" s="4">
        <v>98.831554735349968</v>
      </c>
      <c r="F147" s="4">
        <v>58.032681183307595</v>
      </c>
      <c r="G147" s="4">
        <v>80.63083019907944</v>
      </c>
      <c r="H147" s="4">
        <v>84.165100876898904</v>
      </c>
      <c r="I147" s="4">
        <v>64.473257120691756</v>
      </c>
      <c r="J147" s="4">
        <v>77.980159904073815</v>
      </c>
      <c r="K147" s="4">
        <v>88.96957007540901</v>
      </c>
      <c r="L147" s="4">
        <v>80.441503625087506</v>
      </c>
      <c r="M147" s="4">
        <v>41.341852761026082</v>
      </c>
      <c r="N147" s="4">
        <v>29.969208341249278</v>
      </c>
      <c r="O147" s="4">
        <v>81.253572973598423</v>
      </c>
      <c r="P147" s="4">
        <v>71.930190064177268</v>
      </c>
      <c r="Q147" s="4">
        <v>95.230795453067429</v>
      </c>
      <c r="R147" s="4">
        <v>53.295432642180458</v>
      </c>
      <c r="S147" s="4">
        <v>84.250024748279571</v>
      </c>
      <c r="T147" s="4">
        <v>76.099292717517585</v>
      </c>
      <c r="U147" s="4">
        <v>69.527811637235644</v>
      </c>
    </row>
    <row r="148" spans="1:21" ht="15" x14ac:dyDescent="0.25">
      <c r="A148" t="s">
        <v>117</v>
      </c>
      <c r="B148" t="s">
        <v>118</v>
      </c>
      <c r="C148" s="11">
        <v>70.940338615886176</v>
      </c>
      <c r="D148" s="11">
        <v>55</v>
      </c>
      <c r="E148" s="4">
        <v>99.951456310679617</v>
      </c>
      <c r="F148" s="4">
        <v>45.556526426995063</v>
      </c>
      <c r="G148" s="4">
        <v>78.057416620310022</v>
      </c>
      <c r="H148" s="4">
        <v>97.206164319637807</v>
      </c>
      <c r="I148" s="4">
        <v>67.186122451914684</v>
      </c>
      <c r="J148" s="4">
        <v>89.009460437667343</v>
      </c>
      <c r="K148" s="4">
        <v>91.18909295788994</v>
      </c>
      <c r="L148" s="4">
        <v>75.483093741678843</v>
      </c>
      <c r="M148" s="4">
        <v>50.07570948460485</v>
      </c>
      <c r="N148" s="4">
        <v>54.004059375171934</v>
      </c>
      <c r="O148" s="4">
        <v>82.32692799621168</v>
      </c>
      <c r="P148" s="4">
        <v>69.080848239597245</v>
      </c>
      <c r="Q148" s="4">
        <v>82.227334114709421</v>
      </c>
      <c r="R148" s="4">
        <v>42.48602644520868</v>
      </c>
      <c r="S148" s="4">
        <v>66.205834943371457</v>
      </c>
      <c r="T148" s="4">
        <v>50.578740573424838</v>
      </c>
      <c r="U148" s="4">
        <v>65.360942030991723</v>
      </c>
    </row>
    <row r="149" spans="1:21" ht="15" x14ac:dyDescent="0.25">
      <c r="A149" t="s">
        <v>271</v>
      </c>
      <c r="B149" t="s">
        <v>272</v>
      </c>
      <c r="C149" s="11">
        <v>56.02193655175769</v>
      </c>
      <c r="D149" s="11">
        <v>126</v>
      </c>
      <c r="E149" s="4">
        <v>17.114325068870521</v>
      </c>
      <c r="F149" s="4">
        <v>51.692357523996108</v>
      </c>
      <c r="G149" s="4">
        <v>60.017708907114645</v>
      </c>
      <c r="H149" s="4">
        <v>60.890284430946963</v>
      </c>
      <c r="I149" s="4">
        <v>80.471053222722119</v>
      </c>
      <c r="J149" s="4">
        <v>56.187158782358679</v>
      </c>
      <c r="K149" s="4">
        <v>11.14961496149615</v>
      </c>
      <c r="L149" s="4">
        <v>69.768169374740964</v>
      </c>
      <c r="M149" s="4">
        <v>15.721907683849119</v>
      </c>
      <c r="N149" s="4">
        <v>27.311000689654286</v>
      </c>
      <c r="O149" s="4">
        <v>58.58069936366212</v>
      </c>
      <c r="P149" s="4">
        <v>95.813212735277546</v>
      </c>
      <c r="Q149" s="4">
        <v>98.648642901211218</v>
      </c>
      <c r="R149" s="4"/>
      <c r="S149" s="4">
        <v>66.454025815660131</v>
      </c>
      <c r="T149" s="4">
        <v>70.907521338763729</v>
      </c>
      <c r="U149" s="4">
        <v>57.134654705973468</v>
      </c>
    </row>
    <row r="150" spans="1:21" ht="15" x14ac:dyDescent="0.25">
      <c r="A150" t="s">
        <v>207</v>
      </c>
      <c r="B150" t="s">
        <v>208</v>
      </c>
      <c r="C150" s="11">
        <v>64.837986843164231</v>
      </c>
      <c r="D150" s="11">
        <v>98</v>
      </c>
      <c r="E150" s="4"/>
      <c r="F150" s="4">
        <v>45.636858315265791</v>
      </c>
      <c r="G150" s="4">
        <v>81.608116446152309</v>
      </c>
      <c r="H150" s="4">
        <v>97.643723654690803</v>
      </c>
      <c r="I150" s="4">
        <v>39.144733214214597</v>
      </c>
      <c r="J150" s="4">
        <v>53.767496940953336</v>
      </c>
      <c r="K150" s="4">
        <v>89.183273239321281</v>
      </c>
      <c r="L150" s="4">
        <v>72.555993115214477</v>
      </c>
      <c r="M150" s="4">
        <v>57.457323993917612</v>
      </c>
      <c r="N150" s="4"/>
      <c r="O150" s="4">
        <v>40.570760705939165</v>
      </c>
      <c r="P150" s="4">
        <v>56.729218523019277</v>
      </c>
      <c r="Q150" s="4">
        <v>59.695388696513859</v>
      </c>
      <c r="R150" s="4">
        <v>55.709669884733238</v>
      </c>
      <c r="S150" s="4">
        <v>47.101161218555376</v>
      </c>
      <c r="T150" s="4">
        <v>68.462436044561244</v>
      </c>
      <c r="U150" s="4">
        <v>73.424049966666672</v>
      </c>
    </row>
    <row r="151" spans="1:21" ht="15" x14ac:dyDescent="0.25">
      <c r="A151" t="s">
        <v>339</v>
      </c>
      <c r="B151" t="s">
        <v>340</v>
      </c>
      <c r="C151" s="11">
        <v>51.363179213787092</v>
      </c>
      <c r="D151" s="11">
        <v>147</v>
      </c>
      <c r="E151" s="4">
        <v>36.013961325523553</v>
      </c>
      <c r="F151" s="4">
        <v>19.008671021920694</v>
      </c>
      <c r="G151" s="4">
        <v>52.034504115874689</v>
      </c>
      <c r="H151" s="4">
        <v>30.323233082240296</v>
      </c>
      <c r="I151" s="4">
        <v>37.258667356215135</v>
      </c>
      <c r="J151" s="4">
        <v>32.9943967760437</v>
      </c>
      <c r="K151" s="4">
        <v>50.570630598986781</v>
      </c>
      <c r="L151" s="4">
        <v>52.441910454304534</v>
      </c>
      <c r="M151" s="4">
        <v>15.032507793840001</v>
      </c>
      <c r="N151" s="4">
        <v>65.626931526291543</v>
      </c>
      <c r="O151" s="4">
        <v>41.340426272671387</v>
      </c>
      <c r="P151" s="4">
        <v>93.350400286979266</v>
      </c>
      <c r="Q151" s="4">
        <v>98.738269338899528</v>
      </c>
      <c r="R151" s="4">
        <v>66.363387429573166</v>
      </c>
      <c r="S151" s="4">
        <v>60.467989740281588</v>
      </c>
      <c r="T151" s="4">
        <v>56.27171731473473</v>
      </c>
      <c r="U151" s="4">
        <v>65.336442199999993</v>
      </c>
    </row>
    <row r="152" spans="1:21" ht="15" x14ac:dyDescent="0.25">
      <c r="A152" t="s">
        <v>261</v>
      </c>
      <c r="B152" t="s">
        <v>262</v>
      </c>
      <c r="C152" s="11">
        <v>57.301255733520392</v>
      </c>
      <c r="D152" s="11">
        <v>124</v>
      </c>
      <c r="E152" s="4">
        <v>29.30440771349862</v>
      </c>
      <c r="F152" s="4">
        <v>53.662360575418013</v>
      </c>
      <c r="G152" s="4">
        <v>54.250927767455323</v>
      </c>
      <c r="H152" s="4">
        <v>37.100691462425573</v>
      </c>
      <c r="I152" s="4">
        <v>53.096486614127393</v>
      </c>
      <c r="J152" s="4">
        <v>57.80875093162517</v>
      </c>
      <c r="K152" s="4">
        <v>52.818272473944205</v>
      </c>
      <c r="L152" s="4">
        <v>73.104844348528403</v>
      </c>
      <c r="M152" s="4">
        <v>15.497583231897947</v>
      </c>
      <c r="N152" s="4">
        <v>52.519828165081186</v>
      </c>
      <c r="O152" s="4">
        <v>58.38362976858307</v>
      </c>
      <c r="P152" s="4">
        <v>95.023872712692039</v>
      </c>
      <c r="Q152" s="4">
        <v>94.753704571734531</v>
      </c>
      <c r="R152" s="4">
        <v>52.220629483702808</v>
      </c>
      <c r="S152" s="4">
        <v>74.871479580039221</v>
      </c>
      <c r="T152" s="4">
        <v>59.751394164462518</v>
      </c>
      <c r="U152" s="4">
        <v>59.95248390463049</v>
      </c>
    </row>
    <row r="153" spans="1:21" ht="15" x14ac:dyDescent="0.25">
      <c r="A153" t="s">
        <v>147</v>
      </c>
      <c r="B153" t="s">
        <v>148</v>
      </c>
      <c r="C153" s="11">
        <v>69.615717777608296</v>
      </c>
      <c r="D153" s="11">
        <v>66</v>
      </c>
      <c r="E153" s="4">
        <v>98.374521918211244</v>
      </c>
      <c r="F153" s="4">
        <v>71.767896974172643</v>
      </c>
      <c r="G153" s="4">
        <v>94.965294424028414</v>
      </c>
      <c r="H153" s="4">
        <v>99.563327645590405</v>
      </c>
      <c r="I153" s="4">
        <v>68.523874200040765</v>
      </c>
      <c r="J153" s="4">
        <v>88.951421744951816</v>
      </c>
      <c r="K153" s="4">
        <v>94.745929027146303</v>
      </c>
      <c r="L153" s="4">
        <v>71.850086514448648</v>
      </c>
      <c r="M153" s="4">
        <v>85.561836203095936</v>
      </c>
      <c r="N153" s="4"/>
      <c r="O153" s="4">
        <v>94.722015695993377</v>
      </c>
      <c r="P153" s="4">
        <v>34.980035549038597</v>
      </c>
      <c r="Q153" s="4">
        <v>50.513638898814897</v>
      </c>
      <c r="R153" s="4">
        <v>15.19115577030812</v>
      </c>
      <c r="S153" s="4">
        <v>27.389544025157232</v>
      </c>
      <c r="T153" s="4">
        <v>88.518656113477292</v>
      </c>
      <c r="U153" s="4">
        <v>35.575683533333333</v>
      </c>
    </row>
    <row r="154" spans="1:21" ht="15" x14ac:dyDescent="0.25">
      <c r="A154" t="s">
        <v>389</v>
      </c>
      <c r="B154" t="s">
        <v>390</v>
      </c>
      <c r="C154" s="11"/>
      <c r="D154" s="11"/>
      <c r="E154" s="4"/>
      <c r="F154" s="4"/>
      <c r="G154" s="4"/>
      <c r="H154" s="4"/>
      <c r="I154" s="4"/>
      <c r="J154" s="4"/>
      <c r="K154" s="4"/>
      <c r="L154" s="4"/>
      <c r="M154" s="4"/>
      <c r="N154" s="4"/>
      <c r="O154" s="4"/>
      <c r="P154" s="4"/>
      <c r="Q154" s="4"/>
      <c r="R154" s="4"/>
      <c r="S154" s="4"/>
      <c r="T154" s="4"/>
      <c r="U154" s="4"/>
    </row>
    <row r="155" spans="1:21" ht="15" x14ac:dyDescent="0.25">
      <c r="A155" t="s">
        <v>293</v>
      </c>
      <c r="B155" t="s">
        <v>294</v>
      </c>
      <c r="C155" s="11">
        <v>49.240407221572411</v>
      </c>
      <c r="D155" s="11">
        <v>155</v>
      </c>
      <c r="E155" s="4">
        <v>23.16115702479339</v>
      </c>
      <c r="F155" s="4">
        <v>46.901232110266299</v>
      </c>
      <c r="G155" s="4">
        <v>26.725358473859508</v>
      </c>
      <c r="H155" s="4">
        <v>52.206119703610533</v>
      </c>
      <c r="I155" s="4">
        <v>44.905173829013144</v>
      </c>
      <c r="J155" s="4">
        <v>38.899084004291886</v>
      </c>
      <c r="K155" s="4">
        <v>6.1606160616061612</v>
      </c>
      <c r="L155" s="4">
        <v>62.656678259379206</v>
      </c>
      <c r="M155" s="4">
        <v>6.1456578297349305</v>
      </c>
      <c r="N155" s="4">
        <v>69.402205776160869</v>
      </c>
      <c r="O155" s="4">
        <v>46.681303857623931</v>
      </c>
      <c r="P155" s="4">
        <v>95.709638910747188</v>
      </c>
      <c r="Q155" s="4">
        <v>98.380966689848847</v>
      </c>
      <c r="R155" s="4">
        <v>60.489440360942893</v>
      </c>
      <c r="S155" s="4">
        <v>65.630767112212268</v>
      </c>
      <c r="T155" s="4">
        <v>50.808451584862091</v>
      </c>
      <c r="U155" s="4">
        <v>42.223071177777776</v>
      </c>
    </row>
    <row r="156" spans="1:21" ht="15" x14ac:dyDescent="0.25">
      <c r="A156" t="s">
        <v>165</v>
      </c>
      <c r="B156" t="s">
        <v>166</v>
      </c>
      <c r="C156" s="11">
        <v>66.732877696933585</v>
      </c>
      <c r="D156" s="11">
        <v>89</v>
      </c>
      <c r="E156" s="4">
        <v>91.552194495707283</v>
      </c>
      <c r="F156" s="4">
        <v>48.654674545559381</v>
      </c>
      <c r="G156" s="4">
        <v>77.255951041323783</v>
      </c>
      <c r="H156" s="4">
        <v>75.887054901490814</v>
      </c>
      <c r="I156" s="4">
        <v>68.444385736245593</v>
      </c>
      <c r="J156" s="4">
        <v>71.974389009214434</v>
      </c>
      <c r="K156" s="4">
        <v>88.469869725351529</v>
      </c>
      <c r="L156" s="4">
        <v>70.167172941462638</v>
      </c>
      <c r="M156" s="4">
        <v>17.928452896214647</v>
      </c>
      <c r="N156" s="4">
        <v>38.925696090913156</v>
      </c>
      <c r="O156" s="4">
        <v>89.004495816033852</v>
      </c>
      <c r="P156" s="4">
        <v>86.429969974257617</v>
      </c>
      <c r="Q156" s="4">
        <v>90.614693497246691</v>
      </c>
      <c r="R156" s="4">
        <v>27.798659286737163</v>
      </c>
      <c r="S156" s="4">
        <v>65.858127867761269</v>
      </c>
      <c r="T156" s="4">
        <v>56.533542187714602</v>
      </c>
      <c r="U156" s="4">
        <v>68.959590834636927</v>
      </c>
    </row>
    <row r="157" spans="1:21" ht="15" x14ac:dyDescent="0.25">
      <c r="A157" t="s">
        <v>391</v>
      </c>
      <c r="B157" t="s">
        <v>392</v>
      </c>
      <c r="C157" s="11"/>
      <c r="D157" s="11"/>
      <c r="E157" s="4"/>
      <c r="F157" s="4"/>
      <c r="G157" s="4"/>
      <c r="H157" s="4"/>
      <c r="I157" s="4"/>
      <c r="J157" s="4"/>
      <c r="K157" s="4"/>
      <c r="L157" s="4"/>
      <c r="M157" s="4"/>
      <c r="N157" s="4"/>
      <c r="O157" s="4"/>
      <c r="P157" s="4"/>
      <c r="Q157" s="4"/>
      <c r="R157" s="4"/>
      <c r="S157" s="4"/>
      <c r="T157" s="4"/>
      <c r="U157" s="4"/>
    </row>
    <row r="158" spans="1:21" ht="15" x14ac:dyDescent="0.25">
      <c r="A158" t="s">
        <v>343</v>
      </c>
      <c r="B158" t="s">
        <v>344</v>
      </c>
      <c r="C158" s="11"/>
      <c r="D158" s="11"/>
      <c r="E158" s="4"/>
      <c r="F158" s="4"/>
      <c r="G158" s="4"/>
      <c r="H158" s="4"/>
      <c r="I158" s="4"/>
      <c r="J158" s="4"/>
      <c r="K158" s="4"/>
      <c r="L158" s="4"/>
      <c r="M158" s="4"/>
      <c r="N158" s="4"/>
      <c r="O158" s="4"/>
      <c r="P158" s="4"/>
      <c r="Q158" s="4"/>
      <c r="R158" s="4"/>
      <c r="S158" s="4"/>
      <c r="T158" s="4"/>
      <c r="U158" s="4"/>
    </row>
    <row r="159" spans="1:21" ht="15" x14ac:dyDescent="0.25">
      <c r="A159" t="s">
        <v>91</v>
      </c>
      <c r="B159" t="s">
        <v>92</v>
      </c>
      <c r="C159" s="11">
        <v>72.486580535545386</v>
      </c>
      <c r="D159" s="11">
        <v>44</v>
      </c>
      <c r="E159" s="4">
        <v>99.398726898285588</v>
      </c>
      <c r="F159" s="4">
        <v>63.520083471150706</v>
      </c>
      <c r="G159" s="4">
        <v>84.161745517581181</v>
      </c>
      <c r="H159" s="4">
        <v>94.289234646369593</v>
      </c>
      <c r="I159" s="4">
        <v>57.836577503916587</v>
      </c>
      <c r="J159" s="4">
        <v>75.713703856618082</v>
      </c>
      <c r="K159" s="4">
        <v>84.8924296471871</v>
      </c>
      <c r="L159" s="4">
        <v>71.468719490767356</v>
      </c>
      <c r="M159" s="4">
        <v>42.412399718049393</v>
      </c>
      <c r="N159" s="4">
        <v>72.352786802909748</v>
      </c>
      <c r="O159" s="4">
        <v>71.75491886880603</v>
      </c>
      <c r="P159" s="4">
        <v>83.739866475917964</v>
      </c>
      <c r="Q159" s="4">
        <v>85.038572592820231</v>
      </c>
      <c r="R159" s="4"/>
      <c r="S159" s="4">
        <v>49.510424092243184</v>
      </c>
      <c r="T159" s="4">
        <v>73.405405617598419</v>
      </c>
      <c r="U159" s="4">
        <v>82.051143344867185</v>
      </c>
    </row>
    <row r="160" spans="1:21" ht="15" x14ac:dyDescent="0.25">
      <c r="A160" t="s">
        <v>351</v>
      </c>
      <c r="B160" t="s">
        <v>352</v>
      </c>
      <c r="C160" s="11"/>
      <c r="D160" s="11"/>
      <c r="E160" s="4"/>
      <c r="F160" s="4"/>
      <c r="G160" s="4"/>
      <c r="H160" s="4"/>
      <c r="I160" s="4"/>
      <c r="J160" s="4"/>
      <c r="K160" s="4"/>
      <c r="L160" s="4"/>
      <c r="M160" s="4"/>
      <c r="N160" s="4"/>
      <c r="O160" s="4"/>
      <c r="P160" s="4"/>
      <c r="Q160" s="4"/>
      <c r="R160" s="4"/>
      <c r="S160" s="4"/>
      <c r="T160" s="4"/>
      <c r="U160" s="4"/>
    </row>
    <row r="161" spans="1:21" ht="15" x14ac:dyDescent="0.25">
      <c r="A161" t="s">
        <v>257</v>
      </c>
      <c r="B161" t="s">
        <v>258</v>
      </c>
      <c r="C161" s="11">
        <v>65.484140119737887</v>
      </c>
      <c r="D161" s="11">
        <v>95</v>
      </c>
      <c r="E161" s="4">
        <v>37.803739067640215</v>
      </c>
      <c r="F161" s="4">
        <v>64.653166725217218</v>
      </c>
      <c r="G161" s="4">
        <v>62.031217521549486</v>
      </c>
      <c r="H161" s="4">
        <v>84.707669311698339</v>
      </c>
      <c r="I161" s="4">
        <v>45.175642232374862</v>
      </c>
      <c r="J161" s="4">
        <v>66.610130223564155</v>
      </c>
      <c r="K161" s="4">
        <v>38.546487186747306</v>
      </c>
      <c r="L161" s="4">
        <v>66.752908946320986</v>
      </c>
      <c r="M161" s="4">
        <v>16.797312314066847</v>
      </c>
      <c r="N161" s="4">
        <v>90.704225352112687</v>
      </c>
      <c r="O161" s="4">
        <v>84.021446952052713</v>
      </c>
      <c r="P161" s="4">
        <v>94.923886436209557</v>
      </c>
      <c r="Q161" s="4">
        <v>89.617830191328196</v>
      </c>
      <c r="R161" s="4">
        <v>79.362218257530486</v>
      </c>
      <c r="S161" s="4">
        <v>57.392968817069935</v>
      </c>
      <c r="T161" s="4">
        <v>77.32936931649192</v>
      </c>
      <c r="U161" s="4">
        <v>56.800163183568998</v>
      </c>
    </row>
    <row r="162" spans="1:21" ht="15" x14ac:dyDescent="0.25">
      <c r="A162" t="s">
        <v>203</v>
      </c>
      <c r="B162" t="s">
        <v>204</v>
      </c>
      <c r="C162" s="11">
        <v>67.033539397793547</v>
      </c>
      <c r="D162" s="11">
        <v>88</v>
      </c>
      <c r="E162" s="4">
        <v>55.995894514429381</v>
      </c>
      <c r="F162" s="4">
        <v>55.746105262366143</v>
      </c>
      <c r="G162" s="4">
        <v>70.353411910297908</v>
      </c>
      <c r="H162" s="4">
        <v>70.238284541413535</v>
      </c>
      <c r="I162" s="4">
        <v>66.475015592400112</v>
      </c>
      <c r="J162" s="4">
        <v>71.301951960734499</v>
      </c>
      <c r="K162" s="4">
        <v>86.453987491868133</v>
      </c>
      <c r="L162" s="4">
        <v>74.540157515956579</v>
      </c>
      <c r="M162" s="4">
        <v>23.910553991419203</v>
      </c>
      <c r="N162" s="4"/>
      <c r="O162" s="4">
        <v>79.31626129240459</v>
      </c>
      <c r="P162" s="4">
        <v>79.830417259550828</v>
      </c>
      <c r="Q162" s="4">
        <v>79.082355580264647</v>
      </c>
      <c r="R162" s="4">
        <v>71.174943460618195</v>
      </c>
      <c r="S162" s="4">
        <v>71.329192003579124</v>
      </c>
      <c r="T162" s="4">
        <v>70.607952186879075</v>
      </c>
      <c r="U162" s="4">
        <v>76.105043494011497</v>
      </c>
    </row>
    <row r="163" spans="1:21" ht="15" x14ac:dyDescent="0.25">
      <c r="A163" t="s">
        <v>65</v>
      </c>
      <c r="B163" t="s">
        <v>66</v>
      </c>
      <c r="C163" s="11">
        <v>76.214701439539681</v>
      </c>
      <c r="D163" s="11">
        <v>27</v>
      </c>
      <c r="E163" s="4">
        <v>98.231712535772559</v>
      </c>
      <c r="F163" s="4">
        <v>68.844291252154477</v>
      </c>
      <c r="G163" s="4">
        <v>87.95634445847034</v>
      </c>
      <c r="H163" s="4">
        <v>83.755743902439022</v>
      </c>
      <c r="I163" s="4">
        <v>68.917190054345454</v>
      </c>
      <c r="J163" s="4">
        <v>84.403127974716313</v>
      </c>
      <c r="K163" s="4">
        <v>92.168636790200438</v>
      </c>
      <c r="L163" s="4">
        <v>80.698475420427457</v>
      </c>
      <c r="M163" s="4">
        <v>49.738042276070423</v>
      </c>
      <c r="N163" s="4">
        <v>83.453530660817322</v>
      </c>
      <c r="O163" s="4">
        <v>82.017504445328782</v>
      </c>
      <c r="P163" s="4">
        <v>64.989789911033469</v>
      </c>
      <c r="Q163" s="4">
        <v>77.167824590879604</v>
      </c>
      <c r="R163" s="4"/>
      <c r="S163" s="4">
        <v>86.856043466333261</v>
      </c>
      <c r="T163" s="4">
        <v>79.929313047154338</v>
      </c>
      <c r="U163" s="4">
        <v>55.114925925925924</v>
      </c>
    </row>
    <row r="164" spans="1:21" ht="15" x14ac:dyDescent="0.25">
      <c r="A164" t="s">
        <v>45</v>
      </c>
      <c r="B164" t="s">
        <v>46</v>
      </c>
      <c r="C164" s="11">
        <v>79.40811996897655</v>
      </c>
      <c r="D164" s="11">
        <v>12</v>
      </c>
      <c r="E164" s="4">
        <v>99.669327877183122</v>
      </c>
      <c r="F164" s="4">
        <v>64.619193685265415</v>
      </c>
      <c r="G164" s="4">
        <v>92.686852409169703</v>
      </c>
      <c r="H164" s="4">
        <v>96.648366281523749</v>
      </c>
      <c r="I164" s="4">
        <v>75.307067734502112</v>
      </c>
      <c r="J164" s="4">
        <v>82.351997330999268</v>
      </c>
      <c r="K164" s="4">
        <v>93.565622223809044</v>
      </c>
      <c r="L164" s="4">
        <v>84.679082054761878</v>
      </c>
      <c r="M164" s="4">
        <v>61.034979502375762</v>
      </c>
      <c r="N164" s="4">
        <v>100</v>
      </c>
      <c r="O164" s="4">
        <v>85.940864541806818</v>
      </c>
      <c r="P164" s="4">
        <v>60.771817137796404</v>
      </c>
      <c r="Q164" s="4">
        <v>91.229261433882954</v>
      </c>
      <c r="R164" s="4">
        <v>33.305671722846441</v>
      </c>
      <c r="S164" s="4">
        <v>82.519165291895533</v>
      </c>
      <c r="T164" s="4">
        <v>88.055473948486579</v>
      </c>
      <c r="U164" s="4">
        <v>57.553296296296288</v>
      </c>
    </row>
    <row r="165" spans="1:21" ht="15" x14ac:dyDescent="0.25">
      <c r="A165" t="s">
        <v>23</v>
      </c>
      <c r="B165" t="s">
        <v>24</v>
      </c>
      <c r="C165" s="11">
        <v>84.992350574044096</v>
      </c>
      <c r="D165" s="11">
        <v>2</v>
      </c>
      <c r="E165" s="4">
        <v>99.033044478322495</v>
      </c>
      <c r="F165" s="4">
        <v>63.32102508081185</v>
      </c>
      <c r="G165" s="4">
        <v>97.760294011175176</v>
      </c>
      <c r="H165" s="4">
        <v>99.297283549783543</v>
      </c>
      <c r="I165" s="4">
        <v>88.868523413312715</v>
      </c>
      <c r="J165" s="4">
        <v>93.532816571583197</v>
      </c>
      <c r="K165" s="4">
        <v>98.683682668648103</v>
      </c>
      <c r="L165" s="4">
        <v>83.54578192505889</v>
      </c>
      <c r="M165" s="4">
        <v>91.655909806992341</v>
      </c>
      <c r="N165" s="4">
        <v>100</v>
      </c>
      <c r="O165" s="4">
        <v>90.305852883481862</v>
      </c>
      <c r="P165" s="4">
        <v>52.184212724015232</v>
      </c>
      <c r="Q165" s="4">
        <v>87.203685461039157</v>
      </c>
      <c r="R165" s="4">
        <v>42.259771381558473</v>
      </c>
      <c r="S165" s="4">
        <v>75.17339828270859</v>
      </c>
      <c r="T165" s="4">
        <v>83.840233075813543</v>
      </c>
      <c r="U165" s="4">
        <v>98.204444444444448</v>
      </c>
    </row>
    <row r="166" spans="1:21" ht="15" x14ac:dyDescent="0.25">
      <c r="A166" t="s">
        <v>283</v>
      </c>
      <c r="B166" t="s">
        <v>284</v>
      </c>
      <c r="C166" s="11">
        <v>51.68794410229367</v>
      </c>
      <c r="D166" s="11">
        <v>142</v>
      </c>
      <c r="E166" s="4">
        <v>22.134986225895315</v>
      </c>
      <c r="F166" s="4">
        <v>54.051121823674926</v>
      </c>
      <c r="G166" s="4">
        <v>42.710595833643445</v>
      </c>
      <c r="H166" s="4">
        <v>60.287800475057566</v>
      </c>
      <c r="I166" s="4">
        <v>55.623576483608851</v>
      </c>
      <c r="J166" s="4">
        <v>56.082005554379784</v>
      </c>
      <c r="K166" s="4">
        <v>55.519466767133707</v>
      </c>
      <c r="L166" s="4">
        <v>45.891197708970118</v>
      </c>
      <c r="M166" s="4">
        <v>9.7879996208106199</v>
      </c>
      <c r="N166" s="4">
        <v>0</v>
      </c>
      <c r="O166" s="4">
        <v>82.679548341567198</v>
      </c>
      <c r="P166" s="4">
        <v>89.690119683944772</v>
      </c>
      <c r="Q166" s="4">
        <v>52.699200918672119</v>
      </c>
      <c r="R166" s="4"/>
      <c r="S166" s="4">
        <v>63.345406887574399</v>
      </c>
      <c r="T166" s="4">
        <v>53.660855828169652</v>
      </c>
      <c r="U166" s="4">
        <v>80.020583712306816</v>
      </c>
    </row>
    <row r="167" spans="1:21" ht="15" x14ac:dyDescent="0.25">
      <c r="A167" t="s">
        <v>393</v>
      </c>
      <c r="B167" t="s">
        <v>394</v>
      </c>
      <c r="C167" s="11"/>
      <c r="D167" s="11"/>
      <c r="E167" s="4"/>
      <c r="F167" s="4"/>
      <c r="G167" s="4"/>
      <c r="H167" s="4"/>
      <c r="I167" s="4"/>
      <c r="J167" s="4"/>
      <c r="K167" s="4"/>
      <c r="L167" s="4"/>
      <c r="M167" s="4"/>
      <c r="N167" s="4"/>
      <c r="O167" s="4"/>
      <c r="P167" s="4"/>
      <c r="Q167" s="4"/>
      <c r="R167" s="4"/>
      <c r="S167" s="4"/>
      <c r="T167" s="4"/>
      <c r="U167" s="4"/>
    </row>
    <row r="168" spans="1:21" ht="15" x14ac:dyDescent="0.25">
      <c r="A168" t="s">
        <v>279</v>
      </c>
      <c r="B168" t="s">
        <v>280</v>
      </c>
      <c r="C168" s="11">
        <v>58.127416436881411</v>
      </c>
      <c r="D168" s="11">
        <v>123</v>
      </c>
      <c r="E168" s="4"/>
      <c r="F168" s="4">
        <v>28.164798580150098</v>
      </c>
      <c r="G168" s="4">
        <v>63.884908218878827</v>
      </c>
      <c r="H168" s="4">
        <v>48.766256781939802</v>
      </c>
      <c r="I168" s="4">
        <v>34.325431821291211</v>
      </c>
      <c r="J168" s="4">
        <v>63.206039634090736</v>
      </c>
      <c r="K168" s="4">
        <v>90.999728007449733</v>
      </c>
      <c r="L168" s="4">
        <v>52.842166444436977</v>
      </c>
      <c r="M168" s="4">
        <v>12.415500670070552</v>
      </c>
      <c r="N168" s="4">
        <v>76.619718309859167</v>
      </c>
      <c r="O168" s="4">
        <v>47.727915439936062</v>
      </c>
      <c r="P168" s="4">
        <v>85.377765046163702</v>
      </c>
      <c r="Q168" s="4">
        <v>96.714373070431932</v>
      </c>
      <c r="R168" s="4">
        <v>30.004955195711243</v>
      </c>
      <c r="S168" s="4">
        <v>47.607172255526677</v>
      </c>
      <c r="T168" s="4">
        <v>53.531894666048892</v>
      </c>
      <c r="U168" s="4">
        <v>62.411834380454081</v>
      </c>
    </row>
    <row r="169" spans="1:21" ht="15" x14ac:dyDescent="0.25">
      <c r="A169" t="s">
        <v>347</v>
      </c>
      <c r="B169" t="s">
        <v>348</v>
      </c>
      <c r="C169" s="11">
        <v>42.787117637101282</v>
      </c>
      <c r="D169" s="11">
        <v>161</v>
      </c>
      <c r="E169" s="4">
        <v>23.588154269972449</v>
      </c>
      <c r="F169" s="4">
        <v>37.116808828073722</v>
      </c>
      <c r="G169" s="4">
        <v>21.552393976926453</v>
      </c>
      <c r="H169" s="4">
        <v>14.722770562770563</v>
      </c>
      <c r="I169" s="4">
        <v>27.008166335769367</v>
      </c>
      <c r="J169" s="4">
        <v>40.838859691835694</v>
      </c>
      <c r="K169" s="4">
        <v>0.57653061224489788</v>
      </c>
      <c r="L169" s="4">
        <v>54.168537548127098</v>
      </c>
      <c r="M169" s="4">
        <v>9.7227478246257864</v>
      </c>
      <c r="N169" s="4">
        <v>53.253519367164294</v>
      </c>
      <c r="O169" s="4">
        <v>39.439393594447168</v>
      </c>
      <c r="P169" s="4">
        <v>95.928694563882587</v>
      </c>
      <c r="Q169" s="4">
        <v>76.324158823245057</v>
      </c>
      <c r="R169" s="4"/>
      <c r="S169" s="4">
        <v>80.671510540520316</v>
      </c>
      <c r="T169" s="4">
        <v>32.18037405086676</v>
      </c>
      <c r="U169" s="4">
        <v>65.777795366666666</v>
      </c>
    </row>
    <row r="170" spans="1:21" ht="15" x14ac:dyDescent="0.25">
      <c r="A170" t="s">
        <v>291</v>
      </c>
      <c r="B170" t="s">
        <v>292</v>
      </c>
      <c r="C170" s="11">
        <v>51.596382985863897</v>
      </c>
      <c r="D170" s="11">
        <v>144</v>
      </c>
      <c r="E170" s="4">
        <v>18.581267217630852</v>
      </c>
      <c r="F170" s="4">
        <v>53.276198850977174</v>
      </c>
      <c r="G170" s="4">
        <v>42.965582330094023</v>
      </c>
      <c r="H170" s="4">
        <v>61.442909432841589</v>
      </c>
      <c r="I170" s="4">
        <v>40.161712757113051</v>
      </c>
      <c r="J170" s="4">
        <v>46.751809213653139</v>
      </c>
      <c r="K170" s="4">
        <v>15.473832251654949</v>
      </c>
      <c r="L170" s="4">
        <v>71.50623486420929</v>
      </c>
      <c r="M170" s="4">
        <v>14.500377502462539</v>
      </c>
      <c r="N170" s="4">
        <v>39.54254539919571</v>
      </c>
      <c r="O170" s="4">
        <v>38.94257316228687</v>
      </c>
      <c r="P170" s="4">
        <v>95.943232133114932</v>
      </c>
      <c r="Q170" s="4">
        <v>98.616468017709053</v>
      </c>
      <c r="R170" s="4">
        <v>41.882789662921347</v>
      </c>
      <c r="S170" s="4">
        <v>86.324796173730093</v>
      </c>
      <c r="T170" s="4">
        <v>52.326293749744309</v>
      </c>
      <c r="U170" s="4">
        <v>58.899888040347328</v>
      </c>
    </row>
    <row r="171" spans="1:21" ht="15" x14ac:dyDescent="0.25">
      <c r="A171" t="s">
        <v>105</v>
      </c>
      <c r="B171" t="s">
        <v>106</v>
      </c>
      <c r="C171" s="11">
        <v>73.000581096557028</v>
      </c>
      <c r="D171" s="11">
        <v>40</v>
      </c>
      <c r="E171" s="4">
        <v>99.990291262135912</v>
      </c>
      <c r="F171" s="4">
        <v>60.181620952688817</v>
      </c>
      <c r="G171" s="4">
        <v>76.703361335468202</v>
      </c>
      <c r="H171" s="4">
        <v>88.650064209453831</v>
      </c>
      <c r="I171" s="4">
        <v>64.693433094597552</v>
      </c>
      <c r="J171" s="4">
        <v>78.265036632967536</v>
      </c>
      <c r="K171" s="4">
        <v>82.943461130239555</v>
      </c>
      <c r="L171" s="4">
        <v>80.16458656819735</v>
      </c>
      <c r="M171" s="4">
        <v>42.827787318765807</v>
      </c>
      <c r="N171" s="4">
        <v>58.885125710930616</v>
      </c>
      <c r="O171" s="4">
        <v>83.027312330408861</v>
      </c>
      <c r="P171" s="4">
        <v>79.464990099112541</v>
      </c>
      <c r="Q171" s="4">
        <v>93.909633254905103</v>
      </c>
      <c r="R171" s="4">
        <v>54.70084965701956</v>
      </c>
      <c r="S171" s="4">
        <v>66.950496782007903</v>
      </c>
      <c r="T171" s="4">
        <v>70.900403016972433</v>
      </c>
      <c r="U171" s="4">
        <v>58.75142528559789</v>
      </c>
    </row>
    <row r="172" spans="1:21" ht="15" x14ac:dyDescent="0.25">
      <c r="A172" t="s">
        <v>189</v>
      </c>
      <c r="B172" t="s">
        <v>190</v>
      </c>
      <c r="C172" s="11">
        <v>69.22656480898894</v>
      </c>
      <c r="D172" s="11">
        <v>71</v>
      </c>
      <c r="E172" s="4">
        <v>86.317794003583941</v>
      </c>
      <c r="F172" s="4">
        <v>47.212095246911559</v>
      </c>
      <c r="G172" s="4">
        <v>70.154912143291085</v>
      </c>
      <c r="H172" s="4">
        <v>95.956370071040283</v>
      </c>
      <c r="I172" s="4">
        <v>57.047502786055801</v>
      </c>
      <c r="J172" s="4">
        <v>56.801357427484469</v>
      </c>
      <c r="K172" s="4">
        <v>91.935543017699146</v>
      </c>
      <c r="L172" s="4">
        <v>69.743578885741869</v>
      </c>
      <c r="M172" s="4">
        <v>9.55540156630782</v>
      </c>
      <c r="N172" s="4">
        <v>67.924018980751583</v>
      </c>
      <c r="O172" s="4">
        <v>79.33094569079725</v>
      </c>
      <c r="P172" s="4">
        <v>93.161172074555722</v>
      </c>
      <c r="Q172" s="4">
        <v>96.23062421222771</v>
      </c>
      <c r="R172" s="4"/>
      <c r="S172" s="4">
        <v>68.588799788152656</v>
      </c>
      <c r="T172" s="4">
        <v>72.290352399028336</v>
      </c>
      <c r="U172" s="4">
        <v>73.876002900000003</v>
      </c>
    </row>
    <row r="173" spans="1:21" ht="15" x14ac:dyDescent="0.25">
      <c r="A173" t="s">
        <v>201</v>
      </c>
      <c r="B173" t="s">
        <v>202</v>
      </c>
      <c r="C173" s="11">
        <v>64.257747616348666</v>
      </c>
      <c r="D173" s="11">
        <v>101</v>
      </c>
      <c r="E173" s="4">
        <v>99.561863114819857</v>
      </c>
      <c r="F173" s="4">
        <v>55.995476894707679</v>
      </c>
      <c r="G173" s="4">
        <v>67.769326829495384</v>
      </c>
      <c r="H173" s="4">
        <v>99.635036496350367</v>
      </c>
      <c r="I173" s="4">
        <v>59.387225270401636</v>
      </c>
      <c r="J173" s="4">
        <v>56.180133557255601</v>
      </c>
      <c r="K173" s="4">
        <v>81.339340558064222</v>
      </c>
      <c r="L173" s="4">
        <v>70.576534249777524</v>
      </c>
      <c r="M173" s="4">
        <v>10.294894001795544</v>
      </c>
      <c r="N173" s="4"/>
      <c r="O173" s="4">
        <v>72.451617991753793</v>
      </c>
      <c r="P173" s="4">
        <v>87.757493510349946</v>
      </c>
      <c r="Q173" s="4">
        <v>51.499627630112684</v>
      </c>
      <c r="R173" s="4">
        <v>25.791520000000002</v>
      </c>
      <c r="S173" s="4">
        <v>50.576014613129693</v>
      </c>
      <c r="T173" s="4">
        <v>71.077348918666857</v>
      </c>
      <c r="U173" s="4">
        <v>64.419131133333337</v>
      </c>
    </row>
    <row r="174" spans="1:21" ht="15" x14ac:dyDescent="0.25">
      <c r="A174" t="s">
        <v>395</v>
      </c>
      <c r="B174" t="s">
        <v>396</v>
      </c>
      <c r="C174" s="11"/>
      <c r="D174" s="11"/>
      <c r="E174" s="4"/>
      <c r="F174" s="4"/>
      <c r="G174" s="4"/>
      <c r="H174" s="4"/>
      <c r="I174" s="4"/>
      <c r="J174" s="4"/>
      <c r="K174" s="4"/>
      <c r="L174" s="4"/>
      <c r="M174" s="4"/>
      <c r="N174" s="4"/>
      <c r="O174" s="4"/>
      <c r="P174" s="4"/>
      <c r="Q174" s="4"/>
      <c r="R174" s="4"/>
      <c r="S174" s="4"/>
      <c r="T174" s="4"/>
      <c r="U174" s="4"/>
    </row>
    <row r="175" spans="1:21" ht="15" x14ac:dyDescent="0.25">
      <c r="A175" t="s">
        <v>397</v>
      </c>
      <c r="B175" t="s">
        <v>398</v>
      </c>
      <c r="C175" s="11"/>
      <c r="D175" s="11"/>
      <c r="E175" s="4"/>
      <c r="F175" s="4"/>
      <c r="G175" s="4"/>
      <c r="H175" s="4"/>
      <c r="I175" s="4"/>
      <c r="J175" s="4"/>
      <c r="K175" s="4"/>
      <c r="L175" s="4"/>
      <c r="M175" s="4"/>
      <c r="N175" s="4"/>
      <c r="O175" s="4"/>
      <c r="P175" s="4"/>
      <c r="Q175" s="4"/>
      <c r="R175" s="4"/>
      <c r="S175" s="4"/>
      <c r="T175" s="4"/>
      <c r="U175" s="4"/>
    </row>
    <row r="176" spans="1:21" ht="15" x14ac:dyDescent="0.25">
      <c r="A176" t="s">
        <v>247</v>
      </c>
      <c r="B176" t="s">
        <v>248</v>
      </c>
      <c r="C176" s="11">
        <v>67.556324943250587</v>
      </c>
      <c r="D176" s="11">
        <v>85</v>
      </c>
      <c r="E176" s="4">
        <v>98.439808499826157</v>
      </c>
      <c r="F176" s="4">
        <v>45.298952753710019</v>
      </c>
      <c r="G176" s="4">
        <v>75.95980416174163</v>
      </c>
      <c r="H176" s="4">
        <v>88.554251515639621</v>
      </c>
      <c r="I176" s="4">
        <v>67.923484973224419</v>
      </c>
      <c r="J176" s="4">
        <v>73.425846716476912</v>
      </c>
      <c r="K176" s="4">
        <v>87.115939842306332</v>
      </c>
      <c r="L176" s="4">
        <v>78.263593477980336</v>
      </c>
      <c r="M176" s="4">
        <v>30.511229515588742</v>
      </c>
      <c r="N176" s="4"/>
      <c r="O176" s="4">
        <v>67.570874609921788</v>
      </c>
      <c r="P176" s="4">
        <v>75.184694559726694</v>
      </c>
      <c r="Q176" s="4">
        <v>49.138872037040684</v>
      </c>
      <c r="R176" s="4">
        <v>52.533126707944177</v>
      </c>
      <c r="S176" s="4">
        <v>64.110799902838025</v>
      </c>
      <c r="T176" s="4">
        <v>57.317603056997605</v>
      </c>
      <c r="U176" s="4">
        <v>100</v>
      </c>
    </row>
    <row r="177" spans="1:21" ht="15" x14ac:dyDescent="0.25">
      <c r="A177" t="s">
        <v>135</v>
      </c>
      <c r="B177" t="s">
        <v>136</v>
      </c>
      <c r="C177" s="11">
        <v>69.987997108372554</v>
      </c>
      <c r="D177" s="11">
        <v>63</v>
      </c>
      <c r="E177" s="4">
        <v>97.766415255823901</v>
      </c>
      <c r="F177" s="4">
        <v>52.462873934884165</v>
      </c>
      <c r="G177" s="4">
        <v>77.46621892076007</v>
      </c>
      <c r="H177" s="4">
        <v>84.798843782313085</v>
      </c>
      <c r="I177" s="4">
        <v>52.667784113009233</v>
      </c>
      <c r="J177" s="4">
        <v>61.419734827717754</v>
      </c>
      <c r="K177" s="4">
        <v>91.797827228764049</v>
      </c>
      <c r="L177" s="4">
        <v>63.587594481839417</v>
      </c>
      <c r="M177" s="4">
        <v>31.227115339215327</v>
      </c>
      <c r="N177" s="4">
        <v>61.202520719716247</v>
      </c>
      <c r="O177" s="4">
        <v>62.531823474931173</v>
      </c>
      <c r="P177" s="4">
        <v>86.652880550547195</v>
      </c>
      <c r="Q177" s="4">
        <v>90.704786039773666</v>
      </c>
      <c r="R177" s="4">
        <v>59.437244707856109</v>
      </c>
      <c r="S177" s="4">
        <v>65.558847498744498</v>
      </c>
      <c r="T177" s="4">
        <v>70.327504449396358</v>
      </c>
      <c r="U177" s="4">
        <v>80.18593551704096</v>
      </c>
    </row>
    <row r="178" spans="1:21" ht="15" x14ac:dyDescent="0.25">
      <c r="A178" t="s">
        <v>436</v>
      </c>
      <c r="B178" t="s">
        <v>164</v>
      </c>
      <c r="C178" s="11">
        <v>68.488806979495109</v>
      </c>
      <c r="D178" s="11">
        <v>79</v>
      </c>
      <c r="E178" s="4">
        <v>99.485436893203882</v>
      </c>
      <c r="F178" s="4">
        <v>55.8329515876705</v>
      </c>
      <c r="G178" s="4">
        <v>83.606406541279725</v>
      </c>
      <c r="H178" s="4">
        <v>93.701568662925695</v>
      </c>
      <c r="I178" s="4">
        <v>45.252831811869243</v>
      </c>
      <c r="J178" s="4">
        <v>82.140808309440388</v>
      </c>
      <c r="K178" s="4">
        <v>89.155948351545021</v>
      </c>
      <c r="L178" s="4">
        <v>73.840790664984397</v>
      </c>
      <c r="M178" s="4">
        <v>46.492612787211165</v>
      </c>
      <c r="N178" s="4">
        <v>41.24414047724764</v>
      </c>
      <c r="O178" s="4">
        <v>70.398462693382797</v>
      </c>
      <c r="P178" s="4">
        <v>73.755026838117359</v>
      </c>
      <c r="Q178" s="4">
        <v>89.863706219388121</v>
      </c>
      <c r="R178" s="4">
        <v>27.408992944504732</v>
      </c>
      <c r="S178" s="4">
        <v>53.270642156433077</v>
      </c>
      <c r="T178" s="4">
        <v>68.083265174840207</v>
      </c>
      <c r="U178" s="4">
        <v>70.776126537373003</v>
      </c>
    </row>
    <row r="179" spans="1:21" ht="15" x14ac:dyDescent="0.25">
      <c r="A179" t="s">
        <v>399</v>
      </c>
      <c r="B179" t="s">
        <v>400</v>
      </c>
      <c r="C179" s="11"/>
      <c r="D179" s="11"/>
      <c r="E179" s="4"/>
      <c r="F179" s="4"/>
      <c r="G179" s="4"/>
      <c r="H179" s="4"/>
      <c r="I179" s="4"/>
      <c r="J179" s="4"/>
      <c r="K179" s="4"/>
      <c r="L179" s="4"/>
      <c r="M179" s="4"/>
      <c r="N179" s="4"/>
      <c r="O179" s="4"/>
      <c r="P179" s="4"/>
      <c r="Q179" s="4"/>
      <c r="R179" s="4"/>
      <c r="S179" s="4"/>
      <c r="T179" s="4"/>
      <c r="U179" s="4"/>
    </row>
    <row r="180" spans="1:21" ht="15" x14ac:dyDescent="0.25">
      <c r="A180" t="s">
        <v>287</v>
      </c>
      <c r="B180" t="s">
        <v>288</v>
      </c>
      <c r="C180" s="11">
        <v>55.820685396621982</v>
      </c>
      <c r="D180" s="11">
        <v>128</v>
      </c>
      <c r="E180" s="4">
        <v>21.473829201101925</v>
      </c>
      <c r="F180" s="4">
        <v>48.193756040597961</v>
      </c>
      <c r="G180" s="4">
        <v>45.09180035223995</v>
      </c>
      <c r="H180" s="4">
        <v>47.955949974965201</v>
      </c>
      <c r="I180" s="4">
        <v>70.6803178173476</v>
      </c>
      <c r="J180" s="4">
        <v>46.4722477079318</v>
      </c>
      <c r="K180" s="4">
        <v>31.349282110168598</v>
      </c>
      <c r="L180" s="4">
        <v>73.844813112160566</v>
      </c>
      <c r="M180" s="4">
        <v>15.690257793603584</v>
      </c>
      <c r="N180" s="4">
        <v>60.148626649883433</v>
      </c>
      <c r="O180" s="4">
        <v>66.298060021448137</v>
      </c>
      <c r="P180" s="4">
        <v>97.924132217028912</v>
      </c>
      <c r="Q180" s="4">
        <v>98.215870068841483</v>
      </c>
      <c r="R180" s="4">
        <v>65.028898462655562</v>
      </c>
      <c r="S180" s="4">
        <v>56.88401910502796</v>
      </c>
      <c r="T180" s="4">
        <v>50.52791232830819</v>
      </c>
      <c r="U180" s="4">
        <v>53.17187877926289</v>
      </c>
    </row>
    <row r="181" spans="1:21" ht="15" x14ac:dyDescent="0.25">
      <c r="A181" t="s">
        <v>301</v>
      </c>
      <c r="B181" t="s">
        <v>302</v>
      </c>
      <c r="C181" s="11">
        <v>52.574662975935581</v>
      </c>
      <c r="D181" s="11">
        <v>140</v>
      </c>
      <c r="E181" s="4">
        <v>28.305785123966942</v>
      </c>
      <c r="F181" s="4">
        <v>48.274686309762025</v>
      </c>
      <c r="G181" s="4">
        <v>46.641684030694883</v>
      </c>
      <c r="H181" s="4">
        <v>53.209988962207852</v>
      </c>
      <c r="I181" s="4">
        <v>58.35812840656132</v>
      </c>
      <c r="J181" s="4">
        <v>41.084497856028399</v>
      </c>
      <c r="K181" s="4">
        <v>9.6809680968096803</v>
      </c>
      <c r="L181" s="4">
        <v>72.013084869551534</v>
      </c>
      <c r="M181" s="4">
        <v>17.447775391627733</v>
      </c>
      <c r="N181" s="4">
        <v>62.00543725994271</v>
      </c>
      <c r="O181" s="4">
        <v>46.458080087362987</v>
      </c>
      <c r="P181" s="4">
        <v>95.7633081646715</v>
      </c>
      <c r="Q181" s="4">
        <v>98.64271416893547</v>
      </c>
      <c r="R181" s="4"/>
      <c r="S181" s="4">
        <v>67.177253002141882</v>
      </c>
      <c r="T181" s="4">
        <v>47.546615675108917</v>
      </c>
      <c r="U181" s="4">
        <v>46.64867931194815</v>
      </c>
    </row>
    <row r="182" spans="1:21" ht="15" x14ac:dyDescent="0.25">
      <c r="A182" t="s">
        <v>95</v>
      </c>
      <c r="B182" t="s">
        <v>96</v>
      </c>
      <c r="C182" s="11">
        <v>72.813928779240712</v>
      </c>
      <c r="D182" s="11">
        <v>41</v>
      </c>
      <c r="E182" s="4">
        <v>99.67305892107305</v>
      </c>
      <c r="F182" s="4">
        <v>53.121482029448586</v>
      </c>
      <c r="G182" s="4">
        <v>71.76412250686468</v>
      </c>
      <c r="H182" s="4">
        <v>92.552919780217792</v>
      </c>
      <c r="I182" s="4">
        <v>62.815570836641463</v>
      </c>
      <c r="J182" s="4">
        <v>79.990708336927582</v>
      </c>
      <c r="K182" s="4">
        <v>91.589643063134972</v>
      </c>
      <c r="L182" s="4">
        <v>68.355488319683104</v>
      </c>
      <c r="M182" s="4">
        <v>25.153623065769256</v>
      </c>
      <c r="N182" s="4">
        <v>99.02721693817999</v>
      </c>
      <c r="O182" s="4">
        <v>75.982552236961453</v>
      </c>
      <c r="P182" s="4">
        <v>80.387874042998959</v>
      </c>
      <c r="Q182" s="4">
        <v>95.564877592389394</v>
      </c>
      <c r="R182" s="4">
        <v>38.586411166639444</v>
      </c>
      <c r="S182" s="4">
        <v>63.508684077490173</v>
      </c>
      <c r="T182" s="4">
        <v>61.878904506693857</v>
      </c>
      <c r="U182" s="4">
        <v>77.883651825978419</v>
      </c>
    </row>
    <row r="183" spans="1:21" ht="15" x14ac:dyDescent="0.25">
      <c r="A183" t="s">
        <v>83</v>
      </c>
      <c r="B183" t="s">
        <v>84</v>
      </c>
      <c r="C183" s="11">
        <v>72.551178034290544</v>
      </c>
      <c r="D183" s="11">
        <v>43</v>
      </c>
      <c r="E183" s="4">
        <v>99.876608093289462</v>
      </c>
      <c r="F183" s="4">
        <v>58.680376799151752</v>
      </c>
      <c r="G183" s="4">
        <v>82.615004223128949</v>
      </c>
      <c r="H183" s="4">
        <v>87.415535209800382</v>
      </c>
      <c r="I183" s="4">
        <v>73.757136366628487</v>
      </c>
      <c r="J183" s="4">
        <v>78.755937757182934</v>
      </c>
      <c r="K183" s="4">
        <v>96.532526213406825</v>
      </c>
      <c r="L183" s="4">
        <v>77.587298236683594</v>
      </c>
      <c r="M183" s="4">
        <v>38.305057953877458</v>
      </c>
      <c r="N183" s="4">
        <v>50.128195990978831</v>
      </c>
      <c r="O183" s="4">
        <v>85.271399845668739</v>
      </c>
      <c r="P183" s="4">
        <v>72.384015427191329</v>
      </c>
      <c r="Q183" s="4">
        <v>86.852897709101612</v>
      </c>
      <c r="R183" s="4">
        <v>42.233158823902407</v>
      </c>
      <c r="S183" s="4">
        <v>51.435850788950276</v>
      </c>
      <c r="T183" s="4">
        <v>69.321726810662867</v>
      </c>
      <c r="U183" s="4">
        <v>82.217300333333327</v>
      </c>
    </row>
    <row r="184" spans="1:21" ht="15" x14ac:dyDescent="0.25">
      <c r="A184" t="s">
        <v>97</v>
      </c>
      <c r="B184" t="s">
        <v>98</v>
      </c>
      <c r="C184" s="11">
        <v>74.519610284017503</v>
      </c>
      <c r="D184" s="11">
        <v>35</v>
      </c>
      <c r="E184" s="4">
        <v>98.919361309476045</v>
      </c>
      <c r="F184" s="4">
        <v>66.044971514895281</v>
      </c>
      <c r="G184" s="4">
        <v>89.538751317705973</v>
      </c>
      <c r="H184" s="4">
        <v>89.336038961038966</v>
      </c>
      <c r="I184" s="4">
        <v>73.356813376385148</v>
      </c>
      <c r="J184" s="4">
        <v>84.982341027726548</v>
      </c>
      <c r="K184" s="4">
        <v>93.207177732073021</v>
      </c>
      <c r="L184" s="4">
        <v>85.183977926603717</v>
      </c>
      <c r="M184" s="4">
        <v>83.348529873470696</v>
      </c>
      <c r="N184" s="4">
        <v>47.662360231641316</v>
      </c>
      <c r="O184" s="4">
        <v>82.468820700023741</v>
      </c>
      <c r="P184" s="4">
        <v>36.545485539953575</v>
      </c>
      <c r="Q184" s="4">
        <v>66.124093003516592</v>
      </c>
      <c r="R184" s="4">
        <v>60.854831336903658</v>
      </c>
      <c r="S184" s="4">
        <v>76.944029733797223</v>
      </c>
      <c r="T184" s="4">
        <v>76.137902354197536</v>
      </c>
      <c r="U184" s="4">
        <v>56.17788888888888</v>
      </c>
    </row>
    <row r="185" spans="1:21" ht="15" x14ac:dyDescent="0.25">
      <c r="A185" t="s">
        <v>157</v>
      </c>
      <c r="B185" t="s">
        <v>158</v>
      </c>
      <c r="C185" s="11">
        <v>71.130550538535374</v>
      </c>
      <c r="D185" s="11">
        <v>52</v>
      </c>
      <c r="E185" s="4">
        <v>69.424656984674627</v>
      </c>
      <c r="F185" s="4">
        <v>64.002748711303852</v>
      </c>
      <c r="G185" s="4">
        <v>77.617874283048579</v>
      </c>
      <c r="H185" s="4">
        <v>93.623431404638723</v>
      </c>
      <c r="I185" s="4">
        <v>65.524847220088432</v>
      </c>
      <c r="J185" s="4">
        <v>57.089246636755298</v>
      </c>
      <c r="K185" s="4">
        <v>88.115916587791574</v>
      </c>
      <c r="L185" s="4">
        <v>71.945324528818873</v>
      </c>
      <c r="M185" s="4">
        <v>24.773281184160027</v>
      </c>
      <c r="N185" s="4">
        <v>78.028169014084511</v>
      </c>
      <c r="O185" s="4">
        <v>90.848409748038009</v>
      </c>
      <c r="P185" s="4">
        <v>92.052371568645327</v>
      </c>
      <c r="Q185" s="4">
        <v>93.418660778738953</v>
      </c>
      <c r="R185" s="4"/>
      <c r="S185" s="4">
        <v>62.249045537009877</v>
      </c>
      <c r="T185" s="4">
        <v>70.212020270724665</v>
      </c>
      <c r="U185" s="4">
        <v>69.568224137397308</v>
      </c>
    </row>
    <row r="186" spans="1:21" ht="15" x14ac:dyDescent="0.25">
      <c r="A186" t="s">
        <v>401</v>
      </c>
      <c r="B186" t="s">
        <v>402</v>
      </c>
      <c r="C186" s="11"/>
      <c r="D186" s="11"/>
      <c r="E186" s="4"/>
      <c r="F186" s="4"/>
      <c r="G186" s="4"/>
      <c r="H186" s="4"/>
      <c r="I186" s="4"/>
      <c r="J186" s="4"/>
      <c r="K186" s="4"/>
      <c r="L186" s="4"/>
      <c r="M186" s="4"/>
      <c r="N186" s="4"/>
      <c r="O186" s="4"/>
      <c r="P186" s="4"/>
      <c r="Q186" s="4"/>
      <c r="R186" s="4"/>
      <c r="S186" s="4"/>
      <c r="T186" s="4"/>
      <c r="U186" s="4"/>
    </row>
    <row r="187" spans="1:21" ht="15" x14ac:dyDescent="0.25">
      <c r="A187" t="s">
        <v>253</v>
      </c>
      <c r="B187" t="s">
        <v>254</v>
      </c>
      <c r="C187" s="11">
        <v>63.054390283176978</v>
      </c>
      <c r="D187" s="11">
        <v>108</v>
      </c>
      <c r="E187" s="4">
        <v>35.010150044130626</v>
      </c>
      <c r="F187" s="4">
        <v>47.51542193787423</v>
      </c>
      <c r="G187" s="4">
        <v>66.185609197683604</v>
      </c>
      <c r="H187" s="4">
        <v>76.264600111853795</v>
      </c>
      <c r="I187" s="4">
        <v>69.025504646144952</v>
      </c>
      <c r="J187" s="4">
        <v>79.868312398893352</v>
      </c>
      <c r="K187" s="4">
        <v>91.887476983740612</v>
      </c>
      <c r="L187" s="4">
        <v>78.603004572304627</v>
      </c>
      <c r="M187" s="4">
        <v>24.659208874628082</v>
      </c>
      <c r="N187" s="4">
        <v>25.94690222135732</v>
      </c>
      <c r="O187" s="4">
        <v>62.704166316416917</v>
      </c>
      <c r="P187" s="4">
        <v>78.545819116300365</v>
      </c>
      <c r="Q187" s="4">
        <v>89.0167677791637</v>
      </c>
      <c r="R187" s="4">
        <v>51.390198789669029</v>
      </c>
      <c r="S187" s="4">
        <v>78.881298018917903</v>
      </c>
      <c r="T187" s="4">
        <v>36.768314471596184</v>
      </c>
      <c r="U187" s="4">
        <v>79.651879333333326</v>
      </c>
    </row>
    <row r="188" spans="1:21" ht="15" x14ac:dyDescent="0.25">
      <c r="A188" t="s">
        <v>129</v>
      </c>
      <c r="B188" t="s">
        <v>130</v>
      </c>
      <c r="C188" s="11">
        <v>71.085281250733317</v>
      </c>
      <c r="D188" s="11">
        <v>54</v>
      </c>
      <c r="E188" s="4">
        <v>95.335018320896523</v>
      </c>
      <c r="F188" s="4">
        <v>62.587815698549306</v>
      </c>
      <c r="G188" s="4">
        <v>74.775859688398185</v>
      </c>
      <c r="H188" s="4">
        <v>91.705182853356163</v>
      </c>
      <c r="I188" s="4">
        <v>71.962873513129495</v>
      </c>
      <c r="J188" s="4">
        <v>70.767337340659594</v>
      </c>
      <c r="K188" s="4">
        <v>82.385900380586108</v>
      </c>
      <c r="L188" s="4">
        <v>74.159614589662468</v>
      </c>
      <c r="M188" s="4">
        <v>26.36732966927929</v>
      </c>
      <c r="N188" s="4">
        <v>78.278529476112041</v>
      </c>
      <c r="O188" s="4">
        <v>77.636368373044562</v>
      </c>
      <c r="P188" s="4">
        <v>87.084328133102602</v>
      </c>
      <c r="Q188" s="4">
        <v>94.516968171383155</v>
      </c>
      <c r="R188" s="4">
        <v>45.223764357904564</v>
      </c>
      <c r="S188" s="4">
        <v>48.593026261001683</v>
      </c>
      <c r="T188" s="4">
        <v>61.759973881218585</v>
      </c>
      <c r="U188" s="4">
        <v>65.309890554181933</v>
      </c>
    </row>
    <row r="189" spans="1:21" ht="15" x14ac:dyDescent="0.25">
      <c r="A189" t="s">
        <v>403</v>
      </c>
      <c r="B189" t="s">
        <v>404</v>
      </c>
      <c r="C189" s="11">
        <v>59.874248640183694</v>
      </c>
      <c r="D189" s="11">
        <v>118</v>
      </c>
      <c r="E189" s="4">
        <v>58.695512048998367</v>
      </c>
      <c r="F189" s="4">
        <v>50.327051847667974</v>
      </c>
      <c r="G189" s="4">
        <v>68.562033711654479</v>
      </c>
      <c r="H189" s="4">
        <v>67.751126260442618</v>
      </c>
      <c r="I189" s="4">
        <v>37.083529705269989</v>
      </c>
      <c r="J189" s="4">
        <v>77.547873624888339</v>
      </c>
      <c r="K189" s="4">
        <v>32.191537010843938</v>
      </c>
      <c r="L189" s="4">
        <v>73.992077531599435</v>
      </c>
      <c r="M189" s="4">
        <v>17.743286337400544</v>
      </c>
      <c r="N189" s="4">
        <v>72.313598847725018</v>
      </c>
      <c r="O189" s="4">
        <v>73.346204876238573</v>
      </c>
      <c r="P189" s="4">
        <v>79.351139909517784</v>
      </c>
      <c r="Q189" s="4">
        <v>71.823389629358445</v>
      </c>
      <c r="R189" s="4">
        <v>53.588515041904607</v>
      </c>
      <c r="S189" s="4">
        <v>45.513397451094306</v>
      </c>
      <c r="T189" s="4">
        <v>71.402228015007708</v>
      </c>
      <c r="U189" s="4">
        <v>66.629725033510681</v>
      </c>
    </row>
    <row r="190" spans="1:21" ht="15" x14ac:dyDescent="0.25">
      <c r="A190" t="s">
        <v>405</v>
      </c>
      <c r="B190" t="s">
        <v>406</v>
      </c>
      <c r="C190" s="11"/>
      <c r="D190" s="11"/>
      <c r="E190" s="4"/>
      <c r="F190" s="4"/>
      <c r="G190" s="4"/>
      <c r="H190" s="4"/>
      <c r="I190" s="4"/>
      <c r="J190" s="4"/>
      <c r="K190" s="4"/>
      <c r="L190" s="4"/>
      <c r="M190" s="4"/>
      <c r="N190" s="4"/>
      <c r="O190" s="4"/>
      <c r="P190" s="4"/>
      <c r="Q190" s="4"/>
      <c r="R190" s="4"/>
      <c r="S190" s="4"/>
      <c r="T190" s="4"/>
      <c r="U190" s="4"/>
    </row>
    <row r="191" spans="1:21" ht="15" x14ac:dyDescent="0.25">
      <c r="A191" t="s">
        <v>345</v>
      </c>
      <c r="B191" t="s">
        <v>346</v>
      </c>
      <c r="C191" s="11">
        <v>53.702073192758441</v>
      </c>
      <c r="D191" s="11">
        <v>133</v>
      </c>
      <c r="E191" s="4"/>
      <c r="F191" s="4">
        <v>26.288210435614047</v>
      </c>
      <c r="G191" s="4">
        <v>43.844569519443034</v>
      </c>
      <c r="H191" s="4">
        <v>54.517905115526169</v>
      </c>
      <c r="I191" s="4">
        <v>10.385935942636973</v>
      </c>
      <c r="J191" s="4">
        <v>33.461857067408133</v>
      </c>
      <c r="K191" s="4">
        <v>66.393989766121635</v>
      </c>
      <c r="L191" s="4">
        <v>36.480983525276642</v>
      </c>
      <c r="M191" s="4">
        <v>7.1695976643633186</v>
      </c>
      <c r="N191" s="4">
        <v>74.084507042253506</v>
      </c>
      <c r="O191" s="4">
        <v>50.430771022894625</v>
      </c>
      <c r="P191" s="4">
        <v>95.487957125878282</v>
      </c>
      <c r="Q191" s="4">
        <v>98.428573464761513</v>
      </c>
      <c r="R191" s="4">
        <v>63.740136638431352</v>
      </c>
      <c r="S191" s="4">
        <v>50.993195315393933</v>
      </c>
      <c r="T191" s="4">
        <v>35.760068159679598</v>
      </c>
      <c r="U191" s="4">
        <v>71.901365566666669</v>
      </c>
    </row>
    <row r="192" spans="1:21" ht="15" x14ac:dyDescent="0.25">
      <c r="A192" t="s">
        <v>239</v>
      </c>
      <c r="B192" t="s">
        <v>240</v>
      </c>
      <c r="C192" s="11">
        <v>61.480932717523849</v>
      </c>
      <c r="D192" s="11">
        <v>113</v>
      </c>
      <c r="E192" s="4">
        <v>49.853633421594594</v>
      </c>
      <c r="F192" s="4">
        <v>52.521911956845919</v>
      </c>
      <c r="G192" s="4">
        <v>48.736813636088804</v>
      </c>
      <c r="H192" s="4">
        <v>78.059407640971372</v>
      </c>
      <c r="I192" s="4">
        <v>80.053836082953069</v>
      </c>
      <c r="J192" s="4">
        <v>66.987943358810256</v>
      </c>
      <c r="K192" s="4">
        <v>78.971818596789419</v>
      </c>
      <c r="L192" s="4">
        <v>61.196126327007029</v>
      </c>
      <c r="M192" s="4">
        <v>44.95423462169984</v>
      </c>
      <c r="N192" s="4">
        <v>0</v>
      </c>
      <c r="O192" s="4">
        <v>77.934519644386953</v>
      </c>
      <c r="P192" s="4">
        <v>68.802568812874057</v>
      </c>
      <c r="Q192" s="4">
        <v>87.032995141181431</v>
      </c>
      <c r="R192" s="4">
        <v>56.507995955850404</v>
      </c>
      <c r="S192" s="4">
        <v>59.1001515277989</v>
      </c>
      <c r="T192" s="4">
        <v>54.913539133584138</v>
      </c>
      <c r="U192" s="4">
        <v>79.548360339469355</v>
      </c>
    </row>
    <row r="193" spans="1:21" ht="15" x14ac:dyDescent="0.25">
      <c r="A193" t="s">
        <v>309</v>
      </c>
      <c r="B193" t="s">
        <v>310</v>
      </c>
      <c r="C193" s="11">
        <v>52.615084049841087</v>
      </c>
      <c r="D193" s="11">
        <v>139</v>
      </c>
      <c r="E193" s="4">
        <v>13.464187327823691</v>
      </c>
      <c r="F193" s="4">
        <v>42.939902603285098</v>
      </c>
      <c r="G193" s="4">
        <v>46.532292435878112</v>
      </c>
      <c r="H193" s="4">
        <v>62.676087947945085</v>
      </c>
      <c r="I193" s="4">
        <v>63.63723842913322</v>
      </c>
      <c r="J193" s="4">
        <v>52.573055123117925</v>
      </c>
      <c r="K193" s="4">
        <v>43.478460114262795</v>
      </c>
      <c r="L193" s="4">
        <v>67.224454065821845</v>
      </c>
      <c r="M193" s="4">
        <v>16.603621001050477</v>
      </c>
      <c r="N193" s="4">
        <v>16.619718309859152</v>
      </c>
      <c r="O193" s="4">
        <v>63.409190843760577</v>
      </c>
      <c r="P193" s="4">
        <v>89.736385248873304</v>
      </c>
      <c r="Q193" s="4">
        <v>98.361193678224566</v>
      </c>
      <c r="R193" s="4"/>
      <c r="S193" s="4">
        <v>70.328741734998502</v>
      </c>
      <c r="T193" s="4">
        <v>45.427821119597013</v>
      </c>
      <c r="U193" s="4">
        <v>46.933494990084135</v>
      </c>
    </row>
    <row r="194" spans="1:21" ht="15" x14ac:dyDescent="0.25">
      <c r="A194" t="s">
        <v>295</v>
      </c>
      <c r="B194" t="s">
        <v>296</v>
      </c>
      <c r="C194" s="11">
        <v>59.673524005366545</v>
      </c>
      <c r="D194" s="11">
        <v>121</v>
      </c>
      <c r="E194" s="4"/>
      <c r="F194" s="4">
        <v>38.897043919353948</v>
      </c>
      <c r="G194" s="4">
        <v>43.246980906248893</v>
      </c>
      <c r="H194" s="4">
        <v>68.799659370094034</v>
      </c>
      <c r="I194" s="4">
        <v>76.422173456142858</v>
      </c>
      <c r="J194" s="4">
        <v>52.418993422557378</v>
      </c>
      <c r="K194" s="4">
        <v>46.0946458278612</v>
      </c>
      <c r="L194" s="4">
        <v>68.940492400120959</v>
      </c>
      <c r="M194" s="4">
        <v>11.348853287714027</v>
      </c>
      <c r="N194" s="4">
        <v>55.960955418331523</v>
      </c>
      <c r="O194" s="4">
        <v>80.602152999331906</v>
      </c>
      <c r="P194" s="4">
        <v>93.687691783420632</v>
      </c>
      <c r="Q194" s="4">
        <v>96.351509564374339</v>
      </c>
      <c r="R194" s="4"/>
      <c r="S194" s="4">
        <v>77.682690896233936</v>
      </c>
      <c r="T194" s="4">
        <v>51.133470313369948</v>
      </c>
      <c r="U194" s="4">
        <v>65.685445556316154</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U194"/>
  <sheetViews>
    <sheetView workbookViewId="0">
      <selection activeCell="E36" sqref="E36"/>
    </sheetView>
  </sheetViews>
  <sheetFormatPr defaultRowHeight="12.75" x14ac:dyDescent="0.2"/>
  <cols>
    <col min="1" max="2" width="15.140625" style="12" customWidth="1"/>
    <col min="3" max="3" width="8.7109375" style="11" customWidth="1"/>
    <col min="4" max="4" width="8" style="3" customWidth="1"/>
    <col min="5" max="21" width="11.28515625" style="12" customWidth="1"/>
  </cols>
  <sheetData>
    <row r="1" spans="1:21" x14ac:dyDescent="0.2">
      <c r="A1" t="s">
        <v>0</v>
      </c>
      <c r="B1" t="s">
        <v>442</v>
      </c>
      <c r="C1" t="s">
        <v>443</v>
      </c>
      <c r="D1" t="s">
        <v>444</v>
      </c>
      <c r="E1" t="s">
        <v>445</v>
      </c>
      <c r="F1" t="s">
        <v>446</v>
      </c>
      <c r="G1" t="s">
        <v>447</v>
      </c>
      <c r="H1" t="s">
        <v>448</v>
      </c>
      <c r="I1" t="s">
        <v>449</v>
      </c>
      <c r="J1" t="s">
        <v>450</v>
      </c>
      <c r="K1" t="s">
        <v>451</v>
      </c>
      <c r="L1" t="s">
        <v>452</v>
      </c>
      <c r="M1" t="s">
        <v>453</v>
      </c>
      <c r="N1" t="s">
        <v>454</v>
      </c>
      <c r="O1" t="s">
        <v>455</v>
      </c>
      <c r="P1" t="s">
        <v>456</v>
      </c>
      <c r="Q1" t="s">
        <v>457</v>
      </c>
      <c r="R1" t="s">
        <v>458</v>
      </c>
      <c r="S1" t="s">
        <v>459</v>
      </c>
      <c r="T1" t="s">
        <v>460</v>
      </c>
      <c r="U1" t="s">
        <v>461</v>
      </c>
    </row>
    <row r="2" spans="1:21" x14ac:dyDescent="0.2">
      <c r="A2" s="12" t="s">
        <v>335</v>
      </c>
      <c r="B2" s="12" t="s">
        <v>336</v>
      </c>
      <c r="C2" s="11">
        <v>46.238884490124335</v>
      </c>
      <c r="D2" s="3">
        <v>151</v>
      </c>
      <c r="E2" s="12">
        <v>63.790200920672518</v>
      </c>
      <c r="F2" s="12">
        <v>40.261773152661817</v>
      </c>
      <c r="G2" s="12">
        <v>37.863264948035408</v>
      </c>
      <c r="H2" s="12">
        <v>6.9369359463699833</v>
      </c>
      <c r="I2" s="12">
        <v>24.607205372952926</v>
      </c>
      <c r="J2" s="12">
        <v>49.261908680927441</v>
      </c>
      <c r="K2" s="12">
        <v>52.030877983445869</v>
      </c>
      <c r="L2" s="12">
        <v>31.177987606623248</v>
      </c>
      <c r="M2" s="12">
        <v>3.7929953135930696</v>
      </c>
      <c r="N2" s="12">
        <v>65.436978001358511</v>
      </c>
      <c r="O2" s="12">
        <v>39.359421365445407</v>
      </c>
      <c r="P2" s="12">
        <v>82.073902425858606</v>
      </c>
      <c r="Q2" s="12">
        <v>87.666331466375581</v>
      </c>
      <c r="R2" s="12">
        <v>48.422883381021848</v>
      </c>
      <c r="S2" s="12">
        <v>50.829360519125622</v>
      </c>
      <c r="T2" s="12">
        <v>47.577309298357044</v>
      </c>
      <c r="U2" s="12">
        <v>54.971699949288812</v>
      </c>
    </row>
    <row r="3" spans="1:21" x14ac:dyDescent="0.2">
      <c r="A3" s="12" t="s">
        <v>127</v>
      </c>
      <c r="B3" s="12" t="s">
        <v>128</v>
      </c>
      <c r="C3" s="11">
        <v>68.907867242780057</v>
      </c>
      <c r="D3" s="3">
        <v>62</v>
      </c>
      <c r="E3" s="12">
        <v>99.666638664992107</v>
      </c>
      <c r="F3" s="12">
        <v>48.788959817000027</v>
      </c>
      <c r="G3" s="12">
        <v>80.958839831340001</v>
      </c>
      <c r="H3" s="12">
        <v>84.832714114860252</v>
      </c>
      <c r="I3" s="12">
        <v>73.484866260859803</v>
      </c>
      <c r="J3" s="12">
        <v>93.130988345904171</v>
      </c>
      <c r="K3" s="12">
        <v>82.270938167265669</v>
      </c>
      <c r="L3" s="12">
        <v>55.599510777994873</v>
      </c>
      <c r="M3" s="12">
        <v>27.304683940597467</v>
      </c>
      <c r="N3" s="12">
        <v>59.897823277516707</v>
      </c>
      <c r="O3" s="12">
        <v>75.380649930158029</v>
      </c>
      <c r="P3" s="12">
        <v>74.443452149888344</v>
      </c>
      <c r="Q3" s="12">
        <v>75.358445503905955</v>
      </c>
      <c r="R3" s="12">
        <v>38.785861652203906</v>
      </c>
      <c r="S3" s="12">
        <v>75.099822362188803</v>
      </c>
      <c r="T3" s="12">
        <v>65.812036056222212</v>
      </c>
      <c r="U3" s="12">
        <v>60.61751227436249</v>
      </c>
    </row>
    <row r="4" spans="1:21" x14ac:dyDescent="0.2">
      <c r="A4" s="12" t="s">
        <v>161</v>
      </c>
      <c r="B4" s="12" t="s">
        <v>162</v>
      </c>
      <c r="C4" s="11">
        <v>67.880406829376625</v>
      </c>
      <c r="D4" s="3">
        <v>68</v>
      </c>
      <c r="E4" s="12">
        <v>99.537810280281818</v>
      </c>
      <c r="F4" s="12">
        <v>50.724514578640573</v>
      </c>
      <c r="G4" s="12">
        <v>76.591204368374108</v>
      </c>
      <c r="H4" s="12">
        <v>77.802115199556852</v>
      </c>
      <c r="I4" s="12">
        <v>49.333780956622647</v>
      </c>
      <c r="J4" s="12">
        <v>61.866938511925731</v>
      </c>
      <c r="K4" s="12">
        <v>79.802064432424046</v>
      </c>
      <c r="L4" s="12">
        <v>53.663517176789647</v>
      </c>
      <c r="M4" s="12">
        <v>28.77928306748592</v>
      </c>
      <c r="N4" s="12">
        <v>88.864923093765697</v>
      </c>
      <c r="O4" s="12">
        <v>68.70856299219183</v>
      </c>
      <c r="P4" s="12">
        <v>81.64687004565063</v>
      </c>
      <c r="Q4" s="12">
        <v>90.754169038314174</v>
      </c>
      <c r="R4" s="12">
        <v>44.423361082378563</v>
      </c>
      <c r="S4" s="12">
        <v>62.227519694019485</v>
      </c>
      <c r="T4" s="12">
        <v>65.217889402927241</v>
      </c>
      <c r="U4" s="12">
        <v>74.022392178053394</v>
      </c>
    </row>
    <row r="5" spans="1:21" x14ac:dyDescent="0.2">
      <c r="A5" s="12" t="s">
        <v>353</v>
      </c>
      <c r="B5" s="12" t="s">
        <v>354</v>
      </c>
    </row>
    <row r="6" spans="1:21" x14ac:dyDescent="0.2">
      <c r="A6" s="12" t="s">
        <v>329</v>
      </c>
      <c r="B6" s="12" t="s">
        <v>330</v>
      </c>
      <c r="C6" s="11">
        <v>49.556540671962182</v>
      </c>
      <c r="D6" s="3">
        <v>144</v>
      </c>
      <c r="E6" s="12">
        <v>60.426317749664307</v>
      </c>
      <c r="F6" s="12">
        <v>44.120671200078569</v>
      </c>
      <c r="G6" s="12">
        <v>31.425596071769544</v>
      </c>
      <c r="H6" s="12">
        <v>44.809150421996684</v>
      </c>
      <c r="I6" s="12">
        <v>61.830478337358805</v>
      </c>
      <c r="J6" s="12">
        <v>57.473871026398903</v>
      </c>
      <c r="K6" s="12">
        <v>35.568152214343705</v>
      </c>
      <c r="L6" s="12">
        <v>48.857665395582409</v>
      </c>
      <c r="M6" s="12">
        <v>7.6718787139892823</v>
      </c>
      <c r="N6" s="12">
        <v>45.198308549028702</v>
      </c>
      <c r="O6" s="12">
        <v>44.190386176732432</v>
      </c>
      <c r="P6" s="12">
        <v>80.602608571632118</v>
      </c>
      <c r="Q6" s="12">
        <v>87.376357387719708</v>
      </c>
      <c r="R6" s="12">
        <v>43.094054337351821</v>
      </c>
      <c r="S6" s="12">
        <v>63.75280643243277</v>
      </c>
      <c r="T6" s="12">
        <v>38.789490686472526</v>
      </c>
      <c r="U6" s="12">
        <v>47.273398150804837</v>
      </c>
    </row>
    <row r="7" spans="1:21" x14ac:dyDescent="0.2">
      <c r="A7" s="12" t="s">
        <v>355</v>
      </c>
      <c r="B7" s="12" t="s">
        <v>356</v>
      </c>
    </row>
    <row r="8" spans="1:21" x14ac:dyDescent="0.2">
      <c r="A8" s="12" t="s">
        <v>121</v>
      </c>
      <c r="B8" s="12" t="s">
        <v>122</v>
      </c>
      <c r="C8" s="11">
        <v>70.281629479397566</v>
      </c>
      <c r="D8" s="3">
        <v>53</v>
      </c>
      <c r="E8" s="12">
        <v>99.820619406879359</v>
      </c>
      <c r="F8" s="12">
        <v>69.138945943091684</v>
      </c>
      <c r="G8" s="12">
        <v>80.831152325778632</v>
      </c>
      <c r="H8" s="12">
        <v>88.608457160235957</v>
      </c>
      <c r="I8" s="12">
        <v>78.466868987286773</v>
      </c>
      <c r="J8" s="12">
        <v>99.952518495946066</v>
      </c>
      <c r="K8" s="12">
        <v>85.618282730346891</v>
      </c>
      <c r="L8" s="12">
        <v>61.496385465359722</v>
      </c>
      <c r="M8" s="12">
        <v>38.252948214115996</v>
      </c>
      <c r="N8" s="12">
        <v>39.772207261656078</v>
      </c>
      <c r="O8" s="12">
        <v>83.593280460822641</v>
      </c>
      <c r="P8" s="12">
        <v>69.855796909006742</v>
      </c>
      <c r="Q8" s="12">
        <v>89.052317483371183</v>
      </c>
      <c r="R8" s="12">
        <v>44.465084547970314</v>
      </c>
      <c r="S8" s="12">
        <v>50.535332312252095</v>
      </c>
      <c r="T8" s="12">
        <v>58.76855050713089</v>
      </c>
      <c r="U8" s="12">
        <v>56.558952938507645</v>
      </c>
    </row>
    <row r="9" spans="1:21" x14ac:dyDescent="0.2">
      <c r="A9" s="12" t="s">
        <v>131</v>
      </c>
      <c r="B9" s="12" t="s">
        <v>132</v>
      </c>
      <c r="C9" s="11">
        <v>69.272212479544038</v>
      </c>
      <c r="D9" s="3">
        <v>58</v>
      </c>
      <c r="E9" s="12">
        <v>98.890158976060121</v>
      </c>
      <c r="F9" s="12">
        <v>54.088787381913924</v>
      </c>
      <c r="G9" s="12">
        <v>76.855259880989479</v>
      </c>
      <c r="H9" s="12">
        <v>88.241649429624673</v>
      </c>
      <c r="I9" s="12">
        <v>69.892578864335448</v>
      </c>
      <c r="J9" s="12">
        <v>73.371734016072921</v>
      </c>
      <c r="K9" s="12">
        <v>93.622738801085291</v>
      </c>
      <c r="L9" s="12">
        <v>55.547039500383789</v>
      </c>
      <c r="M9" s="12">
        <v>29.244496374704095</v>
      </c>
      <c r="N9" s="12">
        <v>50.173225736845325</v>
      </c>
      <c r="O9" s="12">
        <v>75.724660287229938</v>
      </c>
      <c r="P9" s="12">
        <v>80.859502288862629</v>
      </c>
      <c r="Q9" s="12">
        <v>92.172393413824139</v>
      </c>
      <c r="R9" s="12">
        <v>48.422883381021848</v>
      </c>
      <c r="S9" s="12">
        <v>59.899090257133466</v>
      </c>
      <c r="T9" s="12">
        <v>71.087777953558259</v>
      </c>
      <c r="U9" s="12">
        <v>59.533635608603369</v>
      </c>
    </row>
    <row r="10" spans="1:21" x14ac:dyDescent="0.2">
      <c r="A10" s="12" t="s">
        <v>99</v>
      </c>
      <c r="B10" s="12" t="s">
        <v>100</v>
      </c>
      <c r="C10" s="11">
        <v>72.88894143359083</v>
      </c>
      <c r="D10" s="3">
        <v>37</v>
      </c>
      <c r="E10" s="12">
        <v>99.873074108906081</v>
      </c>
      <c r="F10" s="12">
        <v>59.644305676916112</v>
      </c>
      <c r="G10" s="12">
        <v>95.26539354753065</v>
      </c>
      <c r="H10" s="12">
        <v>96.172524899016167</v>
      </c>
      <c r="I10" s="12">
        <v>79.901007481354441</v>
      </c>
      <c r="J10" s="12">
        <v>86.679126457596951</v>
      </c>
      <c r="K10" s="12">
        <v>84.038902755367118</v>
      </c>
      <c r="L10" s="12">
        <v>86.807042641325154</v>
      </c>
      <c r="M10" s="12">
        <v>81.540455803587264</v>
      </c>
      <c r="N10" s="12">
        <v>77.08529753224478</v>
      </c>
      <c r="O10" s="12">
        <v>84.521568883215963</v>
      </c>
      <c r="P10" s="12">
        <v>50.735104628266107</v>
      </c>
      <c r="Q10" s="12">
        <v>23.301871711727479</v>
      </c>
      <c r="R10" s="12">
        <v>54.964581589894259</v>
      </c>
      <c r="S10" s="12">
        <v>37.65498417856417</v>
      </c>
      <c r="T10" s="12">
        <v>81.894455764196749</v>
      </c>
      <c r="U10" s="12">
        <v>59.032306711334918</v>
      </c>
    </row>
    <row r="11" spans="1:21" x14ac:dyDescent="0.2">
      <c r="A11" s="12" t="s">
        <v>29</v>
      </c>
      <c r="B11" s="12" t="s">
        <v>30</v>
      </c>
      <c r="C11" s="11">
        <v>79.953619679476162</v>
      </c>
      <c r="D11" s="3">
        <v>9</v>
      </c>
      <c r="E11" s="12">
        <v>99.58613088222161</v>
      </c>
      <c r="F11" s="12">
        <v>80.20301230499976</v>
      </c>
      <c r="G11" s="12">
        <v>93.675393911561528</v>
      </c>
      <c r="H11" s="12">
        <v>82.160244783417966</v>
      </c>
      <c r="I11" s="12">
        <v>77.149403023550619</v>
      </c>
      <c r="J11" s="12">
        <v>94.371047649720907</v>
      </c>
      <c r="K11" s="12">
        <v>89.064188871887822</v>
      </c>
      <c r="L11" s="12">
        <v>87.579675882362778</v>
      </c>
      <c r="M11" s="12">
        <v>79.54309240159327</v>
      </c>
      <c r="N11" s="12">
        <v>87.530187420456812</v>
      </c>
      <c r="O11" s="12">
        <v>83.94687270337468</v>
      </c>
      <c r="P11" s="12">
        <v>51.466356344569796</v>
      </c>
      <c r="Q11" s="12">
        <v>83.189957779035922</v>
      </c>
      <c r="R11" s="12">
        <v>52.397336317923852</v>
      </c>
      <c r="S11" s="12">
        <v>64.641603130898005</v>
      </c>
      <c r="T11" s="12">
        <v>86.668525354795747</v>
      </c>
      <c r="U11" s="12">
        <v>66.038505788723668</v>
      </c>
    </row>
    <row r="12" spans="1:21" x14ac:dyDescent="0.2">
      <c r="A12" s="12" t="s">
        <v>125</v>
      </c>
      <c r="B12" s="12" t="s">
        <v>126</v>
      </c>
      <c r="C12" s="11">
        <v>70.795791447298839</v>
      </c>
      <c r="D12" s="3">
        <v>45</v>
      </c>
      <c r="E12" s="12">
        <v>99.997760099761379</v>
      </c>
      <c r="F12" s="12">
        <v>57.888001929132322</v>
      </c>
      <c r="G12" s="12">
        <v>74.278537966432978</v>
      </c>
      <c r="H12" s="12">
        <v>90.054286079629733</v>
      </c>
      <c r="I12" s="12">
        <v>68.151671253414293</v>
      </c>
      <c r="J12" s="12">
        <v>76.379612916327559</v>
      </c>
      <c r="K12" s="12">
        <v>85.71363783730537</v>
      </c>
      <c r="L12" s="12">
        <v>61.181765809040343</v>
      </c>
      <c r="M12" s="12">
        <v>38.652657375384671</v>
      </c>
      <c r="N12" s="12">
        <v>68.427042386016339</v>
      </c>
      <c r="O12" s="12">
        <v>79.031112161602948</v>
      </c>
      <c r="P12" s="12">
        <v>77.247392159151858</v>
      </c>
      <c r="Q12" s="12">
        <v>82.287943444202128</v>
      </c>
      <c r="R12" s="12">
        <v>48.422883381021848</v>
      </c>
      <c r="S12" s="12">
        <v>66.272458191529878</v>
      </c>
      <c r="T12" s="12">
        <v>72.328989065377968</v>
      </c>
      <c r="U12" s="12">
        <v>57.21270254874846</v>
      </c>
    </row>
    <row r="13" spans="1:21" x14ac:dyDescent="0.2">
      <c r="A13" s="12" t="s">
        <v>267</v>
      </c>
      <c r="B13" s="12" t="s">
        <v>268</v>
      </c>
    </row>
    <row r="14" spans="1:21" x14ac:dyDescent="0.2">
      <c r="A14" s="12" t="s">
        <v>241</v>
      </c>
      <c r="B14" s="12" t="s">
        <v>242</v>
      </c>
      <c r="C14" s="11">
        <v>65.897906107996093</v>
      </c>
      <c r="D14" s="3">
        <v>80</v>
      </c>
      <c r="E14" s="12">
        <v>99.896370955919025</v>
      </c>
      <c r="F14" s="12">
        <v>66.871661733923787</v>
      </c>
      <c r="G14" s="12">
        <v>88.863638713715574</v>
      </c>
      <c r="H14" s="12">
        <v>84.438320455650214</v>
      </c>
      <c r="I14" s="12">
        <v>58.111454465313429</v>
      </c>
      <c r="J14" s="12">
        <v>32.863873799739146</v>
      </c>
      <c r="K14" s="12">
        <v>88.749044608874684</v>
      </c>
      <c r="L14" s="12">
        <v>85.962842255287953</v>
      </c>
      <c r="M14" s="12">
        <v>50.243316110289058</v>
      </c>
      <c r="N14" s="12">
        <v>62.484379277144349</v>
      </c>
      <c r="O14" s="12">
        <v>61.752803434558011</v>
      </c>
      <c r="P14" s="12">
        <v>73.856544289934916</v>
      </c>
      <c r="Q14" s="12">
        <v>55.94594711611574</v>
      </c>
      <c r="R14" s="12">
        <v>40.640057549756513</v>
      </c>
      <c r="S14" s="12">
        <v>53.394674762407909</v>
      </c>
      <c r="T14" s="12">
        <v>68.709914005515827</v>
      </c>
      <c r="U14" s="12">
        <v>47.479560301787345</v>
      </c>
    </row>
    <row r="15" spans="1:21" x14ac:dyDescent="0.2">
      <c r="A15" s="12" t="s">
        <v>221</v>
      </c>
      <c r="B15" s="12" t="s">
        <v>222</v>
      </c>
      <c r="C15" s="11">
        <v>59.346448989912034</v>
      </c>
      <c r="D15" s="3">
        <v>111</v>
      </c>
      <c r="E15" s="12">
        <v>96.971137203956175</v>
      </c>
      <c r="F15" s="12">
        <v>46.807137375623959</v>
      </c>
      <c r="G15" s="12">
        <v>60.287661844539123</v>
      </c>
      <c r="H15" s="12">
        <v>63.85442933041562</v>
      </c>
      <c r="I15" s="12">
        <v>57.03155534251502</v>
      </c>
      <c r="J15" s="12">
        <v>77.319647255110922</v>
      </c>
      <c r="K15" s="12">
        <v>42.908767182781013</v>
      </c>
      <c r="L15" s="12">
        <v>63.066022514156487</v>
      </c>
      <c r="M15" s="12">
        <v>17.999726690974146</v>
      </c>
      <c r="N15" s="12">
        <v>76.506688685681837</v>
      </c>
      <c r="O15" s="12">
        <v>39.443962270616574</v>
      </c>
      <c r="P15" s="12">
        <v>77.49248992923512</v>
      </c>
      <c r="Q15" s="12">
        <v>81.108998025545134</v>
      </c>
      <c r="R15" s="12">
        <v>51.028880893586745</v>
      </c>
      <c r="S15" s="12">
        <v>54.663260674809088</v>
      </c>
      <c r="T15" s="12">
        <v>60.671359509754261</v>
      </c>
      <c r="U15" s="12">
        <v>41.727908099203283</v>
      </c>
    </row>
    <row r="16" spans="1:21" x14ac:dyDescent="0.2">
      <c r="A16" s="12" t="s">
        <v>187</v>
      </c>
      <c r="B16" s="12" t="s">
        <v>188</v>
      </c>
    </row>
    <row r="17" spans="1:21" x14ac:dyDescent="0.2">
      <c r="A17" s="12" t="s">
        <v>87</v>
      </c>
      <c r="B17" s="12" t="s">
        <v>88</v>
      </c>
      <c r="C17" s="11">
        <v>75.990731427636447</v>
      </c>
      <c r="D17" s="3">
        <v>23</v>
      </c>
      <c r="E17" s="12">
        <v>99.904216476477743</v>
      </c>
      <c r="F17" s="12">
        <v>59.53591765412758</v>
      </c>
      <c r="G17" s="12">
        <v>81.355243663364035</v>
      </c>
      <c r="H17" s="12">
        <v>93.307090824134221</v>
      </c>
      <c r="I17" s="12">
        <v>82.137149523666608</v>
      </c>
      <c r="J17" s="12">
        <v>95.436538712993439</v>
      </c>
      <c r="K17" s="12">
        <v>83.365283871701919</v>
      </c>
      <c r="L17" s="12">
        <v>79.063114059824386</v>
      </c>
      <c r="M17" s="12">
        <v>31.519541449775364</v>
      </c>
      <c r="N17" s="12">
        <v>85.933054675957806</v>
      </c>
      <c r="O17" s="12">
        <v>81.106987695861733</v>
      </c>
      <c r="P17" s="12">
        <v>82.086506649904507</v>
      </c>
      <c r="Q17" s="12">
        <v>91.133873572860324</v>
      </c>
      <c r="R17" s="12">
        <v>48.422883381021848</v>
      </c>
      <c r="S17" s="12">
        <v>70.159586235443882</v>
      </c>
      <c r="T17" s="12">
        <v>67.85769429697703</v>
      </c>
      <c r="U17" s="12">
        <v>59.517751525727419</v>
      </c>
    </row>
    <row r="18" spans="1:21" x14ac:dyDescent="0.2">
      <c r="A18" s="12" t="s">
        <v>57</v>
      </c>
      <c r="B18" s="12" t="s">
        <v>58</v>
      </c>
      <c r="C18" s="11">
        <v>79.000740580806522</v>
      </c>
      <c r="D18" s="3">
        <v>12</v>
      </c>
      <c r="E18" s="12">
        <v>99.672728353479016</v>
      </c>
      <c r="F18" s="12">
        <v>80.839939499341398</v>
      </c>
      <c r="G18" s="12">
        <v>93.105649753243156</v>
      </c>
      <c r="H18" s="12">
        <v>89.444666172387684</v>
      </c>
      <c r="I18" s="12">
        <v>84.02649974989076</v>
      </c>
      <c r="J18" s="12">
        <v>76.965139804106059</v>
      </c>
      <c r="K18" s="12">
        <v>85.901225358006741</v>
      </c>
      <c r="L18" s="12">
        <v>85.4638239701288</v>
      </c>
      <c r="M18" s="12">
        <v>73.416463795162343</v>
      </c>
      <c r="N18" s="12">
        <v>93.550959392388322</v>
      </c>
      <c r="O18" s="12">
        <v>84.455170459561089</v>
      </c>
      <c r="P18" s="12">
        <v>51.895762242806406</v>
      </c>
      <c r="Q18" s="12">
        <v>78.98480918006203</v>
      </c>
      <c r="R18" s="12">
        <v>47.216577143057314</v>
      </c>
      <c r="S18" s="12">
        <v>75.249196695171264</v>
      </c>
      <c r="T18" s="12">
        <v>83.94334089646334</v>
      </c>
      <c r="U18" s="12">
        <v>58.880637408455222</v>
      </c>
    </row>
    <row r="19" spans="1:21" x14ac:dyDescent="0.2">
      <c r="A19" s="12" t="s">
        <v>233</v>
      </c>
      <c r="B19" s="12" t="s">
        <v>234</v>
      </c>
      <c r="C19" s="11">
        <v>62.321156134643104</v>
      </c>
      <c r="D19" s="3">
        <v>103</v>
      </c>
      <c r="E19" s="12">
        <v>84.698727088619222</v>
      </c>
      <c r="F19" s="12">
        <v>58.468199031502706</v>
      </c>
      <c r="G19" s="12">
        <v>74.451165010893831</v>
      </c>
      <c r="H19" s="12">
        <v>83.138266649072904</v>
      </c>
      <c r="I19" s="12">
        <v>60.70595015945122</v>
      </c>
      <c r="J19" s="12">
        <v>90.389701422381975</v>
      </c>
      <c r="K19" s="12">
        <v>89.317369779742478</v>
      </c>
      <c r="L19" s="12">
        <v>56.293803355727015</v>
      </c>
      <c r="M19" s="12">
        <v>18.659099130553059</v>
      </c>
      <c r="N19" s="12">
        <v>36.501007236918774</v>
      </c>
      <c r="O19" s="12">
        <v>70.90001742991042</v>
      </c>
      <c r="P19" s="12">
        <v>63.783181665844303</v>
      </c>
      <c r="Q19" s="12">
        <v>84.995039101946887</v>
      </c>
      <c r="R19" s="12">
        <v>24.64189157100116</v>
      </c>
      <c r="S19" s="12">
        <v>41.622518272586298</v>
      </c>
      <c r="T19" s="12">
        <v>47.126946754359949</v>
      </c>
      <c r="U19" s="12">
        <v>73.76677062842063</v>
      </c>
    </row>
    <row r="20" spans="1:21" x14ac:dyDescent="0.2">
      <c r="A20" s="12" t="s">
        <v>299</v>
      </c>
      <c r="B20" s="12" t="s">
        <v>300</v>
      </c>
      <c r="C20" s="11">
        <v>48.980806958792449</v>
      </c>
      <c r="D20" s="3">
        <v>147</v>
      </c>
      <c r="E20" s="12">
        <v>45.828997412838703</v>
      </c>
      <c r="F20" s="12">
        <v>49.292454773928405</v>
      </c>
      <c r="G20" s="12">
        <v>46.895181385296034</v>
      </c>
      <c r="H20" s="12">
        <v>38.682895978790313</v>
      </c>
      <c r="I20" s="12">
        <v>43.10813943175436</v>
      </c>
      <c r="J20" s="12">
        <v>58.311860004003051</v>
      </c>
      <c r="K20" s="12">
        <v>10.708459135962947</v>
      </c>
      <c r="L20" s="12">
        <v>64.462911760627406</v>
      </c>
      <c r="M20" s="12">
        <v>7.5833820668744698</v>
      </c>
      <c r="N20" s="12">
        <v>36.320835472946513</v>
      </c>
      <c r="O20" s="12">
        <v>50.172913055029625</v>
      </c>
      <c r="P20" s="12">
        <v>81.331856418179399</v>
      </c>
      <c r="Q20" s="12">
        <v>84.2540177733826</v>
      </c>
      <c r="R20" s="12">
        <v>41.536714278945055</v>
      </c>
      <c r="S20" s="12">
        <v>62.152730919771841</v>
      </c>
      <c r="T20" s="12">
        <v>54.548156383829586</v>
      </c>
      <c r="U20" s="12">
        <v>57.482212047311407</v>
      </c>
    </row>
    <row r="21" spans="1:21" x14ac:dyDescent="0.2">
      <c r="A21" s="12" t="s">
        <v>141</v>
      </c>
      <c r="B21" s="12" t="s">
        <v>142</v>
      </c>
      <c r="C21" s="11">
        <v>65.391512720042059</v>
      </c>
      <c r="D21" s="3">
        <v>83</v>
      </c>
      <c r="E21" s="12">
        <v>99.93807607993665</v>
      </c>
      <c r="F21" s="12">
        <v>49.3317047169989</v>
      </c>
      <c r="G21" s="12">
        <v>69.56610894654402</v>
      </c>
      <c r="H21" s="12">
        <v>47.56921357951645</v>
      </c>
      <c r="I21" s="12">
        <v>45.740654214285023</v>
      </c>
      <c r="J21" s="12">
        <v>74.030818939027512</v>
      </c>
      <c r="K21" s="12">
        <v>83.694141629878033</v>
      </c>
      <c r="L21" s="12">
        <v>64.237959749544089</v>
      </c>
      <c r="M21" s="12">
        <v>28.773922531734076</v>
      </c>
      <c r="N21" s="12">
        <v>68.325812291725214</v>
      </c>
      <c r="O21" s="12">
        <v>75.12138098755112</v>
      </c>
      <c r="P21" s="12">
        <v>74.47420293779858</v>
      </c>
      <c r="Q21" s="12">
        <v>93.369137596792342</v>
      </c>
      <c r="R21" s="12">
        <v>45.165834529827535</v>
      </c>
      <c r="S21" s="12">
        <v>57.589835684576045</v>
      </c>
      <c r="T21" s="12">
        <v>78.559327907104233</v>
      </c>
      <c r="U21" s="12">
        <v>56.167583917875106</v>
      </c>
    </row>
    <row r="22" spans="1:21" x14ac:dyDescent="0.2">
      <c r="A22" s="12" t="s">
        <v>193</v>
      </c>
      <c r="B22" s="12" t="s">
        <v>194</v>
      </c>
      <c r="C22" s="11">
        <v>68.075263580068494</v>
      </c>
      <c r="D22" s="3">
        <v>66</v>
      </c>
      <c r="E22" s="12">
        <v>94.5366932339914</v>
      </c>
      <c r="F22" s="12">
        <v>49.583566804929184</v>
      </c>
      <c r="G22" s="12">
        <v>68.949779740737313</v>
      </c>
      <c r="H22" s="12">
        <v>76.891722197637591</v>
      </c>
      <c r="I22" s="12">
        <v>77.90574813314808</v>
      </c>
      <c r="J22" s="12">
        <v>95.794915810666325</v>
      </c>
      <c r="K22" s="12">
        <v>66.824239769247797</v>
      </c>
      <c r="L22" s="12">
        <v>72.45499134910682</v>
      </c>
      <c r="M22" s="12">
        <v>19.620727097773283</v>
      </c>
      <c r="N22" s="12">
        <v>48.70581767017233</v>
      </c>
      <c r="O22" s="12">
        <v>79.456834870420039</v>
      </c>
      <c r="P22" s="12">
        <v>75.320811569300631</v>
      </c>
      <c r="Q22" s="12">
        <v>88.391308346587692</v>
      </c>
      <c r="R22" s="12">
        <v>48.491790164654567</v>
      </c>
      <c r="S22" s="12">
        <v>71.143625743680488</v>
      </c>
      <c r="T22" s="12">
        <v>45.928205165914058</v>
      </c>
      <c r="U22" s="12">
        <v>77.278703193196321</v>
      </c>
    </row>
    <row r="23" spans="1:21" x14ac:dyDescent="0.2">
      <c r="A23" s="12" t="s">
        <v>113</v>
      </c>
      <c r="B23" s="12" t="s">
        <v>114</v>
      </c>
      <c r="C23" s="11">
        <v>67.309423047177887</v>
      </c>
      <c r="D23" s="3">
        <v>71</v>
      </c>
      <c r="E23" s="12">
        <v>99.918591736224016</v>
      </c>
      <c r="F23" s="12">
        <v>66.308864786776908</v>
      </c>
      <c r="G23" s="12">
        <v>78.845831515581082</v>
      </c>
      <c r="H23" s="12">
        <v>80.234481452438388</v>
      </c>
      <c r="I23" s="12">
        <v>54.279784218045918</v>
      </c>
      <c r="J23" s="12">
        <v>100</v>
      </c>
      <c r="K23" s="12">
        <v>64.621713531003238</v>
      </c>
      <c r="L23" s="12">
        <v>51.343851430714992</v>
      </c>
      <c r="M23" s="12">
        <v>24.807486516894976</v>
      </c>
      <c r="N23" s="12">
        <v>82.327864204069527</v>
      </c>
      <c r="O23" s="12">
        <v>61.299619857123446</v>
      </c>
      <c r="P23" s="12">
        <v>72.265239972441478</v>
      </c>
      <c r="Q23" s="12">
        <v>89.089237148498952</v>
      </c>
      <c r="R23" s="12">
        <v>11.461707805929546</v>
      </c>
      <c r="S23" s="12">
        <v>60.76797914981438</v>
      </c>
      <c r="T23" s="12">
        <v>64.747794842836839</v>
      </c>
      <c r="U23" s="12">
        <v>81.940143633630512</v>
      </c>
    </row>
    <row r="24" spans="1:21" x14ac:dyDescent="0.2">
      <c r="A24" s="12" t="s">
        <v>255</v>
      </c>
      <c r="B24" s="12" t="s">
        <v>256</v>
      </c>
      <c r="C24" s="11">
        <v>58.462531582798157</v>
      </c>
      <c r="D24" s="3">
        <v>116</v>
      </c>
      <c r="E24" s="12">
        <v>80.779796845216396</v>
      </c>
      <c r="F24" s="12">
        <v>36.381092842709521</v>
      </c>
      <c r="G24" s="12">
        <v>61.741881870318203</v>
      </c>
      <c r="H24" s="12">
        <v>76.061234363108838</v>
      </c>
      <c r="I24" s="12">
        <v>67.04159228396253</v>
      </c>
      <c r="J24" s="12">
        <v>75.507164700447447</v>
      </c>
      <c r="K24" s="12">
        <v>45.949301430563821</v>
      </c>
      <c r="L24" s="12">
        <v>49.527064511294618</v>
      </c>
      <c r="M24" s="12">
        <v>30.229611108819167</v>
      </c>
      <c r="N24" s="12">
        <v>0</v>
      </c>
      <c r="O24" s="12">
        <v>84.55537561179905</v>
      </c>
      <c r="P24" s="12">
        <v>57.534525825407457</v>
      </c>
      <c r="Q24" s="12">
        <v>68.024457524938271</v>
      </c>
      <c r="R24" s="12">
        <v>48.160238987946016</v>
      </c>
      <c r="S24" s="12">
        <v>69.787926051594383</v>
      </c>
      <c r="T24" s="12">
        <v>63.478448541585735</v>
      </c>
      <c r="U24" s="12">
        <v>79.103324407857116</v>
      </c>
    </row>
    <row r="25" spans="1:21" x14ac:dyDescent="0.2">
      <c r="A25" s="12" t="s">
        <v>119</v>
      </c>
      <c r="B25" s="12" t="s">
        <v>120</v>
      </c>
      <c r="C25" s="11">
        <v>69.6855692548435</v>
      </c>
      <c r="D25" s="3">
        <v>56</v>
      </c>
      <c r="E25" s="12">
        <v>96.854783489427433</v>
      </c>
      <c r="F25" s="12">
        <v>67.749019134615764</v>
      </c>
      <c r="G25" s="12">
        <v>78.235060012527683</v>
      </c>
      <c r="H25" s="12">
        <v>77.393826921343802</v>
      </c>
      <c r="I25" s="12">
        <v>68.331517519482162</v>
      </c>
      <c r="J25" s="12">
        <v>98.29925685072692</v>
      </c>
      <c r="K25" s="12">
        <v>89.595292073618808</v>
      </c>
      <c r="L25" s="12">
        <v>67.55987180816625</v>
      </c>
      <c r="M25" s="12">
        <v>45.268787220275122</v>
      </c>
      <c r="N25" s="12">
        <v>25.669177196519627</v>
      </c>
      <c r="O25" s="12">
        <v>79.364369389212854</v>
      </c>
      <c r="P25" s="12">
        <v>70.25912300846646</v>
      </c>
      <c r="Q25" s="12">
        <v>90.099677668088773</v>
      </c>
      <c r="R25" s="12">
        <v>59.884138200793053</v>
      </c>
      <c r="S25" s="12">
        <v>56.376498303627898</v>
      </c>
      <c r="T25" s="12">
        <v>47.276637487354925</v>
      </c>
      <c r="U25" s="12">
        <v>66.437641048091976</v>
      </c>
    </row>
    <row r="26" spans="1:21" x14ac:dyDescent="0.2">
      <c r="A26" s="12" t="s">
        <v>223</v>
      </c>
      <c r="B26" s="12" t="s">
        <v>224</v>
      </c>
    </row>
    <row r="27" spans="1:21" x14ac:dyDescent="0.2">
      <c r="A27" s="12" t="s">
        <v>107</v>
      </c>
      <c r="B27" s="12" t="s">
        <v>108</v>
      </c>
      <c r="C27" s="11">
        <v>73.126258130836518</v>
      </c>
      <c r="D27" s="3">
        <v>34</v>
      </c>
      <c r="E27" s="12">
        <v>98.222209631363341</v>
      </c>
      <c r="F27" s="12">
        <v>62.145045728855699</v>
      </c>
      <c r="G27" s="12">
        <v>80.088037692427648</v>
      </c>
      <c r="H27" s="12">
        <v>84.88122139847178</v>
      </c>
      <c r="I27" s="12">
        <v>73.93547195283746</v>
      </c>
      <c r="J27" s="12">
        <v>75.549614737324873</v>
      </c>
      <c r="K27" s="12">
        <v>83.420205348530246</v>
      </c>
      <c r="L27" s="12">
        <v>74.770417315649951</v>
      </c>
      <c r="M27" s="12">
        <v>38.606316401043934</v>
      </c>
      <c r="N27" s="12">
        <v>61.920191282048151</v>
      </c>
      <c r="O27" s="12">
        <v>77.417688668648836</v>
      </c>
      <c r="P27" s="12">
        <v>65.560209865120299</v>
      </c>
      <c r="Q27" s="12">
        <v>85.970214136230965</v>
      </c>
      <c r="R27" s="12">
        <v>57.729750557815962</v>
      </c>
      <c r="S27" s="12">
        <v>90.714347546047946</v>
      </c>
      <c r="T27" s="12">
        <v>62.785628606305465</v>
      </c>
      <c r="U27" s="12">
        <v>69.429817355498329</v>
      </c>
    </row>
    <row r="28" spans="1:21" x14ac:dyDescent="0.2">
      <c r="A28" s="12" t="s">
        <v>325</v>
      </c>
      <c r="B28" s="12" t="s">
        <v>326</v>
      </c>
      <c r="C28" s="11">
        <v>50.882511914614</v>
      </c>
      <c r="D28" s="3">
        <v>136</v>
      </c>
      <c r="E28" s="12">
        <v>71.073951252295032</v>
      </c>
      <c r="F28" s="12">
        <v>34.944428653861294</v>
      </c>
      <c r="G28" s="12">
        <v>47.097481843142077</v>
      </c>
      <c r="H28" s="12">
        <v>18.406580839852509</v>
      </c>
      <c r="I28" s="12">
        <v>36.026584446726815</v>
      </c>
      <c r="J28" s="12">
        <v>55.202112206801381</v>
      </c>
      <c r="K28" s="12">
        <v>8.0652756565191979</v>
      </c>
      <c r="L28" s="12">
        <v>54.32224505694257</v>
      </c>
      <c r="M28" s="12">
        <v>11.889811871154942</v>
      </c>
      <c r="N28" s="12">
        <v>78.201801479135099</v>
      </c>
      <c r="O28" s="12">
        <v>51.733208465170435</v>
      </c>
      <c r="P28" s="12">
        <v>80.424636795925792</v>
      </c>
      <c r="Q28" s="12">
        <v>89.726991329883091</v>
      </c>
      <c r="R28" s="12">
        <v>48.160238987946016</v>
      </c>
      <c r="S28" s="12">
        <v>65.612156764971843</v>
      </c>
      <c r="T28" s="12">
        <v>55.105014290459991</v>
      </c>
      <c r="U28" s="12">
        <v>59.010182607649959</v>
      </c>
    </row>
    <row r="29" spans="1:21" x14ac:dyDescent="0.2">
      <c r="A29" s="12" t="s">
        <v>313</v>
      </c>
      <c r="B29" s="12" t="s">
        <v>314</v>
      </c>
      <c r="C29" s="11">
        <v>49.820583498784707</v>
      </c>
      <c r="D29" s="3">
        <v>141</v>
      </c>
      <c r="E29" s="12">
        <v>0</v>
      </c>
      <c r="F29" s="12">
        <v>41.390699649920123</v>
      </c>
      <c r="G29" s="12">
        <v>46.385588188959083</v>
      </c>
      <c r="H29" s="12">
        <v>54.014533731690399</v>
      </c>
      <c r="I29" s="12">
        <v>69.235016041723071</v>
      </c>
      <c r="J29" s="12">
        <v>67.882813880930101</v>
      </c>
      <c r="K29" s="12">
        <v>5.5572207011550238E-2</v>
      </c>
      <c r="L29" s="12">
        <v>43.646874313147393</v>
      </c>
      <c r="M29" s="12">
        <v>4.7445829851141861</v>
      </c>
      <c r="N29" s="12">
        <v>67.18972409231398</v>
      </c>
      <c r="O29" s="12">
        <v>52.31142916169123</v>
      </c>
      <c r="P29" s="12">
        <v>83.093212868293548</v>
      </c>
      <c r="Q29" s="12">
        <v>83.777697923850894</v>
      </c>
      <c r="R29" s="12">
        <v>48.160238987946016</v>
      </c>
      <c r="S29" s="12">
        <v>71.87997178119511</v>
      </c>
      <c r="T29" s="12">
        <v>49.698363984639833</v>
      </c>
      <c r="U29" s="12">
        <v>63.483599680913564</v>
      </c>
    </row>
    <row r="30" spans="1:21" x14ac:dyDescent="0.2">
      <c r="A30" s="12" t="s">
        <v>197</v>
      </c>
      <c r="B30" s="12" t="s">
        <v>198</v>
      </c>
      <c r="C30" s="11">
        <v>64.675379580030821</v>
      </c>
      <c r="D30" s="3">
        <v>88</v>
      </c>
      <c r="E30" s="12">
        <v>83.4698443193343</v>
      </c>
      <c r="F30" s="12">
        <v>46.553097920879075</v>
      </c>
      <c r="G30" s="12">
        <v>75.251712371233381</v>
      </c>
      <c r="H30" s="12">
        <v>63.070889348676566</v>
      </c>
      <c r="I30" s="12">
        <v>61.727837794173013</v>
      </c>
      <c r="J30" s="12">
        <v>81.595341815721341</v>
      </c>
      <c r="K30" s="12">
        <v>79.731422338615744</v>
      </c>
      <c r="L30" s="12">
        <v>64.645059507800383</v>
      </c>
      <c r="M30" s="12">
        <v>26.452379640946191</v>
      </c>
      <c r="N30" s="12">
        <v>36.685344433674224</v>
      </c>
      <c r="O30" s="12">
        <v>78.044050925520025</v>
      </c>
      <c r="P30" s="12">
        <v>79.732538566155384</v>
      </c>
      <c r="Q30" s="12">
        <v>87.033089551041414</v>
      </c>
      <c r="R30" s="12">
        <v>45.976559925922295</v>
      </c>
      <c r="S30" s="12">
        <v>61.698109929245057</v>
      </c>
      <c r="T30" s="12">
        <v>66.039941989020775</v>
      </c>
      <c r="U30" s="12">
        <v>61.774232482564663</v>
      </c>
    </row>
    <row r="31" spans="1:21" x14ac:dyDescent="0.2">
      <c r="A31" s="12" t="s">
        <v>225</v>
      </c>
      <c r="B31" s="12" t="s">
        <v>226</v>
      </c>
      <c r="C31" s="11">
        <v>60.381247465027521</v>
      </c>
      <c r="D31" s="3">
        <v>109</v>
      </c>
      <c r="E31" s="12">
        <v>99.938781341991842</v>
      </c>
      <c r="F31" s="12">
        <v>51.760917648368071</v>
      </c>
      <c r="G31" s="12">
        <v>61.012891478207358</v>
      </c>
      <c r="H31" s="12">
        <v>60.855510821158596</v>
      </c>
      <c r="I31" s="12">
        <v>62.869210979591898</v>
      </c>
      <c r="J31" s="12">
        <v>81.085904483704823</v>
      </c>
      <c r="K31" s="12">
        <v>35.495605396719611</v>
      </c>
      <c r="L31" s="12">
        <v>46.986301790695833</v>
      </c>
      <c r="M31" s="12">
        <v>20.308149132472131</v>
      </c>
      <c r="N31" s="12">
        <v>90.982760130311533</v>
      </c>
      <c r="O31" s="12">
        <v>73.772195165140033</v>
      </c>
      <c r="P31" s="12">
        <v>80.838684346783594</v>
      </c>
      <c r="Q31" s="12">
        <v>73.228549467326019</v>
      </c>
      <c r="R31" s="12">
        <v>34.493253163553881</v>
      </c>
      <c r="S31" s="12">
        <v>43.23646403727605</v>
      </c>
      <c r="T31" s="12">
        <v>55.137045849789814</v>
      </c>
      <c r="U31" s="12">
        <v>54.478981672376811</v>
      </c>
    </row>
    <row r="32" spans="1:21" x14ac:dyDescent="0.2">
      <c r="A32" s="12" t="s">
        <v>297</v>
      </c>
      <c r="B32" s="12" t="s">
        <v>298</v>
      </c>
      <c r="C32" s="11">
        <v>55.78373887250131</v>
      </c>
      <c r="D32" s="3">
        <v>121</v>
      </c>
      <c r="E32" s="12">
        <v>75.423623115369196</v>
      </c>
      <c r="F32" s="12">
        <v>49.670931438378489</v>
      </c>
      <c r="G32" s="12">
        <v>43.482190022812794</v>
      </c>
      <c r="H32" s="12">
        <v>62.936608287096455</v>
      </c>
      <c r="I32" s="12">
        <v>58.681273073245748</v>
      </c>
      <c r="J32" s="12">
        <v>65.683284480568588</v>
      </c>
      <c r="K32" s="12">
        <v>47.005712579237972</v>
      </c>
      <c r="L32" s="12">
        <v>55.627141319578783</v>
      </c>
      <c r="M32" s="12">
        <v>10.013014149682398</v>
      </c>
      <c r="N32" s="12">
        <v>43.301294604751739</v>
      </c>
      <c r="O32" s="12">
        <v>39.512871787589567</v>
      </c>
      <c r="P32" s="12">
        <v>81.368557040103454</v>
      </c>
      <c r="Q32" s="12">
        <v>94.773424258893954</v>
      </c>
      <c r="R32" s="12">
        <v>47.270127111350803</v>
      </c>
      <c r="S32" s="12">
        <v>67.581195210207696</v>
      </c>
      <c r="T32" s="12">
        <v>48.914567778798101</v>
      </c>
      <c r="U32" s="12">
        <v>57.077744574856496</v>
      </c>
    </row>
    <row r="33" spans="1:21" x14ac:dyDescent="0.2">
      <c r="A33" s="12" t="s">
        <v>71</v>
      </c>
      <c r="B33" s="12" t="s">
        <v>72</v>
      </c>
      <c r="C33" s="11">
        <v>76.794907926584756</v>
      </c>
      <c r="D33" s="3">
        <v>20</v>
      </c>
      <c r="E33" s="12">
        <v>99.422795628531105</v>
      </c>
      <c r="F33" s="12">
        <v>65.569457295563325</v>
      </c>
      <c r="G33" s="12">
        <v>94.314133008615769</v>
      </c>
      <c r="H33" s="12">
        <v>99.285917865846756</v>
      </c>
      <c r="I33" s="12">
        <v>81.125358002042731</v>
      </c>
      <c r="J33" s="12">
        <v>75.378693422343702</v>
      </c>
      <c r="K33" s="12">
        <v>91.494450005433848</v>
      </c>
      <c r="L33" s="12">
        <v>85.574620928366613</v>
      </c>
      <c r="M33" s="12">
        <v>75.79205440779144</v>
      </c>
      <c r="N33" s="12">
        <v>78.970869700878765</v>
      </c>
      <c r="O33" s="12">
        <v>81.923017281039279</v>
      </c>
      <c r="P33" s="12">
        <v>52.943653487696871</v>
      </c>
      <c r="Q33" s="12">
        <v>66.414247326645267</v>
      </c>
      <c r="R33" s="12">
        <v>54.040336960330485</v>
      </c>
      <c r="S33" s="12">
        <v>51.50015935265202</v>
      </c>
      <c r="T33" s="12">
        <v>88.349090439830022</v>
      </c>
      <c r="U33" s="12">
        <v>63.414579638332917</v>
      </c>
    </row>
    <row r="34" spans="1:21" x14ac:dyDescent="0.2">
      <c r="A34" s="12" t="s">
        <v>349</v>
      </c>
      <c r="B34" s="12" t="s">
        <v>350</v>
      </c>
      <c r="C34" s="11">
        <v>37.655090041198029</v>
      </c>
      <c r="D34" s="3">
        <v>156</v>
      </c>
      <c r="E34" s="12">
        <v>0</v>
      </c>
      <c r="F34" s="12">
        <v>32.40690089913582</v>
      </c>
      <c r="G34" s="12">
        <v>21.753239661681704</v>
      </c>
      <c r="H34" s="12">
        <v>16.013987987145544</v>
      </c>
      <c r="I34" s="12">
        <v>36.174595501671327</v>
      </c>
      <c r="J34" s="12">
        <v>60.014965647786362</v>
      </c>
      <c r="K34" s="12">
        <v>1.7607925687019355</v>
      </c>
      <c r="L34" s="12">
        <v>21.944405223497778</v>
      </c>
      <c r="M34" s="12">
        <v>0.8450806686636263</v>
      </c>
      <c r="N34" s="12">
        <v>19.384362135604626</v>
      </c>
      <c r="O34" s="12">
        <v>31.962190811554922</v>
      </c>
      <c r="P34" s="12">
        <v>77.270434204270401</v>
      </c>
      <c r="Q34" s="12">
        <v>76.516019273994203</v>
      </c>
      <c r="R34" s="12">
        <v>48.160238987946016</v>
      </c>
      <c r="S34" s="12">
        <v>89.254983441206903</v>
      </c>
      <c r="T34" s="12">
        <v>56.674333687505367</v>
      </c>
      <c r="U34" s="12">
        <v>50</v>
      </c>
    </row>
    <row r="35" spans="1:21" x14ac:dyDescent="0.2">
      <c r="A35" s="12" t="s">
        <v>347</v>
      </c>
      <c r="B35" s="12" t="s">
        <v>348</v>
      </c>
      <c r="C35" s="11">
        <v>42.807073850170397</v>
      </c>
      <c r="D35" s="3">
        <v>155</v>
      </c>
      <c r="E35" s="12">
        <v>43.19901790559036</v>
      </c>
      <c r="F35" s="12">
        <v>31.266232648093524</v>
      </c>
      <c r="G35" s="12">
        <v>25.797906971649972</v>
      </c>
      <c r="H35" s="12">
        <v>18.100466524043931</v>
      </c>
      <c r="I35" s="12">
        <v>28.164206381879421</v>
      </c>
      <c r="J35" s="12">
        <v>51.056363616059784</v>
      </c>
      <c r="K35" s="12">
        <v>0.79730942205877509</v>
      </c>
      <c r="L35" s="12">
        <v>46.287289896380614</v>
      </c>
      <c r="M35" s="12">
        <v>3.2008395579464803</v>
      </c>
      <c r="N35" s="12">
        <v>53.368860107987835</v>
      </c>
      <c r="O35" s="12">
        <v>49.242224131941782</v>
      </c>
      <c r="P35" s="12">
        <v>76.841249654914179</v>
      </c>
      <c r="Q35" s="12">
        <v>85.562244270379566</v>
      </c>
      <c r="R35" s="12">
        <v>48.160238987946016</v>
      </c>
      <c r="S35" s="12">
        <v>76.310256537108586</v>
      </c>
      <c r="T35" s="12">
        <v>36.674792746139353</v>
      </c>
      <c r="U35" s="12">
        <v>53.690756092776468</v>
      </c>
    </row>
    <row r="36" spans="1:21" x14ac:dyDescent="0.2">
      <c r="A36" s="12" t="s">
        <v>79</v>
      </c>
      <c r="B36" s="12" t="s">
        <v>80</v>
      </c>
      <c r="C36" s="11">
        <v>72.791514733871395</v>
      </c>
      <c r="D36" s="3">
        <v>38</v>
      </c>
      <c r="E36" s="12">
        <v>99.544123125206724</v>
      </c>
      <c r="F36" s="12">
        <v>68.634452695651319</v>
      </c>
      <c r="G36" s="12">
        <v>86.880237633970296</v>
      </c>
      <c r="H36" s="12">
        <v>84.083742202216484</v>
      </c>
      <c r="I36" s="12">
        <v>66.583674631766357</v>
      </c>
      <c r="J36" s="12">
        <v>94.153954518540161</v>
      </c>
      <c r="K36" s="12">
        <v>87.529260401015222</v>
      </c>
      <c r="L36" s="12">
        <v>78.100208875129908</v>
      </c>
      <c r="M36" s="12">
        <v>43.555471383835318</v>
      </c>
      <c r="N36" s="12">
        <v>27.421934204940069</v>
      </c>
      <c r="O36" s="12">
        <v>79.558164220269617</v>
      </c>
      <c r="P36" s="12">
        <v>73.954837234124483</v>
      </c>
      <c r="Q36" s="12">
        <v>92.444072496084587</v>
      </c>
      <c r="R36" s="12">
        <v>62.89650121292302</v>
      </c>
      <c r="S36" s="12">
        <v>49.965885412335112</v>
      </c>
      <c r="T36" s="12">
        <v>68.348863067876962</v>
      </c>
      <c r="U36" s="12">
        <v>73.800367159927859</v>
      </c>
    </row>
    <row r="37" spans="1:21" x14ac:dyDescent="0.2">
      <c r="A37" s="12" t="s">
        <v>145</v>
      </c>
      <c r="B37" s="12" t="s">
        <v>146</v>
      </c>
      <c r="C37" s="11">
        <v>70.053265611916316</v>
      </c>
      <c r="D37" s="3">
        <v>54</v>
      </c>
      <c r="E37" s="12">
        <v>99.666720743406358</v>
      </c>
      <c r="F37" s="12">
        <v>71.5424606814572</v>
      </c>
      <c r="G37" s="12">
        <v>79.96585548663019</v>
      </c>
      <c r="H37" s="12">
        <v>73.80203373071285</v>
      </c>
      <c r="I37" s="12">
        <v>75.612200492337934</v>
      </c>
      <c r="J37" s="12">
        <v>89.941602388580066</v>
      </c>
      <c r="K37" s="12">
        <v>69.136613473722591</v>
      </c>
      <c r="L37" s="12">
        <v>83.059168260960377</v>
      </c>
      <c r="M37" s="12">
        <v>58.65482754390132</v>
      </c>
      <c r="N37" s="12">
        <v>59.634040528082146</v>
      </c>
      <c r="O37" s="12">
        <v>69.210675482555402</v>
      </c>
      <c r="P37" s="12">
        <v>73.152985986189464</v>
      </c>
      <c r="Q37" s="12">
        <v>69.32204287231886</v>
      </c>
      <c r="R37" s="12">
        <v>33.495936549859948</v>
      </c>
      <c r="S37" s="12">
        <v>58.594888513120658</v>
      </c>
      <c r="T37" s="12">
        <v>72.468165468477167</v>
      </c>
      <c r="U37" s="12">
        <v>53.645297200264785</v>
      </c>
    </row>
    <row r="38" spans="1:21" x14ac:dyDescent="0.2">
      <c r="A38" s="12" t="s">
        <v>171</v>
      </c>
      <c r="B38" s="12" t="s">
        <v>172</v>
      </c>
      <c r="C38" s="11">
        <v>66.608160939795781</v>
      </c>
      <c r="D38" s="3">
        <v>74</v>
      </c>
      <c r="E38" s="12">
        <v>95.547559075353007</v>
      </c>
      <c r="F38" s="12">
        <v>56.736664453473509</v>
      </c>
      <c r="G38" s="12">
        <v>80.82679878252786</v>
      </c>
      <c r="H38" s="12">
        <v>75.513946220787972</v>
      </c>
      <c r="I38" s="12">
        <v>71.997875362345809</v>
      </c>
      <c r="J38" s="12">
        <v>97.593123083609498</v>
      </c>
      <c r="K38" s="12">
        <v>85.418118089425477</v>
      </c>
      <c r="L38" s="12">
        <v>56.941490249317255</v>
      </c>
      <c r="M38" s="12">
        <v>28.230522310082456</v>
      </c>
      <c r="N38" s="12">
        <v>21.766788134381766</v>
      </c>
      <c r="O38" s="12">
        <v>80.787438554382234</v>
      </c>
      <c r="P38" s="12">
        <v>74.690445096297296</v>
      </c>
      <c r="Q38" s="12">
        <v>86.629860346209711</v>
      </c>
      <c r="R38" s="12">
        <v>54.194179961720245</v>
      </c>
      <c r="S38" s="12">
        <v>53.553638776642266</v>
      </c>
      <c r="T38" s="12">
        <v>50.630829366847443</v>
      </c>
      <c r="U38" s="12">
        <v>61.279458113124747</v>
      </c>
    </row>
    <row r="39" spans="1:21" x14ac:dyDescent="0.2">
      <c r="A39" s="12" t="s">
        <v>327</v>
      </c>
      <c r="B39" s="12" t="s">
        <v>328</v>
      </c>
    </row>
    <row r="40" spans="1:21" x14ac:dyDescent="0.2">
      <c r="A40" s="12" t="s">
        <v>337</v>
      </c>
      <c r="B40" s="12" t="s">
        <v>338</v>
      </c>
      <c r="C40" s="11">
        <v>43.388347519357943</v>
      </c>
      <c r="D40" s="3">
        <v>154</v>
      </c>
      <c r="E40" s="12">
        <v>6.702361200737764</v>
      </c>
      <c r="F40" s="12">
        <v>34.802069947442668</v>
      </c>
      <c r="G40" s="12">
        <v>38.311199695921808</v>
      </c>
      <c r="H40" s="12">
        <v>53.549176196956324</v>
      </c>
      <c r="I40" s="12">
        <v>40.532695979539739</v>
      </c>
      <c r="J40" s="12">
        <v>53.344733357045698</v>
      </c>
      <c r="K40" s="12">
        <v>33.173704728967614</v>
      </c>
      <c r="L40" s="12">
        <v>39.564470054787932</v>
      </c>
      <c r="M40" s="12">
        <v>3.532471212859829</v>
      </c>
      <c r="N40" s="12">
        <v>59.051476199985188</v>
      </c>
      <c r="O40" s="12">
        <v>47.731800998884694</v>
      </c>
      <c r="P40" s="12">
        <v>79.959646904416445</v>
      </c>
      <c r="Q40" s="12">
        <v>92.563302363010465</v>
      </c>
      <c r="R40" s="12">
        <v>10.665242736907045</v>
      </c>
      <c r="S40" s="12">
        <v>60.939996451264093</v>
      </c>
      <c r="T40" s="12">
        <v>39.266917088421074</v>
      </c>
      <c r="U40" s="12">
        <v>43.910642711936568</v>
      </c>
    </row>
    <row r="41" spans="1:21" x14ac:dyDescent="0.2">
      <c r="A41" s="12" t="s">
        <v>321</v>
      </c>
      <c r="B41" s="12" t="s">
        <v>322</v>
      </c>
      <c r="C41" s="11">
        <v>52.384909210843709</v>
      </c>
      <c r="D41" s="3">
        <v>130</v>
      </c>
      <c r="E41" s="12">
        <v>19.742885837671984</v>
      </c>
      <c r="F41" s="12">
        <v>40.338157566385782</v>
      </c>
      <c r="G41" s="12">
        <v>51.150541097871319</v>
      </c>
      <c r="H41" s="12">
        <v>56.951771345447924</v>
      </c>
      <c r="I41" s="12">
        <v>61.162519713671415</v>
      </c>
      <c r="J41" s="12">
        <v>52.943127021106939</v>
      </c>
      <c r="K41" s="12">
        <v>34.983404215089713</v>
      </c>
      <c r="L41" s="12">
        <v>45.121550535479365</v>
      </c>
      <c r="M41" s="12">
        <v>12.387121230064924</v>
      </c>
      <c r="N41" s="12">
        <v>29.472738006656662</v>
      </c>
      <c r="O41" s="12">
        <v>58.506831601701265</v>
      </c>
      <c r="P41" s="12">
        <v>78.123203015803043</v>
      </c>
      <c r="Q41" s="12">
        <v>93.27365132831568</v>
      </c>
      <c r="R41" s="12">
        <v>52.743178694159809</v>
      </c>
      <c r="S41" s="12">
        <v>90.369661276491854</v>
      </c>
      <c r="T41" s="12">
        <v>63.521599977418013</v>
      </c>
      <c r="U41" s="12">
        <v>49.75151412100724</v>
      </c>
    </row>
    <row r="42" spans="1:21" x14ac:dyDescent="0.2">
      <c r="A42" s="12" t="s">
        <v>123</v>
      </c>
      <c r="B42" s="12" t="s">
        <v>124</v>
      </c>
      <c r="C42" s="11">
        <v>73.151881009115257</v>
      </c>
      <c r="D42" s="3">
        <v>33</v>
      </c>
      <c r="E42" s="12">
        <v>100</v>
      </c>
      <c r="F42" s="12">
        <v>56.989916400116726</v>
      </c>
      <c r="G42" s="12">
        <v>87.010398178155768</v>
      </c>
      <c r="H42" s="12">
        <v>83.139813216517581</v>
      </c>
      <c r="I42" s="12">
        <v>78.06667349261636</v>
      </c>
      <c r="J42" s="12">
        <v>91.232191117609432</v>
      </c>
      <c r="K42" s="12">
        <v>91.911723999382772</v>
      </c>
      <c r="L42" s="12">
        <v>71.333757008857958</v>
      </c>
      <c r="M42" s="12">
        <v>36.227609179255545</v>
      </c>
      <c r="N42" s="12">
        <v>34.847615955696995</v>
      </c>
      <c r="O42" s="12">
        <v>89.893713793261057</v>
      </c>
      <c r="P42" s="12">
        <v>72.905497047638903</v>
      </c>
      <c r="Q42" s="12">
        <v>90.863452285546714</v>
      </c>
      <c r="R42" s="12">
        <v>62.084680050430244</v>
      </c>
      <c r="S42" s="12">
        <v>61.509858740242649</v>
      </c>
      <c r="T42" s="12">
        <v>64.194846634156875</v>
      </c>
      <c r="U42" s="12">
        <v>71.370230055473911</v>
      </c>
    </row>
    <row r="43" spans="1:21" x14ac:dyDescent="0.2">
      <c r="A43" s="12" t="s">
        <v>259</v>
      </c>
      <c r="B43" s="12" t="s">
        <v>260</v>
      </c>
      <c r="C43" s="11">
        <v>55.17761649437761</v>
      </c>
      <c r="D43" s="3">
        <v>122</v>
      </c>
      <c r="E43" s="12">
        <v>78.24443759574865</v>
      </c>
      <c r="F43" s="12">
        <v>45.088509214948317</v>
      </c>
      <c r="G43" s="12">
        <v>36.343028709515494</v>
      </c>
      <c r="H43" s="12">
        <v>34.589448596697487</v>
      </c>
      <c r="I43" s="12">
        <v>39.862484536299966</v>
      </c>
      <c r="J43" s="12">
        <v>67.935890957797383</v>
      </c>
      <c r="K43" s="12">
        <v>46.57063678005904</v>
      </c>
      <c r="L43" s="12">
        <v>63.878210204675334</v>
      </c>
      <c r="M43" s="12">
        <v>24.755020217704672</v>
      </c>
      <c r="N43" s="12">
        <v>46.775357924469652</v>
      </c>
      <c r="O43" s="12">
        <v>56.54079308083508</v>
      </c>
      <c r="P43" s="12">
        <v>77.39042873359152</v>
      </c>
      <c r="Q43" s="12">
        <v>95.612178727929773</v>
      </c>
      <c r="R43" s="12">
        <v>36.258640427638767</v>
      </c>
      <c r="S43" s="12">
        <v>71.192197788500152</v>
      </c>
      <c r="T43" s="12">
        <v>56.385432916190801</v>
      </c>
      <c r="U43" s="12">
        <v>60.596783991817382</v>
      </c>
    </row>
    <row r="44" spans="1:21" x14ac:dyDescent="0.2">
      <c r="A44" s="12" t="s">
        <v>43</v>
      </c>
      <c r="B44" s="12" t="s">
        <v>44</v>
      </c>
      <c r="C44" s="11">
        <v>76.519228638448183</v>
      </c>
      <c r="D44" s="3">
        <v>21</v>
      </c>
      <c r="E44" s="12">
        <v>98.967037737540124</v>
      </c>
      <c r="F44" s="12">
        <v>72.609916392178363</v>
      </c>
      <c r="G44" s="12">
        <v>86.099624584812204</v>
      </c>
      <c r="H44" s="12">
        <v>84.532838797824525</v>
      </c>
      <c r="I44" s="12">
        <v>71.535255214243648</v>
      </c>
      <c r="J44" s="12">
        <v>82.500301968650717</v>
      </c>
      <c r="K44" s="12">
        <v>83.811724426541005</v>
      </c>
      <c r="L44" s="12">
        <v>72.524123306642508</v>
      </c>
      <c r="M44" s="12">
        <v>51.028854890669855</v>
      </c>
      <c r="N44" s="12">
        <v>69.967034798546152</v>
      </c>
      <c r="O44" s="12">
        <v>80.683362603868972</v>
      </c>
      <c r="P44" s="12">
        <v>68.424617390265411</v>
      </c>
      <c r="Q44" s="12">
        <v>91.605498195708805</v>
      </c>
      <c r="R44" s="12">
        <v>67.935431248217952</v>
      </c>
      <c r="S44" s="12">
        <v>79.170992287338777</v>
      </c>
      <c r="T44" s="12">
        <v>66.034429929829102</v>
      </c>
      <c r="U44" s="12">
        <v>73.395843080740804</v>
      </c>
    </row>
    <row r="45" spans="1:21" x14ac:dyDescent="0.2">
      <c r="A45" s="12" t="s">
        <v>111</v>
      </c>
      <c r="B45" s="12" t="s">
        <v>112</v>
      </c>
      <c r="C45" s="11">
        <v>71.338618917306434</v>
      </c>
      <c r="D45" s="3">
        <v>42</v>
      </c>
      <c r="E45" s="12">
        <v>98.400328665113889</v>
      </c>
      <c r="F45" s="12">
        <v>65.350812752081481</v>
      </c>
      <c r="G45" s="12">
        <v>85.386005614899858</v>
      </c>
      <c r="H45" s="12">
        <v>92.157284219309034</v>
      </c>
      <c r="I45" s="12">
        <v>82.346895948397389</v>
      </c>
      <c r="J45" s="12">
        <v>90.345174510657372</v>
      </c>
      <c r="K45" s="12">
        <v>79.998232689846574</v>
      </c>
      <c r="L45" s="12">
        <v>85.944362953550694</v>
      </c>
      <c r="M45" s="12">
        <v>12.424755977566038</v>
      </c>
      <c r="N45" s="12">
        <v>36.501007236918774</v>
      </c>
      <c r="O45" s="12">
        <v>56.807932287971447</v>
      </c>
      <c r="P45" s="12">
        <v>74.233123360060219</v>
      </c>
      <c r="Q45" s="12">
        <v>81.973520216750103</v>
      </c>
      <c r="R45" s="12">
        <v>51.039539200040828</v>
      </c>
      <c r="S45" s="12">
        <v>59.058413912883793</v>
      </c>
      <c r="T45" s="12">
        <v>60.789132048161974</v>
      </c>
      <c r="U45" s="12">
        <v>100</v>
      </c>
    </row>
    <row r="46" spans="1:21" x14ac:dyDescent="0.2">
      <c r="A46" s="12" t="s">
        <v>137</v>
      </c>
      <c r="B46" s="12" t="s">
        <v>138</v>
      </c>
      <c r="C46" s="11">
        <v>70.364129823152155</v>
      </c>
      <c r="D46" s="3">
        <v>50</v>
      </c>
      <c r="E46" s="12">
        <v>99.878851948773232</v>
      </c>
      <c r="F46" s="12">
        <v>56.974278980385144</v>
      </c>
      <c r="G46" s="12">
        <v>91.541867681745131</v>
      </c>
      <c r="H46" s="12">
        <v>93.268361056949132</v>
      </c>
      <c r="I46" s="12">
        <v>70.68097218394189</v>
      </c>
      <c r="J46" s="12">
        <v>76.913900083977992</v>
      </c>
      <c r="K46" s="12">
        <v>86.19859883361346</v>
      </c>
      <c r="L46" s="12">
        <v>70.595639444393498</v>
      </c>
      <c r="M46" s="12">
        <v>54.136262598717273</v>
      </c>
      <c r="N46" s="12">
        <v>77.482122189241963</v>
      </c>
      <c r="O46" s="12">
        <v>76.867346080883195</v>
      </c>
      <c r="P46" s="12">
        <v>39.619400561152524</v>
      </c>
      <c r="Q46" s="12">
        <v>76.203265324380553</v>
      </c>
      <c r="R46" s="12">
        <v>45.240351281709266</v>
      </c>
      <c r="S46" s="12">
        <v>74.760070150050765</v>
      </c>
      <c r="T46" s="12">
        <v>80.550580079125112</v>
      </c>
      <c r="U46" s="12">
        <v>25.278338514546316</v>
      </c>
    </row>
    <row r="47" spans="1:21" x14ac:dyDescent="0.2">
      <c r="A47" s="12" t="s">
        <v>435</v>
      </c>
      <c r="B47" s="12" t="s">
        <v>36</v>
      </c>
      <c r="C47" s="11">
        <v>78.723282378999656</v>
      </c>
      <c r="D47" s="3">
        <v>13</v>
      </c>
      <c r="E47" s="12">
        <v>99.589496818058166</v>
      </c>
      <c r="F47" s="12">
        <v>69.100770969740282</v>
      </c>
      <c r="G47" s="12">
        <v>91.552465794437651</v>
      </c>
      <c r="H47" s="12">
        <v>91.323182264796145</v>
      </c>
      <c r="I47" s="12">
        <v>72.594303178521642</v>
      </c>
      <c r="J47" s="12">
        <v>87.374223560679667</v>
      </c>
      <c r="K47" s="12">
        <v>87.179751211498569</v>
      </c>
      <c r="L47" s="12">
        <v>81.022815437851818</v>
      </c>
      <c r="M47" s="12">
        <v>62.69936180470993</v>
      </c>
      <c r="N47" s="12">
        <v>92.400577711934829</v>
      </c>
      <c r="O47" s="12">
        <v>86.906456104964377</v>
      </c>
      <c r="P47" s="12">
        <v>71.087504578137768</v>
      </c>
      <c r="Q47" s="12">
        <v>87.936254010491695</v>
      </c>
      <c r="R47" s="12">
        <v>52.397336317923852</v>
      </c>
      <c r="S47" s="12">
        <v>83.834322734632494</v>
      </c>
      <c r="T47" s="12">
        <v>71.965627484012245</v>
      </c>
      <c r="U47" s="12">
        <v>49.331350460603119</v>
      </c>
    </row>
    <row r="48" spans="1:21" x14ac:dyDescent="0.2">
      <c r="A48" s="12" t="s">
        <v>25</v>
      </c>
      <c r="B48" s="12" t="s">
        <v>26</v>
      </c>
      <c r="C48" s="11">
        <v>84.608247317044928</v>
      </c>
      <c r="D48" s="3">
        <v>2</v>
      </c>
      <c r="E48" s="12">
        <v>99.468818911725322</v>
      </c>
      <c r="F48" s="12">
        <v>78.065557417396036</v>
      </c>
      <c r="G48" s="12">
        <v>95.144416598562202</v>
      </c>
      <c r="H48" s="12">
        <v>96.080943533095706</v>
      </c>
      <c r="I48" s="12">
        <v>84.995110190994978</v>
      </c>
      <c r="J48" s="12">
        <v>89.006918041564546</v>
      </c>
      <c r="K48" s="12">
        <v>88.714962445949027</v>
      </c>
      <c r="L48" s="12">
        <v>86.932367671696881</v>
      </c>
      <c r="M48" s="12">
        <v>87.386451543145895</v>
      </c>
      <c r="N48" s="12">
        <v>96.616600348105891</v>
      </c>
      <c r="O48" s="12">
        <v>88.525511926004597</v>
      </c>
      <c r="P48" s="12">
        <v>55.019349111065786</v>
      </c>
      <c r="Q48" s="12">
        <v>87.382894821422838</v>
      </c>
      <c r="R48" s="12">
        <v>51.386019972881627</v>
      </c>
      <c r="S48" s="12">
        <v>76.243794390934127</v>
      </c>
      <c r="T48" s="12">
        <v>90.207494021548413</v>
      </c>
      <c r="U48" s="12">
        <v>87.162993443670004</v>
      </c>
    </row>
    <row r="49" spans="1:21" x14ac:dyDescent="0.2">
      <c r="A49" s="12" t="s">
        <v>319</v>
      </c>
      <c r="B49" s="12" t="s">
        <v>320</v>
      </c>
      <c r="C49" s="11">
        <v>50.628627350087164</v>
      </c>
      <c r="D49" s="3">
        <v>139</v>
      </c>
      <c r="E49" s="12">
        <v>86.513916645466963</v>
      </c>
      <c r="F49" s="12">
        <v>37.20256278922335</v>
      </c>
      <c r="G49" s="12">
        <v>55.196326781869736</v>
      </c>
      <c r="H49" s="12">
        <v>13.813439608958372</v>
      </c>
      <c r="I49" s="12">
        <v>41.289792577237819</v>
      </c>
      <c r="J49" s="12">
        <v>51.923697080127937</v>
      </c>
      <c r="K49" s="12">
        <v>24.845356133228883</v>
      </c>
      <c r="L49" s="12">
        <v>44.591678608109156</v>
      </c>
      <c r="M49" s="12">
        <v>8.4126340022700212</v>
      </c>
      <c r="N49" s="12">
        <v>45.198308549028702</v>
      </c>
      <c r="O49" s="12">
        <v>68.218240223324301</v>
      </c>
      <c r="P49" s="12">
        <v>79.153711693534547</v>
      </c>
      <c r="Q49" s="12">
        <v>71.786373465602949</v>
      </c>
      <c r="R49" s="12">
        <v>31.187499844981343</v>
      </c>
      <c r="S49" s="12">
        <v>48.377834322551635</v>
      </c>
      <c r="T49" s="12">
        <v>76.652641702165027</v>
      </c>
      <c r="U49" s="12">
        <v>76.322650923801149</v>
      </c>
    </row>
    <row r="50" spans="1:21" x14ac:dyDescent="0.2">
      <c r="A50" s="12" t="s">
        <v>357</v>
      </c>
      <c r="B50" s="12" t="s">
        <v>358</v>
      </c>
    </row>
    <row r="51" spans="1:21" x14ac:dyDescent="0.2">
      <c r="A51" s="12" t="s">
        <v>143</v>
      </c>
      <c r="B51" s="12" t="s">
        <v>144</v>
      </c>
      <c r="C51" s="11">
        <v>66.424266330794367</v>
      </c>
      <c r="D51" s="3">
        <v>75</v>
      </c>
      <c r="E51" s="12">
        <v>99.626587628415848</v>
      </c>
      <c r="F51" s="12">
        <v>52.876006248216754</v>
      </c>
      <c r="G51" s="12">
        <v>68.944371320885253</v>
      </c>
      <c r="H51" s="12">
        <v>71.579533958358653</v>
      </c>
      <c r="I51" s="12">
        <v>74.216962961610733</v>
      </c>
      <c r="J51" s="12">
        <v>80.309785281376733</v>
      </c>
      <c r="K51" s="12">
        <v>83.018024406769484</v>
      </c>
      <c r="L51" s="12">
        <v>65.491415489286908</v>
      </c>
      <c r="M51" s="12">
        <v>27.922222524669106</v>
      </c>
      <c r="N51" s="12">
        <v>32.907473258383426</v>
      </c>
      <c r="O51" s="12">
        <v>79.945200634513284</v>
      </c>
      <c r="P51" s="12">
        <v>78.753650023578203</v>
      </c>
      <c r="Q51" s="12">
        <v>90.644562965822402</v>
      </c>
      <c r="R51" s="12">
        <v>57.695785614751571</v>
      </c>
      <c r="S51" s="12">
        <v>67.459390573138478</v>
      </c>
      <c r="T51" s="12">
        <v>47.74339637709155</v>
      </c>
      <c r="U51" s="12">
        <v>50.078158356635981</v>
      </c>
    </row>
    <row r="52" spans="1:21" x14ac:dyDescent="0.2">
      <c r="A52" s="12" t="s">
        <v>167</v>
      </c>
      <c r="B52" s="12" t="s">
        <v>168</v>
      </c>
      <c r="C52" s="11">
        <v>70.76907602814201</v>
      </c>
      <c r="D52" s="3">
        <v>46</v>
      </c>
      <c r="E52" s="12">
        <v>95.904104148811427</v>
      </c>
      <c r="F52" s="12">
        <v>49.743026808330576</v>
      </c>
      <c r="G52" s="12">
        <v>76.662635767360129</v>
      </c>
      <c r="H52" s="12">
        <v>78.077253581052275</v>
      </c>
      <c r="I52" s="12">
        <v>80.473669888695142</v>
      </c>
      <c r="J52" s="12">
        <v>97.498403474331695</v>
      </c>
      <c r="K52" s="12">
        <v>83.892462667896567</v>
      </c>
      <c r="L52" s="12">
        <v>67.505559002174678</v>
      </c>
      <c r="M52" s="12">
        <v>28.770586266017649</v>
      </c>
      <c r="N52" s="12">
        <v>35.56553165509726</v>
      </c>
      <c r="O52" s="12">
        <v>90.252280537320758</v>
      </c>
      <c r="P52" s="12">
        <v>73.359896115893207</v>
      </c>
      <c r="Q52" s="12">
        <v>88.857267676314265</v>
      </c>
      <c r="R52" s="12">
        <v>62.626188135514155</v>
      </c>
      <c r="S52" s="12">
        <v>56.934139461300923</v>
      </c>
      <c r="T52" s="12">
        <v>57.145829028760694</v>
      </c>
      <c r="U52" s="12">
        <v>79.805458263542832</v>
      </c>
    </row>
    <row r="53" spans="1:21" x14ac:dyDescent="0.2">
      <c r="A53" s="12" t="s">
        <v>181</v>
      </c>
      <c r="B53" s="12" t="s">
        <v>182</v>
      </c>
      <c r="C53" s="11">
        <v>63.474294839065671</v>
      </c>
      <c r="D53" s="3">
        <v>97</v>
      </c>
      <c r="E53" s="12">
        <v>99.438594805939459</v>
      </c>
      <c r="F53" s="12">
        <v>53.338270613774235</v>
      </c>
      <c r="G53" s="12">
        <v>72.486164869091994</v>
      </c>
      <c r="H53" s="12">
        <v>74.530810746525276</v>
      </c>
      <c r="I53" s="12">
        <v>46.78884729315309</v>
      </c>
      <c r="J53" s="12">
        <v>63.671864313227026</v>
      </c>
      <c r="K53" s="12">
        <v>88.3418613442268</v>
      </c>
      <c r="L53" s="12">
        <v>47.873286609710206</v>
      </c>
      <c r="M53" s="12">
        <v>33.940535574374699</v>
      </c>
      <c r="N53" s="12">
        <v>37.504288674166425</v>
      </c>
      <c r="O53" s="12">
        <v>55.330048015555043</v>
      </c>
      <c r="P53" s="12">
        <v>73.097148169476682</v>
      </c>
      <c r="Q53" s="12">
        <v>91.785860050972317</v>
      </c>
      <c r="R53" s="12">
        <v>51.573220447096354</v>
      </c>
      <c r="S53" s="12">
        <v>67.250531593080993</v>
      </c>
      <c r="T53" s="12">
        <v>68.652605230337883</v>
      </c>
      <c r="U53" s="12">
        <v>53.459073913408055</v>
      </c>
    </row>
    <row r="54" spans="1:21" x14ac:dyDescent="0.2">
      <c r="A54" s="12" t="s">
        <v>165</v>
      </c>
      <c r="B54" s="12" t="s">
        <v>166</v>
      </c>
      <c r="C54" s="11">
        <v>64.093181842041702</v>
      </c>
      <c r="D54" s="3">
        <v>92</v>
      </c>
      <c r="E54" s="12">
        <v>98.869664703456934</v>
      </c>
      <c r="F54" s="12">
        <v>49.460416671323891</v>
      </c>
      <c r="G54" s="12">
        <v>79.265846051822777</v>
      </c>
      <c r="H54" s="12">
        <v>67.192616709054903</v>
      </c>
      <c r="I54" s="12">
        <v>69.56747638709092</v>
      </c>
      <c r="J54" s="12">
        <v>89.72312916538192</v>
      </c>
      <c r="K54" s="12">
        <v>81.366975145592249</v>
      </c>
      <c r="L54" s="12">
        <v>62.232789865331966</v>
      </c>
      <c r="M54" s="12">
        <v>15.691780131169182</v>
      </c>
      <c r="N54" s="12">
        <v>39.035866240630234</v>
      </c>
      <c r="O54" s="12">
        <v>79.352960085664222</v>
      </c>
      <c r="P54" s="12">
        <v>74.938231273864474</v>
      </c>
      <c r="Q54" s="12">
        <v>90.743064114451414</v>
      </c>
      <c r="R54" s="12">
        <v>32.528466676686513</v>
      </c>
      <c r="S54" s="12">
        <v>60.12820617313406</v>
      </c>
      <c r="T54" s="12">
        <v>38.886642537676735</v>
      </c>
      <c r="U54" s="12">
        <v>60.599959382376511</v>
      </c>
    </row>
    <row r="55" spans="1:21" x14ac:dyDescent="0.2">
      <c r="A55" s="12" t="s">
        <v>365</v>
      </c>
      <c r="B55" s="12" t="s">
        <v>366</v>
      </c>
    </row>
    <row r="56" spans="1:21" x14ac:dyDescent="0.2">
      <c r="A56" s="12" t="s">
        <v>359</v>
      </c>
      <c r="B56" s="12" t="s">
        <v>360</v>
      </c>
    </row>
    <row r="57" spans="1:21" x14ac:dyDescent="0.2">
      <c r="A57" s="12" t="s">
        <v>39</v>
      </c>
      <c r="B57" s="12" t="s">
        <v>40</v>
      </c>
      <c r="C57" s="11">
        <v>78.31570590521919</v>
      </c>
      <c r="D57" s="3">
        <v>16</v>
      </c>
      <c r="E57" s="12">
        <v>99.411505994554304</v>
      </c>
      <c r="F57" s="12">
        <v>64.167103721838586</v>
      </c>
      <c r="G57" s="12">
        <v>88.72609512630406</v>
      </c>
      <c r="H57" s="12">
        <v>92.877079087913444</v>
      </c>
      <c r="I57" s="12">
        <v>77.27976839475987</v>
      </c>
      <c r="J57" s="12">
        <v>87.285473095760025</v>
      </c>
      <c r="K57" s="12">
        <v>81.434836742597966</v>
      </c>
      <c r="L57" s="12">
        <v>81.820714423151642</v>
      </c>
      <c r="M57" s="12">
        <v>64.7073682697348</v>
      </c>
      <c r="N57" s="12">
        <v>72.371060581836048</v>
      </c>
      <c r="O57" s="12">
        <v>88.541902506244767</v>
      </c>
      <c r="P57" s="12">
        <v>60.884136013227092</v>
      </c>
      <c r="Q57" s="12">
        <v>81.532912985446345</v>
      </c>
      <c r="R57" s="12">
        <v>81.54411346505951</v>
      </c>
      <c r="S57" s="12">
        <v>77.147110094904718</v>
      </c>
      <c r="T57" s="12">
        <v>80.470898999266794</v>
      </c>
      <c r="U57" s="12">
        <v>51.164920886125884</v>
      </c>
    </row>
    <row r="58" spans="1:21" x14ac:dyDescent="0.2">
      <c r="A58" s="12" t="s">
        <v>307</v>
      </c>
      <c r="B58" s="12" t="s">
        <v>308</v>
      </c>
      <c r="C58" s="11">
        <v>53.23430661738189</v>
      </c>
      <c r="D58" s="3">
        <v>128</v>
      </c>
      <c r="E58" s="12">
        <v>87.487050987385544</v>
      </c>
      <c r="F58" s="12">
        <v>40.861617948597711</v>
      </c>
      <c r="G58" s="12">
        <v>47.367798058492561</v>
      </c>
      <c r="H58" s="12">
        <v>29.573604213579014</v>
      </c>
      <c r="I58" s="12">
        <v>55.358215987870267</v>
      </c>
      <c r="J58" s="12">
        <v>65.749779221604243</v>
      </c>
      <c r="K58" s="12">
        <v>30.077624091757588</v>
      </c>
      <c r="L58" s="12">
        <v>65.977745443118451</v>
      </c>
      <c r="M58" s="12">
        <v>12.05997941604485</v>
      </c>
      <c r="N58" s="12">
        <v>45.198308549028702</v>
      </c>
      <c r="O58" s="12">
        <v>60.363631628485031</v>
      </c>
      <c r="P58" s="12">
        <v>78.621985909810491</v>
      </c>
      <c r="Q58" s="12">
        <v>80.957751542025804</v>
      </c>
      <c r="R58" s="12">
        <v>48.160238987946016</v>
      </c>
      <c r="S58" s="12">
        <v>54.835435653184291</v>
      </c>
      <c r="T58" s="12">
        <v>50.818541619854066</v>
      </c>
      <c r="U58" s="12">
        <v>51.513903236707542</v>
      </c>
    </row>
    <row r="59" spans="1:21" x14ac:dyDescent="0.2">
      <c r="A59" s="12" t="s">
        <v>133</v>
      </c>
      <c r="B59" s="12" t="s">
        <v>134</v>
      </c>
    </row>
    <row r="60" spans="1:21" x14ac:dyDescent="0.2">
      <c r="A60" s="12" t="s">
        <v>21</v>
      </c>
      <c r="B60" s="12" t="s">
        <v>22</v>
      </c>
      <c r="C60" s="11">
        <v>82.998732121636863</v>
      </c>
      <c r="D60" s="3">
        <v>3</v>
      </c>
      <c r="E60" s="12">
        <v>99.900512529181469</v>
      </c>
      <c r="F60" s="12">
        <v>66.961886338126703</v>
      </c>
      <c r="G60" s="12">
        <v>96.536500055313539</v>
      </c>
      <c r="H60" s="12">
        <v>89.604003581778755</v>
      </c>
      <c r="I60" s="12">
        <v>89.403650526983938</v>
      </c>
      <c r="J60" s="12">
        <v>93.610738244575984</v>
      </c>
      <c r="K60" s="12">
        <v>93.650110376238743</v>
      </c>
      <c r="L60" s="12">
        <v>83.046530674170214</v>
      </c>
      <c r="M60" s="12">
        <v>85.75432724212763</v>
      </c>
      <c r="N60" s="12">
        <v>97.991722243701645</v>
      </c>
      <c r="O60" s="12">
        <v>91.11266064270427</v>
      </c>
      <c r="P60" s="12">
        <v>52.435127482913778</v>
      </c>
      <c r="Q60" s="12">
        <v>76.611522218316608</v>
      </c>
      <c r="R60" s="12">
        <v>62.558780180902779</v>
      </c>
      <c r="S60" s="12">
        <v>68.841644640541858</v>
      </c>
      <c r="T60" s="12">
        <v>92.948553165118426</v>
      </c>
      <c r="U60" s="12">
        <v>70.010175925130412</v>
      </c>
    </row>
    <row r="61" spans="1:21" x14ac:dyDescent="0.2">
      <c r="A61" s="12" t="s">
        <v>462</v>
      </c>
      <c r="B61" s="12" t="s">
        <v>140</v>
      </c>
      <c r="C61" s="11">
        <v>68.952649284570768</v>
      </c>
      <c r="D61" s="3">
        <v>61</v>
      </c>
      <c r="E61" s="12">
        <v>95.614905793657925</v>
      </c>
      <c r="F61" s="12">
        <v>62.901844351402708</v>
      </c>
      <c r="G61" s="12">
        <v>79.49570143495248</v>
      </c>
      <c r="H61" s="12">
        <v>81.506803682345165</v>
      </c>
      <c r="I61" s="12">
        <v>69.009096568077553</v>
      </c>
      <c r="J61" s="12">
        <v>93.38396982186039</v>
      </c>
      <c r="K61" s="12">
        <v>74.959216212263243</v>
      </c>
      <c r="L61" s="12">
        <v>52.753619527236218</v>
      </c>
      <c r="M61" s="12">
        <v>33.440178338727819</v>
      </c>
      <c r="N61" s="12">
        <v>48.947555538445933</v>
      </c>
      <c r="O61" s="12">
        <v>67.65484207272317</v>
      </c>
      <c r="P61" s="12">
        <v>66.296776719454328</v>
      </c>
      <c r="Q61" s="12">
        <v>85.530883466216451</v>
      </c>
      <c r="R61" s="12">
        <v>48.422883381021848</v>
      </c>
      <c r="S61" s="12">
        <v>68.403337873195085</v>
      </c>
      <c r="T61" s="12">
        <v>67.737976284911667</v>
      </c>
      <c r="U61" s="12">
        <v>76.135446771211008</v>
      </c>
    </row>
    <row r="62" spans="1:21" x14ac:dyDescent="0.2">
      <c r="A62" s="12" t="s">
        <v>31</v>
      </c>
      <c r="B62" s="12" t="s">
        <v>32</v>
      </c>
      <c r="C62" s="11">
        <v>81.218437650483452</v>
      </c>
      <c r="D62" s="3">
        <v>5</v>
      </c>
      <c r="E62" s="12">
        <v>99.802991997925545</v>
      </c>
      <c r="F62" s="12">
        <v>76.108071733394127</v>
      </c>
      <c r="G62" s="12">
        <v>92.923348251404022</v>
      </c>
      <c r="H62" s="12">
        <v>91.069497639392551</v>
      </c>
      <c r="I62" s="12">
        <v>86.812549921972789</v>
      </c>
      <c r="J62" s="12">
        <v>89.500494594390844</v>
      </c>
      <c r="K62" s="12">
        <v>94.610901050250462</v>
      </c>
      <c r="L62" s="12">
        <v>81.227654647093104</v>
      </c>
      <c r="M62" s="12">
        <v>75.568958764101282</v>
      </c>
      <c r="N62" s="12">
        <v>85.772845076754905</v>
      </c>
      <c r="O62" s="12">
        <v>89.594264592338675</v>
      </c>
      <c r="P62" s="12">
        <v>54.806237170222524</v>
      </c>
      <c r="Q62" s="12">
        <v>84.799062011468493</v>
      </c>
      <c r="R62" s="12">
        <v>61.297388224453009</v>
      </c>
      <c r="S62" s="12">
        <v>70.889445005746168</v>
      </c>
      <c r="T62" s="12">
        <v>74.671409562808151</v>
      </c>
      <c r="U62" s="12">
        <v>71.258319814502045</v>
      </c>
    </row>
    <row r="63" spans="1:21" x14ac:dyDescent="0.2">
      <c r="A63" s="12" t="s">
        <v>245</v>
      </c>
      <c r="B63" s="12" t="s">
        <v>246</v>
      </c>
      <c r="C63" s="11">
        <v>62.836404740311401</v>
      </c>
      <c r="D63" s="3">
        <v>100</v>
      </c>
      <c r="E63" s="12">
        <v>97.76494885046921</v>
      </c>
      <c r="F63" s="12">
        <v>51.885340259235853</v>
      </c>
      <c r="G63" s="12">
        <v>53.415517648364357</v>
      </c>
      <c r="H63" s="12">
        <v>65.921610405490355</v>
      </c>
      <c r="I63" s="12">
        <v>53.95106661708995</v>
      </c>
      <c r="J63" s="12">
        <v>77.1377261949402</v>
      </c>
      <c r="K63" s="12">
        <v>71.115801529787902</v>
      </c>
      <c r="L63" s="12">
        <v>56.022604189062612</v>
      </c>
      <c r="M63" s="12">
        <v>25.839748614103481</v>
      </c>
      <c r="N63" s="12">
        <v>47.074488066211437</v>
      </c>
      <c r="O63" s="12">
        <v>53.556305461963156</v>
      </c>
      <c r="P63" s="12">
        <v>78.223451042354014</v>
      </c>
      <c r="Q63" s="12">
        <v>90.067617079844709</v>
      </c>
      <c r="R63" s="12">
        <v>53.691920645509732</v>
      </c>
      <c r="S63" s="12">
        <v>85.185970843207912</v>
      </c>
      <c r="T63" s="12">
        <v>54.198567515327582</v>
      </c>
      <c r="U63" s="12">
        <v>53.1661956223316</v>
      </c>
    </row>
    <row r="64" spans="1:21" x14ac:dyDescent="0.2">
      <c r="A64" s="12" t="s">
        <v>277</v>
      </c>
      <c r="B64" s="12" t="s">
        <v>278</v>
      </c>
      <c r="C64" s="11">
        <v>51.576833772879013</v>
      </c>
      <c r="D64" s="3">
        <v>133</v>
      </c>
      <c r="E64" s="12">
        <v>50.398172230198441</v>
      </c>
      <c r="F64" s="12">
        <v>42.857877472470825</v>
      </c>
      <c r="G64" s="12">
        <v>48.389375836993359</v>
      </c>
      <c r="H64" s="12">
        <v>29.586084209857734</v>
      </c>
      <c r="I64" s="12">
        <v>35.509025177463258</v>
      </c>
      <c r="J64" s="12">
        <v>59.968047405548418</v>
      </c>
      <c r="K64" s="12">
        <v>21.949699988523268</v>
      </c>
      <c r="L64" s="12">
        <v>52.543096429563526</v>
      </c>
      <c r="M64" s="12">
        <v>15.153276081951484</v>
      </c>
      <c r="N64" s="12">
        <v>44.368627969090674</v>
      </c>
      <c r="O64" s="12">
        <v>60.316178325092118</v>
      </c>
      <c r="P64" s="12">
        <v>93.690593152097733</v>
      </c>
      <c r="Q64" s="12">
        <v>83.429787619687659</v>
      </c>
      <c r="R64" s="12">
        <v>48.39095381760135</v>
      </c>
      <c r="S64" s="12">
        <v>62.472873334946442</v>
      </c>
      <c r="T64" s="12">
        <v>64.494794641364649</v>
      </c>
      <c r="U64" s="12">
        <v>63.28771044649222</v>
      </c>
    </row>
    <row r="65" spans="1:21" x14ac:dyDescent="0.2">
      <c r="A65" s="12" t="s">
        <v>103</v>
      </c>
      <c r="B65" s="12" t="s">
        <v>104</v>
      </c>
      <c r="C65" s="11">
        <v>70.652156877519346</v>
      </c>
      <c r="D65" s="3">
        <v>47</v>
      </c>
      <c r="E65" s="12">
        <v>98.151743165104165</v>
      </c>
      <c r="F65" s="12">
        <v>52.91475534737959</v>
      </c>
      <c r="G65" s="12">
        <v>74.258070173260464</v>
      </c>
      <c r="H65" s="12">
        <v>96.298941239363032</v>
      </c>
      <c r="I65" s="12">
        <v>67.330522202517557</v>
      </c>
      <c r="J65" s="12">
        <v>90.364206105873208</v>
      </c>
      <c r="K65" s="12">
        <v>76.766433234965547</v>
      </c>
      <c r="L65" s="12">
        <v>68.048404521567647</v>
      </c>
      <c r="M65" s="12">
        <v>30.126252511781647</v>
      </c>
      <c r="N65" s="12">
        <v>32.707112582292702</v>
      </c>
      <c r="O65" s="12">
        <v>87.87531662652124</v>
      </c>
      <c r="P65" s="12">
        <v>73.81563284789739</v>
      </c>
      <c r="Q65" s="12">
        <v>86.885531372529243</v>
      </c>
      <c r="R65" s="12">
        <v>62.894545501661995</v>
      </c>
      <c r="S65" s="12">
        <v>59.69541730448077</v>
      </c>
      <c r="T65" s="12">
        <v>72.645651842352137</v>
      </c>
      <c r="U65" s="12">
        <v>70.30813033827998</v>
      </c>
    </row>
    <row r="66" spans="1:21" x14ac:dyDescent="0.2">
      <c r="A66" s="12" t="s">
        <v>27</v>
      </c>
      <c r="B66" s="12" t="s">
        <v>28</v>
      </c>
      <c r="C66" s="11">
        <v>82.284100448269484</v>
      </c>
      <c r="D66" s="3">
        <v>4</v>
      </c>
      <c r="E66" s="12">
        <v>99.877713854116791</v>
      </c>
      <c r="F66" s="12">
        <v>77.951624584727824</v>
      </c>
      <c r="G66" s="12">
        <v>94.107900730843227</v>
      </c>
      <c r="H66" s="12">
        <v>98.370358123882369</v>
      </c>
      <c r="I66" s="12">
        <v>82.211348466355389</v>
      </c>
      <c r="J66" s="12">
        <v>86.306743261238566</v>
      </c>
      <c r="K66" s="12">
        <v>88.01566738781942</v>
      </c>
      <c r="L66" s="12">
        <v>89.654328612852282</v>
      </c>
      <c r="M66" s="12">
        <v>81.44026759300634</v>
      </c>
      <c r="N66" s="12">
        <v>83.534084518747477</v>
      </c>
      <c r="O66" s="12">
        <v>91.077215938996986</v>
      </c>
      <c r="P66" s="12">
        <v>55.187581376607874</v>
      </c>
      <c r="Q66" s="12">
        <v>88.0807344896633</v>
      </c>
      <c r="R66" s="12">
        <v>44.251010538668801</v>
      </c>
      <c r="S66" s="12">
        <v>77.975449168787037</v>
      </c>
      <c r="T66" s="12">
        <v>83.578441817680016</v>
      </c>
      <c r="U66" s="12">
        <v>77.209237156587747</v>
      </c>
    </row>
    <row r="67" spans="1:21" x14ac:dyDescent="0.2">
      <c r="A67" s="12" t="s">
        <v>263</v>
      </c>
      <c r="B67" s="12" t="s">
        <v>264</v>
      </c>
      <c r="C67" s="11">
        <v>62.811685072956003</v>
      </c>
      <c r="D67" s="3">
        <v>101</v>
      </c>
      <c r="E67" s="12">
        <v>90.953367077004685</v>
      </c>
      <c r="F67" s="12">
        <v>55.064427696612803</v>
      </c>
      <c r="G67" s="12">
        <v>55.391103328733706</v>
      </c>
      <c r="H67" s="12">
        <v>60.804357933302668</v>
      </c>
      <c r="I67" s="12">
        <v>53.768752283971793</v>
      </c>
      <c r="J67" s="12">
        <v>66.642378742435653</v>
      </c>
      <c r="K67" s="12">
        <v>52.396382288446922</v>
      </c>
      <c r="L67" s="12">
        <v>72.499704011462484</v>
      </c>
      <c r="M67" s="12">
        <v>29.075917185505837</v>
      </c>
      <c r="N67" s="12">
        <v>58.751363486397366</v>
      </c>
      <c r="O67" s="12">
        <v>54.958623755502082</v>
      </c>
      <c r="P67" s="12">
        <v>78.142858677829537</v>
      </c>
      <c r="Q67" s="12">
        <v>90.935034583738172</v>
      </c>
      <c r="R67" s="12">
        <v>56.797045726604736</v>
      </c>
      <c r="S67" s="12">
        <v>69.393771763890996</v>
      </c>
      <c r="T67" s="12">
        <v>64.954223405075581</v>
      </c>
      <c r="U67" s="12">
        <v>57.269334293736783</v>
      </c>
    </row>
    <row r="68" spans="1:21" x14ac:dyDescent="0.2">
      <c r="A68" s="12" t="s">
        <v>75</v>
      </c>
      <c r="B68" s="12" t="s">
        <v>76</v>
      </c>
      <c r="C68" s="11">
        <v>70.642451910254636</v>
      </c>
      <c r="D68" s="3">
        <v>48</v>
      </c>
      <c r="E68" s="12">
        <v>98.180387140669239</v>
      </c>
      <c r="F68" s="12">
        <v>66.863134593908441</v>
      </c>
      <c r="G68" s="12">
        <v>89.186720082920075</v>
      </c>
      <c r="H68" s="12">
        <v>86.182750901605701</v>
      </c>
      <c r="I68" s="12">
        <v>70.345803694048584</v>
      </c>
      <c r="J68" s="12">
        <v>85.769586424725361</v>
      </c>
      <c r="K68" s="12">
        <v>86.867126565635203</v>
      </c>
      <c r="L68" s="12">
        <v>59.787451878677693</v>
      </c>
      <c r="M68" s="12">
        <v>49.374537424000842</v>
      </c>
      <c r="N68" s="12">
        <v>51.021218832170192</v>
      </c>
      <c r="O68" s="12">
        <v>78.30840282393774</v>
      </c>
      <c r="P68" s="12">
        <v>46.845206642625605</v>
      </c>
      <c r="Q68" s="12">
        <v>78.100984243437381</v>
      </c>
      <c r="R68" s="12">
        <v>59.380207469073127</v>
      </c>
      <c r="S68" s="12">
        <v>73.037188933012004</v>
      </c>
      <c r="T68" s="12">
        <v>67.828048617447877</v>
      </c>
      <c r="U68" s="12">
        <v>53.842926206433795</v>
      </c>
    </row>
    <row r="69" spans="1:21" x14ac:dyDescent="0.2">
      <c r="A69" s="12" t="s">
        <v>367</v>
      </c>
      <c r="B69" s="12" t="s">
        <v>368</v>
      </c>
    </row>
    <row r="70" spans="1:21" x14ac:dyDescent="0.2">
      <c r="A70" s="12" t="s">
        <v>273</v>
      </c>
      <c r="B70" s="12" t="s">
        <v>274</v>
      </c>
      <c r="C70" s="11">
        <v>58.237910444636654</v>
      </c>
      <c r="D70" s="3">
        <v>117</v>
      </c>
      <c r="E70" s="12">
        <v>91.150805551303051</v>
      </c>
      <c r="F70" s="12">
        <v>39.564663508047211</v>
      </c>
      <c r="G70" s="12">
        <v>70.791885129698855</v>
      </c>
      <c r="H70" s="12">
        <v>64.237616738047436</v>
      </c>
      <c r="I70" s="12">
        <v>58.677603141794464</v>
      </c>
      <c r="J70" s="12">
        <v>83.012334068073542</v>
      </c>
      <c r="K70" s="12">
        <v>58.860465790602177</v>
      </c>
      <c r="L70" s="12">
        <v>60.079471512745982</v>
      </c>
      <c r="M70" s="12">
        <v>13.886122408530927</v>
      </c>
      <c r="N70" s="12">
        <v>20.347593272564033</v>
      </c>
      <c r="O70" s="12">
        <v>79.114694762111384</v>
      </c>
      <c r="P70" s="12">
        <v>74.826563316221808</v>
      </c>
      <c r="Q70" s="12">
        <v>91.005512722392723</v>
      </c>
      <c r="R70" s="12">
        <v>43.292006909532176</v>
      </c>
      <c r="S70" s="12">
        <v>40.575805746617434</v>
      </c>
      <c r="T70" s="12">
        <v>48.420162927824208</v>
      </c>
      <c r="U70" s="12">
        <v>52.201170052715611</v>
      </c>
    </row>
    <row r="71" spans="1:21" x14ac:dyDescent="0.2">
      <c r="A71" s="12" t="s">
        <v>303</v>
      </c>
      <c r="B71" s="12" t="s">
        <v>304</v>
      </c>
      <c r="C71" s="11">
        <v>52.118980310640708</v>
      </c>
      <c r="D71" s="3">
        <v>131</v>
      </c>
      <c r="E71" s="12">
        <v>67.738776765443632</v>
      </c>
      <c r="F71" s="12">
        <v>45.028503931363616</v>
      </c>
      <c r="G71" s="12">
        <v>36.730184410204238</v>
      </c>
      <c r="H71" s="12">
        <v>18.824446258185471</v>
      </c>
      <c r="I71" s="12">
        <v>37.374934150782408</v>
      </c>
      <c r="J71" s="12">
        <v>54.294456012632502</v>
      </c>
      <c r="K71" s="12">
        <v>12.042376141099679</v>
      </c>
      <c r="L71" s="12">
        <v>51.108717953925378</v>
      </c>
      <c r="M71" s="12">
        <v>6.6604591187575162</v>
      </c>
      <c r="N71" s="12">
        <v>82.626566045263033</v>
      </c>
      <c r="O71" s="12">
        <v>55.782665259119248</v>
      </c>
      <c r="P71" s="12">
        <v>79.132488649611219</v>
      </c>
      <c r="Q71" s="12">
        <v>94.529632257354038</v>
      </c>
      <c r="R71" s="12">
        <v>53.602214723811663</v>
      </c>
      <c r="S71" s="12">
        <v>75.350146039709202</v>
      </c>
      <c r="T71" s="12">
        <v>53.210389261271843</v>
      </c>
      <c r="U71" s="12">
        <v>61.98570830235721</v>
      </c>
    </row>
    <row r="72" spans="1:21" x14ac:dyDescent="0.2">
      <c r="A72" s="12" t="s">
        <v>363</v>
      </c>
      <c r="B72" s="12" t="s">
        <v>364</v>
      </c>
    </row>
    <row r="73" spans="1:21" x14ac:dyDescent="0.2">
      <c r="A73" s="12" t="s">
        <v>211</v>
      </c>
      <c r="B73" s="12" t="s">
        <v>212</v>
      </c>
      <c r="C73" s="11">
        <v>61.904222472084228</v>
      </c>
      <c r="D73" s="3">
        <v>104</v>
      </c>
      <c r="E73" s="12">
        <v>95.247898451660149</v>
      </c>
      <c r="F73" s="12">
        <v>59.774263527084244</v>
      </c>
      <c r="G73" s="12">
        <v>64.889458449319477</v>
      </c>
      <c r="H73" s="12">
        <v>77.054029801098991</v>
      </c>
      <c r="I73" s="12">
        <v>64.553358355048786</v>
      </c>
      <c r="J73" s="12">
        <v>91.580310005518129</v>
      </c>
      <c r="K73" s="12">
        <v>72.947880319584058</v>
      </c>
      <c r="L73" s="12">
        <v>58.253802829796086</v>
      </c>
      <c r="M73" s="12">
        <v>15.144370652447071</v>
      </c>
      <c r="N73" s="12">
        <v>36.501007236918774</v>
      </c>
      <c r="O73" s="12">
        <v>84.82544686354008</v>
      </c>
      <c r="P73" s="12">
        <v>43.669527896995703</v>
      </c>
      <c r="Q73" s="12">
        <v>62.961624558369387</v>
      </c>
      <c r="R73" s="12">
        <v>50.820953288988349</v>
      </c>
      <c r="S73" s="12">
        <v>58.735444138931825</v>
      </c>
      <c r="T73" s="12">
        <v>50.525810549230741</v>
      </c>
      <c r="U73" s="12">
        <v>64.886595100900124</v>
      </c>
    </row>
    <row r="74" spans="1:21" x14ac:dyDescent="0.2">
      <c r="A74" s="12" t="s">
        <v>323</v>
      </c>
      <c r="B74" s="12" t="s">
        <v>324</v>
      </c>
      <c r="C74" s="11">
        <v>49.16124359357881</v>
      </c>
      <c r="D74" s="3">
        <v>145</v>
      </c>
      <c r="E74" s="12">
        <v>73.398462880314071</v>
      </c>
      <c r="F74" s="12">
        <v>33.527878093419488</v>
      </c>
      <c r="G74" s="12">
        <v>46.977585458907704</v>
      </c>
      <c r="H74" s="12">
        <v>37.880686524018394</v>
      </c>
      <c r="I74" s="12">
        <v>41.576902546186304</v>
      </c>
      <c r="J74" s="12">
        <v>61.433464729248541</v>
      </c>
      <c r="K74" s="12">
        <v>13.347051169485772</v>
      </c>
      <c r="L74" s="12">
        <v>42.662699842040695</v>
      </c>
      <c r="M74" s="12">
        <v>3.1814743829073606</v>
      </c>
      <c r="N74" s="12">
        <v>62.399426003362478</v>
      </c>
      <c r="O74" s="12">
        <v>31.979870253314271</v>
      </c>
      <c r="P74" s="12">
        <v>77.67370218747179</v>
      </c>
      <c r="Q74" s="12">
        <v>93.483895558127671</v>
      </c>
      <c r="R74" s="12">
        <v>32.943390419811024</v>
      </c>
      <c r="S74" s="12">
        <v>37.701479760350281</v>
      </c>
      <c r="T74" s="12">
        <v>45.573171281873861</v>
      </c>
      <c r="U74" s="12">
        <v>100</v>
      </c>
    </row>
    <row r="75" spans="1:21" x14ac:dyDescent="0.2">
      <c r="A75" s="12" t="s">
        <v>251</v>
      </c>
      <c r="B75" s="12" t="s">
        <v>252</v>
      </c>
      <c r="C75" s="11">
        <v>63.636000783241329</v>
      </c>
      <c r="D75" s="3">
        <v>96</v>
      </c>
      <c r="E75" s="12">
        <v>80.303089885704537</v>
      </c>
      <c r="F75" s="12">
        <v>45.522984955891353</v>
      </c>
      <c r="G75" s="12">
        <v>74.833748215157541</v>
      </c>
      <c r="H75" s="12">
        <v>63.625070106917711</v>
      </c>
      <c r="I75" s="12">
        <v>70.922991733969567</v>
      </c>
      <c r="J75" s="12">
        <v>87.483768319810338</v>
      </c>
      <c r="K75" s="12">
        <v>67.457813104220676</v>
      </c>
      <c r="L75" s="12">
        <v>65.442673769880088</v>
      </c>
      <c r="M75" s="12">
        <v>14.356512080780657</v>
      </c>
      <c r="N75" s="12">
        <v>26.765744172790484</v>
      </c>
      <c r="O75" s="12">
        <v>82.629686157563398</v>
      </c>
      <c r="P75" s="12">
        <v>76.308653361670366</v>
      </c>
      <c r="Q75" s="12">
        <v>90.775593224775278</v>
      </c>
      <c r="R75" s="12">
        <v>58.838857204254793</v>
      </c>
      <c r="S75" s="12">
        <v>55.850728349570502</v>
      </c>
      <c r="T75" s="12">
        <v>47.771874693582006</v>
      </c>
      <c r="U75" s="12">
        <v>72.922223978563082</v>
      </c>
    </row>
    <row r="76" spans="1:21" x14ac:dyDescent="0.2">
      <c r="A76" s="12" t="s">
        <v>63</v>
      </c>
      <c r="B76" s="12" t="s">
        <v>64</v>
      </c>
      <c r="C76" s="11">
        <v>74.956526523692986</v>
      </c>
      <c r="D76" s="3">
        <v>26</v>
      </c>
      <c r="E76" s="12">
        <v>99.276891694594013</v>
      </c>
      <c r="F76" s="12">
        <v>70.717326995960562</v>
      </c>
      <c r="G76" s="12">
        <v>85.591893057295096</v>
      </c>
      <c r="H76" s="12">
        <v>84.974353235254853</v>
      </c>
      <c r="I76" s="12">
        <v>68.118137881364262</v>
      </c>
      <c r="J76" s="12">
        <v>85.965028638983597</v>
      </c>
      <c r="K76" s="12">
        <v>85.171296456712383</v>
      </c>
      <c r="L76" s="12">
        <v>76.861357087935261</v>
      </c>
      <c r="M76" s="12">
        <v>50.207279749427279</v>
      </c>
      <c r="N76" s="12">
        <v>75.72662741653258</v>
      </c>
      <c r="O76" s="12">
        <v>83.012973836345395</v>
      </c>
      <c r="P76" s="12">
        <v>69.434594312598847</v>
      </c>
      <c r="Q76" s="12">
        <v>94.066635401527407</v>
      </c>
      <c r="R76" s="12">
        <v>52.397336317923852</v>
      </c>
      <c r="S76" s="12">
        <v>78.276232564681493</v>
      </c>
      <c r="T76" s="12">
        <v>64.877212182451984</v>
      </c>
      <c r="U76" s="12">
        <v>49.585774073191629</v>
      </c>
    </row>
    <row r="77" spans="1:21" x14ac:dyDescent="0.2">
      <c r="A77" s="12" t="s">
        <v>77</v>
      </c>
      <c r="B77" s="12" t="s">
        <v>78</v>
      </c>
      <c r="C77" s="11">
        <v>79.74761064988877</v>
      </c>
      <c r="D77" s="3">
        <v>10</v>
      </c>
      <c r="E77" s="12">
        <v>99.775552001701101</v>
      </c>
      <c r="F77" s="12">
        <v>74.683546348643858</v>
      </c>
      <c r="G77" s="12">
        <v>96.421860715165849</v>
      </c>
      <c r="H77" s="12">
        <v>93.653330714015723</v>
      </c>
      <c r="I77" s="12">
        <v>91.893685147577074</v>
      </c>
      <c r="J77" s="12">
        <v>85.010975921553893</v>
      </c>
      <c r="K77" s="12">
        <v>98.891106016694081</v>
      </c>
      <c r="L77" s="12">
        <v>91.402809965989562</v>
      </c>
      <c r="M77" s="12">
        <v>75.808599206399848</v>
      </c>
      <c r="N77" s="12">
        <v>99.343354793542261</v>
      </c>
      <c r="O77" s="12">
        <v>89.320016079220252</v>
      </c>
      <c r="P77" s="12">
        <v>51.798943866239611</v>
      </c>
      <c r="Q77" s="12">
        <v>88.907393122671081</v>
      </c>
      <c r="R77" s="12">
        <v>28.027676150677763</v>
      </c>
      <c r="S77" s="12">
        <v>33.379355467052775</v>
      </c>
      <c r="T77" s="12">
        <v>92.159610789264093</v>
      </c>
      <c r="U77" s="12">
        <v>65.231564741700481</v>
      </c>
    </row>
    <row r="78" spans="1:21" x14ac:dyDescent="0.2">
      <c r="A78" s="12" t="s">
        <v>243</v>
      </c>
      <c r="B78" s="12" t="s">
        <v>244</v>
      </c>
      <c r="C78" s="11">
        <v>59.050229978879813</v>
      </c>
      <c r="D78" s="3">
        <v>112</v>
      </c>
      <c r="E78" s="12">
        <v>96.310296211576627</v>
      </c>
      <c r="F78" s="12">
        <v>39.561089214845182</v>
      </c>
      <c r="G78" s="12">
        <v>58.851014263127233</v>
      </c>
      <c r="H78" s="12">
        <v>64.757870957102995</v>
      </c>
      <c r="I78" s="12">
        <v>36.394326942063515</v>
      </c>
      <c r="J78" s="12">
        <v>70.191410488293883</v>
      </c>
      <c r="K78" s="12">
        <v>53.971200086429228</v>
      </c>
      <c r="L78" s="12">
        <v>61.098366959344609</v>
      </c>
      <c r="M78" s="12">
        <v>33.097888529669781</v>
      </c>
      <c r="N78" s="12">
        <v>49.071628328644785</v>
      </c>
      <c r="O78" s="12">
        <v>56.117629652586288</v>
      </c>
      <c r="P78" s="12">
        <v>81.55620199498432</v>
      </c>
      <c r="Q78" s="12">
        <v>80.647465248238092</v>
      </c>
      <c r="R78" s="12">
        <v>53.000563261084665</v>
      </c>
      <c r="S78" s="12">
        <v>46.066175293305136</v>
      </c>
      <c r="T78" s="12">
        <v>71.893971411724451</v>
      </c>
      <c r="U78" s="12">
        <v>51.266810797935847</v>
      </c>
    </row>
    <row r="79" spans="1:21" x14ac:dyDescent="0.2">
      <c r="A79" s="12" t="s">
        <v>169</v>
      </c>
      <c r="B79" s="12" t="s">
        <v>170</v>
      </c>
      <c r="C79" s="11">
        <v>62.836892165477984</v>
      </c>
      <c r="D79" s="3">
        <v>99</v>
      </c>
      <c r="E79" s="12">
        <v>96.297196991902325</v>
      </c>
      <c r="F79" s="12">
        <v>50.40106034840867</v>
      </c>
      <c r="G79" s="12">
        <v>61.628881270763245</v>
      </c>
      <c r="H79" s="12">
        <v>76.889678390520359</v>
      </c>
      <c r="I79" s="12">
        <v>62.094881843191416</v>
      </c>
      <c r="J79" s="12">
        <v>85.930040016259753</v>
      </c>
      <c r="K79" s="12">
        <v>64.145550990157986</v>
      </c>
      <c r="L79" s="12">
        <v>71.102337247119621</v>
      </c>
      <c r="M79" s="12">
        <v>23.715910340930467</v>
      </c>
      <c r="N79" s="12">
        <v>34.873448357392654</v>
      </c>
      <c r="O79" s="12">
        <v>64.533777269252184</v>
      </c>
      <c r="P79" s="12">
        <v>79.263181694700876</v>
      </c>
      <c r="Q79" s="12">
        <v>89.095075638652744</v>
      </c>
      <c r="R79" s="12">
        <v>46.65099051825851</v>
      </c>
      <c r="S79" s="12">
        <v>41.809112670328183</v>
      </c>
      <c r="T79" s="12">
        <v>74.104265506706099</v>
      </c>
      <c r="U79" s="12">
        <v>45.69177771858066</v>
      </c>
    </row>
    <row r="80" spans="1:21" x14ac:dyDescent="0.2">
      <c r="A80" s="12" t="s">
        <v>191</v>
      </c>
      <c r="B80" s="12" t="s">
        <v>192</v>
      </c>
      <c r="C80" s="11">
        <v>65.53513830040275</v>
      </c>
      <c r="D80" s="3">
        <v>82</v>
      </c>
      <c r="E80" s="12">
        <v>99.911869986158976</v>
      </c>
      <c r="F80" s="12">
        <v>52.785077650710342</v>
      </c>
      <c r="G80" s="12">
        <v>78.607660659785068</v>
      </c>
      <c r="H80" s="12">
        <v>84.684011981776834</v>
      </c>
      <c r="I80" s="12">
        <v>48.002575206750898</v>
      </c>
      <c r="J80" s="12">
        <v>51.483628349395282</v>
      </c>
      <c r="K80" s="12">
        <v>78.873991291768846</v>
      </c>
      <c r="L80" s="12">
        <v>63.818582817979134</v>
      </c>
      <c r="M80" s="12">
        <v>33.577504238341561</v>
      </c>
      <c r="N80" s="12">
        <v>64.856703821487287</v>
      </c>
      <c r="O80" s="12">
        <v>75.097147992063839</v>
      </c>
      <c r="P80" s="12">
        <v>68.293269588243447</v>
      </c>
      <c r="Q80" s="12">
        <v>73.026294382880849</v>
      </c>
      <c r="R80" s="12">
        <v>61.659477421534881</v>
      </c>
      <c r="S80" s="12">
        <v>67.282669598870825</v>
      </c>
      <c r="T80" s="12">
        <v>61.909502873433667</v>
      </c>
      <c r="U80" s="12">
        <v>50.227383245664605</v>
      </c>
    </row>
    <row r="81" spans="1:21" x14ac:dyDescent="0.2">
      <c r="A81" s="12" t="s">
        <v>229</v>
      </c>
      <c r="B81" s="12" t="s">
        <v>230</v>
      </c>
      <c r="C81" s="11">
        <v>53.749966129235339</v>
      </c>
      <c r="D81" s="3">
        <v>127</v>
      </c>
      <c r="E81" s="12">
        <v>98.585499212438918</v>
      </c>
      <c r="F81" s="12">
        <v>34.431845454616322</v>
      </c>
      <c r="G81" s="12">
        <v>64.145918748042632</v>
      </c>
      <c r="H81" s="12">
        <v>26.005689621098249</v>
      </c>
      <c r="I81" s="12">
        <v>44.728048331166121</v>
      </c>
      <c r="J81" s="12">
        <v>47.048855037040369</v>
      </c>
      <c r="K81" s="12">
        <v>78.530496695635236</v>
      </c>
      <c r="L81" s="12">
        <v>40.828486657696146</v>
      </c>
      <c r="M81" s="12">
        <v>6.6926827679105152</v>
      </c>
      <c r="N81" s="12">
        <v>62.484379277144349</v>
      </c>
      <c r="O81" s="12">
        <v>63.552336235951572</v>
      </c>
      <c r="P81" s="12">
        <v>76.339959626668588</v>
      </c>
      <c r="Q81" s="12">
        <v>85.797544655670862</v>
      </c>
      <c r="R81" s="12">
        <v>26.520788777977394</v>
      </c>
      <c r="S81" s="12">
        <v>50.276509057951372</v>
      </c>
      <c r="T81" s="12">
        <v>56.853495593644091</v>
      </c>
      <c r="U81" s="12">
        <v>50.926888446348073</v>
      </c>
    </row>
    <row r="82" spans="1:21" x14ac:dyDescent="0.2">
      <c r="A82" s="12" t="s">
        <v>53</v>
      </c>
      <c r="B82" s="12" t="s">
        <v>54</v>
      </c>
      <c r="C82" s="11">
        <v>77.470472151937315</v>
      </c>
      <c r="D82" s="3">
        <v>18</v>
      </c>
      <c r="E82" s="12">
        <v>99.881956914717449</v>
      </c>
      <c r="F82" s="12">
        <v>78.577197002633724</v>
      </c>
      <c r="G82" s="12">
        <v>94.474913146938903</v>
      </c>
      <c r="H82" s="12">
        <v>90.781803577962577</v>
      </c>
      <c r="I82" s="12">
        <v>74.860664275541026</v>
      </c>
      <c r="J82" s="12">
        <v>85.022190185486693</v>
      </c>
      <c r="K82" s="12">
        <v>86.715482829807328</v>
      </c>
      <c r="L82" s="12">
        <v>92.927487627530184</v>
      </c>
      <c r="M82" s="12">
        <v>69.595524580081673</v>
      </c>
      <c r="N82" s="12">
        <v>84.892082790462382</v>
      </c>
      <c r="O82" s="12">
        <v>83.206947639218299</v>
      </c>
      <c r="P82" s="12">
        <v>45.994164855978404</v>
      </c>
      <c r="Q82" s="12">
        <v>89.696543472102377</v>
      </c>
      <c r="R82" s="12">
        <v>52.502414061236088</v>
      </c>
      <c r="S82" s="12">
        <v>69.366938815332432</v>
      </c>
      <c r="T82" s="12">
        <v>86.52160657791913</v>
      </c>
      <c r="U82" s="12">
        <v>31.980108229985998</v>
      </c>
    </row>
    <row r="83" spans="1:21" x14ac:dyDescent="0.2">
      <c r="A83" s="12" t="s">
        <v>115</v>
      </c>
      <c r="B83" s="12" t="s">
        <v>116</v>
      </c>
      <c r="C83" s="11">
        <v>71.849847261043763</v>
      </c>
      <c r="D83" s="3">
        <v>41</v>
      </c>
      <c r="E83" s="12">
        <v>99.545093505585726</v>
      </c>
      <c r="F83" s="12">
        <v>64.226571019080055</v>
      </c>
      <c r="G83" s="12">
        <v>94.865037759906812</v>
      </c>
      <c r="H83" s="12">
        <v>94.421028120492906</v>
      </c>
      <c r="I83" s="12">
        <v>80.753523831423507</v>
      </c>
      <c r="J83" s="12">
        <v>66.921006152232664</v>
      </c>
      <c r="K83" s="12">
        <v>89.674518311930498</v>
      </c>
      <c r="L83" s="12">
        <v>88.432437581456043</v>
      </c>
      <c r="M83" s="12">
        <v>75.371520753735339</v>
      </c>
      <c r="N83" s="12">
        <v>50.29615639224879</v>
      </c>
      <c r="O83" s="12">
        <v>82.200794978354978</v>
      </c>
      <c r="P83" s="12">
        <v>47.320627957991597</v>
      </c>
      <c r="Q83" s="12">
        <v>88.387171748165414</v>
      </c>
      <c r="R83" s="12">
        <v>35.849288139244884</v>
      </c>
      <c r="S83" s="12">
        <v>41.379082605400434</v>
      </c>
      <c r="T83" s="12">
        <v>69.378914956654654</v>
      </c>
      <c r="U83" s="12">
        <v>52.424629623839671</v>
      </c>
    </row>
    <row r="84" spans="1:21" x14ac:dyDescent="0.2">
      <c r="A84" s="12" t="s">
        <v>67</v>
      </c>
      <c r="B84" s="12" t="s">
        <v>68</v>
      </c>
      <c r="C84" s="11">
        <v>74.21225979431874</v>
      </c>
      <c r="D84" s="3">
        <v>29</v>
      </c>
      <c r="E84" s="12">
        <v>98.456276101102702</v>
      </c>
      <c r="F84" s="12">
        <v>72.227237431637448</v>
      </c>
      <c r="G84" s="12">
        <v>92.370730789669466</v>
      </c>
      <c r="H84" s="12">
        <v>90.821828768732914</v>
      </c>
      <c r="I84" s="12">
        <v>74.083680164337551</v>
      </c>
      <c r="J84" s="12">
        <v>83.174656674732347</v>
      </c>
      <c r="K84" s="12">
        <v>87.676826407333124</v>
      </c>
      <c r="L84" s="12">
        <v>73.346074351477256</v>
      </c>
      <c r="M84" s="12">
        <v>61.699402248640709</v>
      </c>
      <c r="N84" s="12">
        <v>69.979665465695135</v>
      </c>
      <c r="O84" s="12">
        <v>71.887676898512481</v>
      </c>
      <c r="P84" s="12">
        <v>56.526186593052429</v>
      </c>
      <c r="Q84" s="12">
        <v>82.076848903147024</v>
      </c>
      <c r="R84" s="12">
        <v>43.306678582564494</v>
      </c>
      <c r="S84" s="12">
        <v>80.548065896332531</v>
      </c>
      <c r="T84" s="12">
        <v>64.876616172234719</v>
      </c>
      <c r="U84" s="12">
        <v>58.549965054216194</v>
      </c>
    </row>
    <row r="85" spans="1:21" x14ac:dyDescent="0.2">
      <c r="A85" s="12" t="s">
        <v>183</v>
      </c>
      <c r="B85" s="12" t="s">
        <v>184</v>
      </c>
      <c r="C85" s="11">
        <v>65.895897293183907</v>
      </c>
      <c r="D85" s="3">
        <v>81</v>
      </c>
      <c r="E85" s="12">
        <v>99.50018220790146</v>
      </c>
      <c r="F85" s="12">
        <v>48.764491360148817</v>
      </c>
      <c r="G85" s="12">
        <v>81.635440438620961</v>
      </c>
      <c r="H85" s="12">
        <v>66.583251065075061</v>
      </c>
      <c r="I85" s="12">
        <v>71.370534264711722</v>
      </c>
      <c r="J85" s="12">
        <v>88.758412383839499</v>
      </c>
      <c r="K85" s="12">
        <v>78.668529021841152</v>
      </c>
      <c r="L85" s="12">
        <v>66.032659969672054</v>
      </c>
      <c r="M85" s="12">
        <v>24.511123567820107</v>
      </c>
      <c r="N85" s="12">
        <v>36.501007236918774</v>
      </c>
      <c r="O85" s="12">
        <v>87.340619729601144</v>
      </c>
      <c r="P85" s="12">
        <v>77.909871309098619</v>
      </c>
      <c r="Q85" s="12">
        <v>83.838820993863976</v>
      </c>
      <c r="R85" s="12">
        <v>23.692388231523523</v>
      </c>
      <c r="S85" s="12">
        <v>49.778141319348713</v>
      </c>
      <c r="T85" s="12">
        <v>60.26816457645392</v>
      </c>
      <c r="U85" s="12">
        <v>75.076616307686834</v>
      </c>
    </row>
    <row r="86" spans="1:21" x14ac:dyDescent="0.2">
      <c r="A86" s="12" t="s">
        <v>61</v>
      </c>
      <c r="B86" s="12" t="s">
        <v>62</v>
      </c>
      <c r="C86" s="11">
        <v>78.521350162872025</v>
      </c>
      <c r="D86" s="3">
        <v>15</v>
      </c>
      <c r="E86" s="12">
        <v>99.275215986347291</v>
      </c>
      <c r="F86" s="12">
        <v>75.618667830578417</v>
      </c>
      <c r="G86" s="12">
        <v>93.969826595473904</v>
      </c>
      <c r="H86" s="12">
        <v>95.279676145931887</v>
      </c>
      <c r="I86" s="12">
        <v>61.708277435961676</v>
      </c>
      <c r="J86" s="12">
        <v>90.728630862506009</v>
      </c>
      <c r="K86" s="12">
        <v>88.284522149772954</v>
      </c>
      <c r="L86" s="12">
        <v>85.803641212688973</v>
      </c>
      <c r="M86" s="12">
        <v>82.437500881971189</v>
      </c>
      <c r="N86" s="12">
        <v>76.898046212151101</v>
      </c>
      <c r="O86" s="12">
        <v>74.05087348034246</v>
      </c>
      <c r="P86" s="12">
        <v>55.693473873937428</v>
      </c>
      <c r="Q86" s="12">
        <v>85.200740898216551</v>
      </c>
      <c r="R86" s="12">
        <v>56.379275354347804</v>
      </c>
      <c r="S86" s="12">
        <v>66.643388178761313</v>
      </c>
      <c r="T86" s="12">
        <v>89.566918549770293</v>
      </c>
      <c r="U86" s="12">
        <v>57.324277120064956</v>
      </c>
    </row>
    <row r="87" spans="1:21" x14ac:dyDescent="0.2">
      <c r="A87" s="12" t="s">
        <v>173</v>
      </c>
      <c r="B87" s="12" t="s">
        <v>174</v>
      </c>
      <c r="C87" s="11">
        <v>64.358778522926499</v>
      </c>
      <c r="D87" s="3">
        <v>91</v>
      </c>
      <c r="E87" s="12">
        <v>99.966589900470694</v>
      </c>
      <c r="F87" s="12">
        <v>46.491124937518606</v>
      </c>
      <c r="G87" s="12">
        <v>77.744721373998104</v>
      </c>
      <c r="H87" s="12">
        <v>84.765719535855979</v>
      </c>
      <c r="I87" s="12">
        <v>48.733310316364722</v>
      </c>
      <c r="J87" s="12">
        <v>30.611083629890818</v>
      </c>
      <c r="K87" s="12">
        <v>86.673607067171545</v>
      </c>
      <c r="L87" s="12">
        <v>43.934006807199566</v>
      </c>
      <c r="M87" s="12">
        <v>42.685616658858521</v>
      </c>
      <c r="N87" s="12">
        <v>55.990126647800274</v>
      </c>
      <c r="O87" s="12">
        <v>72.027078902898765</v>
      </c>
      <c r="P87" s="12">
        <v>75.480089837548391</v>
      </c>
      <c r="Q87" s="12">
        <v>90.17361281095063</v>
      </c>
      <c r="R87" s="12">
        <v>31.880711578518063</v>
      </c>
      <c r="S87" s="12">
        <v>57.961532858603604</v>
      </c>
      <c r="T87" s="12">
        <v>75.099452943669974</v>
      </c>
      <c r="U87" s="12">
        <v>73.880849082432135</v>
      </c>
    </row>
    <row r="88" spans="1:21" x14ac:dyDescent="0.2">
      <c r="A88" s="12" t="s">
        <v>151</v>
      </c>
      <c r="B88" s="12" t="s">
        <v>152</v>
      </c>
      <c r="C88" s="11">
        <v>68.134465330367803</v>
      </c>
      <c r="D88" s="3">
        <v>65</v>
      </c>
      <c r="E88" s="12">
        <v>99.981298461112729</v>
      </c>
      <c r="F88" s="12">
        <v>52.181382743447358</v>
      </c>
      <c r="G88" s="12">
        <v>73.150052864782509</v>
      </c>
      <c r="H88" s="12">
        <v>85.292520062855047</v>
      </c>
      <c r="I88" s="12">
        <v>77.449966252273356</v>
      </c>
      <c r="J88" s="12">
        <v>89.637781769310934</v>
      </c>
      <c r="K88" s="12">
        <v>74.791533629721826</v>
      </c>
      <c r="L88" s="12">
        <v>72.224570386520114</v>
      </c>
      <c r="M88" s="12">
        <v>40.193108491460166</v>
      </c>
      <c r="N88" s="12">
        <v>62.204263720200757</v>
      </c>
      <c r="O88" s="12">
        <v>83.962844154088927</v>
      </c>
      <c r="P88" s="12">
        <v>54.992056548180308</v>
      </c>
      <c r="Q88" s="12">
        <v>72.978132635330141</v>
      </c>
      <c r="R88" s="12">
        <v>48.422883381021848</v>
      </c>
      <c r="S88" s="12">
        <v>56.789056107029523</v>
      </c>
      <c r="T88" s="12">
        <v>66.520787956429928</v>
      </c>
      <c r="U88" s="12">
        <v>47.513671452487209</v>
      </c>
    </row>
    <row r="89" spans="1:21" x14ac:dyDescent="0.2">
      <c r="A89" s="12" t="s">
        <v>265</v>
      </c>
      <c r="B89" s="12" t="s">
        <v>266</v>
      </c>
      <c r="C89" s="11">
        <v>56.825980078280075</v>
      </c>
      <c r="D89" s="3">
        <v>119</v>
      </c>
      <c r="E89" s="12">
        <v>69.899839634347728</v>
      </c>
      <c r="F89" s="12">
        <v>49.443825329908066</v>
      </c>
      <c r="G89" s="12">
        <v>48.881648985471706</v>
      </c>
      <c r="H89" s="12">
        <v>57.472938232249589</v>
      </c>
      <c r="I89" s="12">
        <v>69.260291282121898</v>
      </c>
      <c r="J89" s="12">
        <v>54.774489121757732</v>
      </c>
      <c r="K89" s="12">
        <v>29.804914421231175</v>
      </c>
      <c r="L89" s="12">
        <v>68.905125461838395</v>
      </c>
      <c r="M89" s="12">
        <v>29.165768701838328</v>
      </c>
      <c r="N89" s="12">
        <v>36.395737680593975</v>
      </c>
      <c r="O89" s="12">
        <v>68.860492169094258</v>
      </c>
      <c r="P89" s="12">
        <v>79.866074753812356</v>
      </c>
      <c r="Q89" s="12">
        <v>79.23831401404459</v>
      </c>
      <c r="R89" s="12">
        <v>49.615764393668876</v>
      </c>
      <c r="S89" s="12">
        <v>53.563471380975237</v>
      </c>
      <c r="T89" s="12">
        <v>58.395924445752016</v>
      </c>
      <c r="U89" s="12">
        <v>62.497041322055459</v>
      </c>
    </row>
    <row r="90" spans="1:21" x14ac:dyDescent="0.2">
      <c r="A90" s="12" t="s">
        <v>369</v>
      </c>
      <c r="B90" s="12" t="s">
        <v>370</v>
      </c>
    </row>
    <row r="91" spans="1:21" x14ac:dyDescent="0.2">
      <c r="A91" s="12" t="s">
        <v>387</v>
      </c>
      <c r="B91" s="12" t="s">
        <v>388</v>
      </c>
    </row>
    <row r="92" spans="1:21" x14ac:dyDescent="0.2">
      <c r="A92" s="12" t="s">
        <v>81</v>
      </c>
      <c r="B92" s="12" t="s">
        <v>82</v>
      </c>
      <c r="C92" s="11">
        <v>77.405206837757149</v>
      </c>
      <c r="D92" s="3">
        <v>19</v>
      </c>
      <c r="E92" s="12">
        <v>99.308866759777857</v>
      </c>
      <c r="F92" s="12">
        <v>83.230132851846051</v>
      </c>
      <c r="G92" s="12">
        <v>91.314679017045066</v>
      </c>
      <c r="H92" s="12">
        <v>91.739488087126489</v>
      </c>
      <c r="I92" s="12">
        <v>67.363369093929776</v>
      </c>
      <c r="J92" s="12">
        <v>79.861522662122326</v>
      </c>
      <c r="K92" s="12">
        <v>88.629251827917685</v>
      </c>
      <c r="L92" s="12">
        <v>83.448090833216668</v>
      </c>
      <c r="M92" s="12">
        <v>83.417103631841982</v>
      </c>
      <c r="N92" s="12">
        <v>86.596886933576513</v>
      </c>
      <c r="O92" s="12">
        <v>79.974761061652117</v>
      </c>
      <c r="P92" s="12">
        <v>65.166643868800364</v>
      </c>
      <c r="Q92" s="12">
        <v>85.353107338116203</v>
      </c>
      <c r="R92" s="12">
        <v>56.018099518921701</v>
      </c>
      <c r="S92" s="12">
        <v>52.863224055867917</v>
      </c>
      <c r="T92" s="12">
        <v>71.793713994858678</v>
      </c>
      <c r="U92" s="12">
        <v>49.809574705253965</v>
      </c>
    </row>
    <row r="93" spans="1:21" x14ac:dyDescent="0.2">
      <c r="A93" s="12" t="s">
        <v>235</v>
      </c>
      <c r="B93" s="12" t="s">
        <v>236</v>
      </c>
      <c r="C93" s="11">
        <v>61.136972155393259</v>
      </c>
      <c r="D93" s="3">
        <v>105</v>
      </c>
      <c r="E93" s="12">
        <v>99.972742380977166</v>
      </c>
      <c r="F93" s="12">
        <v>65.194885282474743</v>
      </c>
      <c r="G93" s="12">
        <v>84.822120614817763</v>
      </c>
      <c r="H93" s="12">
        <v>74.678045835381539</v>
      </c>
      <c r="I93" s="12">
        <v>55.762800954278553</v>
      </c>
      <c r="J93" s="12">
        <v>50</v>
      </c>
      <c r="K93" s="12">
        <v>86.602064959755921</v>
      </c>
      <c r="L93" s="12">
        <v>77.643294286718884</v>
      </c>
      <c r="M93" s="12">
        <v>45.675141904731205</v>
      </c>
      <c r="N93" s="12">
        <v>62.484379277144349</v>
      </c>
      <c r="O93" s="12">
        <v>44.590525014000875</v>
      </c>
      <c r="P93" s="12">
        <v>28.862660944206009</v>
      </c>
      <c r="Q93" s="12">
        <v>43.78378378378379</v>
      </c>
      <c r="R93" s="12">
        <v>37.396211269614625</v>
      </c>
      <c r="S93" s="12">
        <v>55.049635180600959</v>
      </c>
      <c r="T93" s="12">
        <v>73.937203619471305</v>
      </c>
      <c r="U93" s="12">
        <v>52.87303133372771</v>
      </c>
    </row>
    <row r="94" spans="1:21" x14ac:dyDescent="0.2">
      <c r="A94" s="12" t="s">
        <v>109</v>
      </c>
      <c r="B94" s="12" t="s">
        <v>110</v>
      </c>
      <c r="C94" s="11">
        <v>70.333800671645747</v>
      </c>
      <c r="D94" s="3">
        <v>51</v>
      </c>
      <c r="E94" s="12">
        <v>98.616350876103638</v>
      </c>
      <c r="F94" s="12">
        <v>61.690560234052839</v>
      </c>
      <c r="G94" s="12">
        <v>71.465748426112256</v>
      </c>
      <c r="H94" s="12">
        <v>84.699775538746948</v>
      </c>
      <c r="I94" s="12">
        <v>64.59651582047087</v>
      </c>
      <c r="J94" s="12">
        <v>85.520691490650577</v>
      </c>
      <c r="K94" s="12">
        <v>84.170790972359427</v>
      </c>
      <c r="L94" s="12">
        <v>61.583278682888931</v>
      </c>
      <c r="M94" s="12">
        <v>16.284182673394334</v>
      </c>
      <c r="N94" s="12">
        <v>79.428286288381216</v>
      </c>
      <c r="O94" s="12">
        <v>88.606276306727565</v>
      </c>
      <c r="P94" s="12">
        <v>74.249769116818939</v>
      </c>
      <c r="Q94" s="12">
        <v>87.295652374390798</v>
      </c>
      <c r="R94" s="12">
        <v>48.422883381021848</v>
      </c>
      <c r="S94" s="12">
        <v>67.728930750550248</v>
      </c>
      <c r="T94" s="12">
        <v>54.627835779970759</v>
      </c>
      <c r="U94" s="12">
        <v>66.687082705336678</v>
      </c>
    </row>
    <row r="95" spans="1:21" x14ac:dyDescent="0.2">
      <c r="A95" s="12" t="s">
        <v>249</v>
      </c>
      <c r="B95" s="12" t="s">
        <v>250</v>
      </c>
      <c r="C95" s="11">
        <v>60.63057636657237</v>
      </c>
      <c r="D95" s="3">
        <v>108</v>
      </c>
      <c r="E95" s="12">
        <v>90.17669433111206</v>
      </c>
      <c r="F95" s="12">
        <v>55.025276154965113</v>
      </c>
      <c r="G95" s="12">
        <v>50.239091890044783</v>
      </c>
      <c r="H95" s="12">
        <v>54.602489936472729</v>
      </c>
      <c r="I95" s="12">
        <v>72.136982910697583</v>
      </c>
      <c r="J95" s="12">
        <v>84.163136532121626</v>
      </c>
      <c r="K95" s="12">
        <v>39.253917482144715</v>
      </c>
      <c r="L95" s="12">
        <v>70.79209090250572</v>
      </c>
      <c r="M95" s="12">
        <v>14.224701723211203</v>
      </c>
      <c r="N95" s="12">
        <v>60.717981876033996</v>
      </c>
      <c r="O95" s="12">
        <v>70.551961210028537</v>
      </c>
      <c r="P95" s="12">
        <v>78.793657047992752</v>
      </c>
      <c r="Q95" s="12">
        <v>86.510938569843631</v>
      </c>
      <c r="R95" s="12">
        <v>45.165834529827535</v>
      </c>
      <c r="S95" s="12">
        <v>48.086868070166879</v>
      </c>
      <c r="T95" s="12">
        <v>63.586576457718515</v>
      </c>
      <c r="U95" s="12">
        <v>46.691598606843037</v>
      </c>
    </row>
    <row r="96" spans="1:21" x14ac:dyDescent="0.2">
      <c r="A96" s="12" t="s">
        <v>47</v>
      </c>
      <c r="B96" s="12" t="s">
        <v>48</v>
      </c>
      <c r="C96" s="11">
        <v>74.746995957491265</v>
      </c>
      <c r="D96" s="3">
        <v>27</v>
      </c>
      <c r="E96" s="12">
        <v>99.058727209271723</v>
      </c>
      <c r="F96" s="12">
        <v>66.075419170782624</v>
      </c>
      <c r="G96" s="12">
        <v>84.247879780262977</v>
      </c>
      <c r="H96" s="12">
        <v>91.482756590333494</v>
      </c>
      <c r="I96" s="12">
        <v>72.480496537196487</v>
      </c>
      <c r="J96" s="12">
        <v>84.683486412687458</v>
      </c>
      <c r="K96" s="12">
        <v>86.28606895812851</v>
      </c>
      <c r="L96" s="12">
        <v>79.574842890148432</v>
      </c>
      <c r="M96" s="12">
        <v>47.802632835884658</v>
      </c>
      <c r="N96" s="12">
        <v>76.579760118436695</v>
      </c>
      <c r="O96" s="12">
        <v>83.226524447774466</v>
      </c>
      <c r="P96" s="12">
        <v>68.661674783485182</v>
      </c>
      <c r="Q96" s="12">
        <v>84.239619182782093</v>
      </c>
      <c r="R96" s="12">
        <v>55.601117174202791</v>
      </c>
      <c r="S96" s="12">
        <v>75.556085758422967</v>
      </c>
      <c r="T96" s="12">
        <v>67.508227426905734</v>
      </c>
      <c r="U96" s="12">
        <v>47.633612000645051</v>
      </c>
    </row>
    <row r="97" spans="1:21" x14ac:dyDescent="0.2">
      <c r="A97" s="12" t="s">
        <v>209</v>
      </c>
      <c r="B97" s="12" t="s">
        <v>210</v>
      </c>
      <c r="C97" s="11">
        <v>64.788163822215139</v>
      </c>
      <c r="D97" s="3">
        <v>87</v>
      </c>
      <c r="E97" s="12">
        <v>99.956320559801156</v>
      </c>
      <c r="F97" s="12">
        <v>45.713840722368467</v>
      </c>
      <c r="G97" s="12">
        <v>80.102393081275494</v>
      </c>
      <c r="H97" s="12">
        <v>72.505376229592812</v>
      </c>
      <c r="I97" s="12">
        <v>47.579517931100874</v>
      </c>
      <c r="J97" s="12">
        <v>67.9232924988614</v>
      </c>
      <c r="K97" s="12">
        <v>86.866805330511923</v>
      </c>
      <c r="L97" s="12">
        <v>52.184159061272531</v>
      </c>
      <c r="M97" s="12">
        <v>37.223340780312888</v>
      </c>
      <c r="N97" s="12">
        <v>69.635269834636176</v>
      </c>
      <c r="O97" s="12">
        <v>65.359940048037473</v>
      </c>
      <c r="P97" s="12">
        <v>77.187995686776048</v>
      </c>
      <c r="Q97" s="12">
        <v>83.099909119981788</v>
      </c>
      <c r="R97" s="12">
        <v>43.698018398501503</v>
      </c>
      <c r="S97" s="12">
        <v>53.440398797505381</v>
      </c>
      <c r="T97" s="12">
        <v>62.478164668305226</v>
      </c>
      <c r="U97" s="12">
        <v>56.444042228815981</v>
      </c>
    </row>
    <row r="98" spans="1:21" x14ac:dyDescent="0.2">
      <c r="A98" s="12" t="s">
        <v>305</v>
      </c>
      <c r="B98" s="12" t="s">
        <v>306</v>
      </c>
      <c r="C98" s="11">
        <v>51.514691536903456</v>
      </c>
      <c r="D98" s="3">
        <v>135</v>
      </c>
      <c r="E98" s="12">
        <v>28.131456257729916</v>
      </c>
      <c r="F98" s="12">
        <v>47.922473389408353</v>
      </c>
      <c r="G98" s="12">
        <v>34.652432173277298</v>
      </c>
      <c r="H98" s="12">
        <v>55.58031034492722</v>
      </c>
      <c r="I98" s="12">
        <v>73.293497249352754</v>
      </c>
      <c r="J98" s="12">
        <v>72.60259904280359</v>
      </c>
      <c r="K98" s="12">
        <v>25.465818617100673</v>
      </c>
      <c r="L98" s="12">
        <v>36.206415228849998</v>
      </c>
      <c r="M98" s="12">
        <v>12.409706787883525</v>
      </c>
      <c r="N98" s="12">
        <v>0.44133432181740656</v>
      </c>
      <c r="O98" s="12">
        <v>69.149885051245079</v>
      </c>
      <c r="P98" s="12">
        <v>79.1549533056549</v>
      </c>
      <c r="Q98" s="12">
        <v>79.983479776635249</v>
      </c>
      <c r="R98" s="12">
        <v>48.160238987946016</v>
      </c>
      <c r="S98" s="12">
        <v>70.705722695698427</v>
      </c>
      <c r="T98" s="12">
        <v>42.939933600352326</v>
      </c>
      <c r="U98" s="12">
        <v>98.94949929667591</v>
      </c>
    </row>
    <row r="99" spans="1:21" x14ac:dyDescent="0.2">
      <c r="A99" s="12" t="s">
        <v>333</v>
      </c>
      <c r="B99" s="12" t="s">
        <v>334</v>
      </c>
      <c r="C99" s="11">
        <v>48.297828819680923</v>
      </c>
      <c r="D99" s="3">
        <v>149</v>
      </c>
      <c r="E99" s="12">
        <v>63.924847492867499</v>
      </c>
      <c r="F99" s="12">
        <v>37.661887042959947</v>
      </c>
      <c r="G99" s="12">
        <v>42.15507161461521</v>
      </c>
      <c r="H99" s="12">
        <v>8.6422558783268837</v>
      </c>
      <c r="I99" s="12">
        <v>39.877873965485591</v>
      </c>
      <c r="J99" s="12">
        <v>60.030158671339116</v>
      </c>
      <c r="K99" s="12">
        <v>7.3593488545209299E-4</v>
      </c>
      <c r="L99" s="12">
        <v>52.659941496335804</v>
      </c>
      <c r="M99" s="12">
        <v>4.8308184437875852</v>
      </c>
      <c r="N99" s="12">
        <v>83.995666539033095</v>
      </c>
      <c r="O99" s="12">
        <v>35.871035957931937</v>
      </c>
      <c r="P99" s="12">
        <v>82.868038214538259</v>
      </c>
      <c r="Q99" s="12">
        <v>80.721131212370238</v>
      </c>
      <c r="R99" s="12">
        <v>53.950256627256771</v>
      </c>
      <c r="S99" s="12">
        <v>52.519632683093505</v>
      </c>
      <c r="T99" s="12">
        <v>49.543298660393688</v>
      </c>
      <c r="U99" s="12">
        <v>71.810439499355155</v>
      </c>
    </row>
    <row r="100" spans="1:21" x14ac:dyDescent="0.2">
      <c r="A100" s="12" t="s">
        <v>373</v>
      </c>
      <c r="B100" s="12" t="s">
        <v>374</v>
      </c>
    </row>
    <row r="101" spans="1:21" x14ac:dyDescent="0.2">
      <c r="A101" s="12" t="s">
        <v>377</v>
      </c>
      <c r="B101" s="12" t="s">
        <v>378</v>
      </c>
    </row>
    <row r="102" spans="1:21" x14ac:dyDescent="0.2">
      <c r="A102" s="12" t="s">
        <v>93</v>
      </c>
      <c r="B102" s="12" t="s">
        <v>94</v>
      </c>
      <c r="C102" s="11">
        <v>72.895703494569062</v>
      </c>
      <c r="D102" s="3">
        <v>36</v>
      </c>
      <c r="E102" s="12">
        <v>98.600543177461532</v>
      </c>
      <c r="F102" s="12">
        <v>66.96584845865209</v>
      </c>
      <c r="G102" s="12">
        <v>85.268622398441821</v>
      </c>
      <c r="H102" s="12">
        <v>96.949399072310101</v>
      </c>
      <c r="I102" s="12">
        <v>75.342027634104014</v>
      </c>
      <c r="J102" s="12">
        <v>82.686967111560534</v>
      </c>
      <c r="K102" s="12">
        <v>70.666673723664402</v>
      </c>
      <c r="L102" s="12">
        <v>79.246648482355653</v>
      </c>
      <c r="M102" s="12">
        <v>52.936335167035978</v>
      </c>
      <c r="N102" s="12">
        <v>49.684123306820858</v>
      </c>
      <c r="O102" s="12">
        <v>80.181465464180604</v>
      </c>
      <c r="P102" s="12">
        <v>66.964682329539073</v>
      </c>
      <c r="Q102" s="12">
        <v>82.241972807388265</v>
      </c>
      <c r="R102" s="12">
        <v>55.826667384247358</v>
      </c>
      <c r="S102" s="12">
        <v>78.742396841797259</v>
      </c>
      <c r="T102" s="12">
        <v>68.52814661401996</v>
      </c>
      <c r="U102" s="12">
        <v>48.394439434094544</v>
      </c>
    </row>
    <row r="103" spans="1:21" x14ac:dyDescent="0.2">
      <c r="A103" s="12" t="s">
        <v>85</v>
      </c>
      <c r="B103" s="12" t="s">
        <v>86</v>
      </c>
      <c r="C103" s="11">
        <v>76.091355714385514</v>
      </c>
      <c r="D103" s="3">
        <v>22</v>
      </c>
      <c r="E103" s="12">
        <v>99.882092628708293</v>
      </c>
      <c r="F103" s="12">
        <v>68.996334095929214</v>
      </c>
      <c r="G103" s="12">
        <v>95.336280824831917</v>
      </c>
      <c r="H103" s="12">
        <v>88.426734290663106</v>
      </c>
      <c r="I103" s="12">
        <v>74.413815937008224</v>
      </c>
      <c r="J103" s="12">
        <v>86.428952268562639</v>
      </c>
      <c r="K103" s="12">
        <v>66.666666666666671</v>
      </c>
      <c r="L103" s="12">
        <v>88.361487756202877</v>
      </c>
      <c r="M103" s="12">
        <v>74.976796199033288</v>
      </c>
      <c r="N103" s="12">
        <v>88.388888029488442</v>
      </c>
      <c r="O103" s="12">
        <v>95.425904497712125</v>
      </c>
      <c r="P103" s="12">
        <v>34.407148118323256</v>
      </c>
      <c r="Q103" s="12">
        <v>80.658516749535309</v>
      </c>
      <c r="R103" s="12">
        <v>52.397336317923852</v>
      </c>
      <c r="S103" s="12">
        <v>54.829216025280857</v>
      </c>
      <c r="T103" s="12">
        <v>93.085458127441868</v>
      </c>
      <c r="U103" s="12">
        <v>50.871418611241886</v>
      </c>
    </row>
    <row r="104" spans="1:21" x14ac:dyDescent="0.2">
      <c r="A104" s="12" t="s">
        <v>331</v>
      </c>
      <c r="B104" s="12" t="s">
        <v>332</v>
      </c>
      <c r="C104" s="11">
        <v>45.585734259209644</v>
      </c>
      <c r="D104" s="3">
        <v>153</v>
      </c>
      <c r="E104" s="12">
        <v>3.1696224180890034</v>
      </c>
      <c r="F104" s="12">
        <v>29.087582685350785</v>
      </c>
      <c r="G104" s="12">
        <v>42.425042610551301</v>
      </c>
      <c r="H104" s="12">
        <v>46.097291754654819</v>
      </c>
      <c r="I104" s="12">
        <v>73.90800633384454</v>
      </c>
      <c r="J104" s="12">
        <v>48.424453976768319</v>
      </c>
      <c r="K104" s="12">
        <v>4.225401858554819</v>
      </c>
      <c r="L104" s="12">
        <v>49.452460574719467</v>
      </c>
      <c r="M104" s="12">
        <v>5.8197625774329413</v>
      </c>
      <c r="N104" s="12">
        <v>31.76931913868054</v>
      </c>
      <c r="O104" s="12">
        <v>66.669850910775025</v>
      </c>
      <c r="P104" s="12">
        <v>75.996271741570482</v>
      </c>
      <c r="Q104" s="12">
        <v>90.72295080571601</v>
      </c>
      <c r="R104" s="12">
        <v>51.905954974118373</v>
      </c>
      <c r="S104" s="12">
        <v>50.216746785108704</v>
      </c>
      <c r="T104" s="12">
        <v>51.496129158497943</v>
      </c>
      <c r="U104" s="12">
        <v>53.57063410213086</v>
      </c>
    </row>
    <row r="105" spans="1:21" x14ac:dyDescent="0.2">
      <c r="A105" s="12" t="s">
        <v>289</v>
      </c>
      <c r="B105" s="12" t="s">
        <v>290</v>
      </c>
      <c r="C105" s="11">
        <v>49.965240382208762</v>
      </c>
      <c r="D105" s="3">
        <v>140</v>
      </c>
      <c r="E105" s="12">
        <v>18.274104415758561</v>
      </c>
      <c r="F105" s="12">
        <v>43.036211367203443</v>
      </c>
      <c r="G105" s="12">
        <v>42.841715747017467</v>
      </c>
      <c r="H105" s="12">
        <v>53.800976981891438</v>
      </c>
      <c r="I105" s="12">
        <v>62.247096039239651</v>
      </c>
      <c r="J105" s="12">
        <v>70.632950717088335</v>
      </c>
      <c r="K105" s="12">
        <v>2.1226324267553531</v>
      </c>
      <c r="L105" s="12">
        <v>49.344340715632178</v>
      </c>
      <c r="M105" s="12">
        <v>6.4059979978667778</v>
      </c>
      <c r="N105" s="12">
        <v>43.720088560460191</v>
      </c>
      <c r="O105" s="12">
        <v>64.751438266858443</v>
      </c>
      <c r="P105" s="12">
        <v>83.912064107705206</v>
      </c>
      <c r="Q105" s="12">
        <v>74.081271489990343</v>
      </c>
      <c r="R105" s="12">
        <v>48.160238987946016</v>
      </c>
      <c r="S105" s="12">
        <v>63.048326645871782</v>
      </c>
      <c r="T105" s="12">
        <v>49.804293157821945</v>
      </c>
      <c r="U105" s="12">
        <v>73.225338872441725</v>
      </c>
    </row>
    <row r="106" spans="1:21" x14ac:dyDescent="0.2">
      <c r="A106" s="12" t="s">
        <v>175</v>
      </c>
      <c r="B106" s="12" t="s">
        <v>176</v>
      </c>
      <c r="C106" s="11">
        <v>70.006869995070289</v>
      </c>
      <c r="D106" s="3">
        <v>55</v>
      </c>
      <c r="E106" s="12">
        <v>98.485490526196003</v>
      </c>
      <c r="F106" s="12">
        <v>55.316691672450055</v>
      </c>
      <c r="G106" s="12">
        <v>82.583295342390628</v>
      </c>
      <c r="H106" s="12">
        <v>88.64187295585981</v>
      </c>
      <c r="I106" s="12">
        <v>58.296015504735131</v>
      </c>
      <c r="J106" s="12">
        <v>84.198030281763067</v>
      </c>
      <c r="K106" s="12">
        <v>84.429607315532962</v>
      </c>
      <c r="L106" s="12">
        <v>82.657486918710987</v>
      </c>
      <c r="M106" s="12">
        <v>59.48909240004177</v>
      </c>
      <c r="N106" s="12">
        <v>42.617819308262369</v>
      </c>
      <c r="O106" s="12">
        <v>87.187861648089608</v>
      </c>
      <c r="P106" s="12">
        <v>69.714374943053059</v>
      </c>
      <c r="Q106" s="12">
        <v>84.564862246458773</v>
      </c>
      <c r="R106" s="12">
        <v>45.078139806378978</v>
      </c>
      <c r="S106" s="12">
        <v>41.379717094741991</v>
      </c>
      <c r="T106" s="12">
        <v>68.897911871620835</v>
      </c>
      <c r="U106" s="12">
        <v>56.578520079908991</v>
      </c>
    </row>
    <row r="107" spans="1:21" x14ac:dyDescent="0.2">
      <c r="A107" s="12" t="s">
        <v>155</v>
      </c>
      <c r="B107" s="12" t="s">
        <v>156</v>
      </c>
    </row>
    <row r="108" spans="1:21" x14ac:dyDescent="0.2">
      <c r="A108" s="12" t="s">
        <v>281</v>
      </c>
      <c r="B108" s="12" t="s">
        <v>282</v>
      </c>
      <c r="C108" s="11">
        <v>49.722325562000563</v>
      </c>
      <c r="D108" s="3">
        <v>142</v>
      </c>
      <c r="E108" s="12">
        <v>67.868742604936401</v>
      </c>
      <c r="F108" s="12">
        <v>40.030007218982284</v>
      </c>
      <c r="G108" s="12">
        <v>36.899591549241045</v>
      </c>
      <c r="H108" s="12">
        <v>4.7680294719245566</v>
      </c>
      <c r="I108" s="12">
        <v>33.100845501348502</v>
      </c>
      <c r="J108" s="12">
        <v>70.030871114518007</v>
      </c>
      <c r="K108" s="12">
        <v>9.9893422004882026</v>
      </c>
      <c r="L108" s="12">
        <v>49.561954733265914</v>
      </c>
      <c r="M108" s="12">
        <v>12.395610456155525</v>
      </c>
      <c r="N108" s="12">
        <v>74.081323457428127</v>
      </c>
      <c r="O108" s="12">
        <v>56.660448036639444</v>
      </c>
      <c r="P108" s="12">
        <v>76.207276196504125</v>
      </c>
      <c r="Q108" s="12">
        <v>88.487353121172902</v>
      </c>
      <c r="R108" s="12">
        <v>48.160238987946016</v>
      </c>
      <c r="S108" s="12">
        <v>62.145268813142749</v>
      </c>
      <c r="T108" s="12">
        <v>53.814763851409012</v>
      </c>
      <c r="U108" s="12">
        <v>61.077867238906947</v>
      </c>
    </row>
    <row r="109" spans="1:21" x14ac:dyDescent="0.2">
      <c r="A109" s="12" t="s">
        <v>101</v>
      </c>
      <c r="B109" s="12" t="s">
        <v>102</v>
      </c>
      <c r="C109" s="11">
        <v>74.198442641539032</v>
      </c>
      <c r="D109" s="3">
        <v>30</v>
      </c>
      <c r="E109" s="12">
        <v>99.923492696550426</v>
      </c>
      <c r="F109" s="12">
        <v>63.32088073341825</v>
      </c>
      <c r="G109" s="12">
        <v>92.01305366201025</v>
      </c>
      <c r="H109" s="12">
        <v>91.620115037932464</v>
      </c>
      <c r="I109" s="12">
        <v>64.633682962698941</v>
      </c>
      <c r="J109" s="12">
        <v>81.011373204835337</v>
      </c>
      <c r="K109" s="12">
        <v>86.572031878178393</v>
      </c>
      <c r="L109" s="12">
        <v>89.043111563909022</v>
      </c>
      <c r="M109" s="12">
        <v>43.156620379197662</v>
      </c>
      <c r="N109" s="12">
        <v>65.436978001358511</v>
      </c>
      <c r="O109" s="12">
        <v>81.734365992264671</v>
      </c>
      <c r="P109" s="12">
        <v>56.337545500677031</v>
      </c>
      <c r="Q109" s="12">
        <v>92.270651734976056</v>
      </c>
      <c r="R109" s="12">
        <v>51.378466245558229</v>
      </c>
      <c r="S109" s="12">
        <v>60.71185247321295</v>
      </c>
      <c r="T109" s="12">
        <v>76.765532822226533</v>
      </c>
      <c r="U109" s="12">
        <v>65.44377001715911</v>
      </c>
    </row>
    <row r="110" spans="1:21" x14ac:dyDescent="0.2">
      <c r="A110" s="12" t="s">
        <v>381</v>
      </c>
      <c r="B110" s="12" t="s">
        <v>382</v>
      </c>
    </row>
    <row r="111" spans="1:21" x14ac:dyDescent="0.2">
      <c r="A111" s="12" t="s">
        <v>285</v>
      </c>
      <c r="B111" s="12" t="s">
        <v>286</v>
      </c>
      <c r="C111" s="11">
        <v>51.570050044430964</v>
      </c>
      <c r="D111" s="3">
        <v>134</v>
      </c>
      <c r="E111" s="12">
        <v>94.639902716580309</v>
      </c>
      <c r="F111" s="12">
        <v>49.835001396356972</v>
      </c>
      <c r="G111" s="12">
        <v>48.510926642734674</v>
      </c>
      <c r="H111" s="12">
        <v>24.953300990731027</v>
      </c>
      <c r="I111" s="12">
        <v>34.43253511427779</v>
      </c>
      <c r="J111" s="12">
        <v>67.895207887759511</v>
      </c>
      <c r="K111" s="12">
        <v>38.127204553111994</v>
      </c>
      <c r="L111" s="12">
        <v>32.190511626560351</v>
      </c>
      <c r="M111" s="12">
        <v>7.4439355683096666</v>
      </c>
      <c r="N111" s="12">
        <v>86.292415632056304</v>
      </c>
      <c r="O111" s="12">
        <v>26.417476378230475</v>
      </c>
      <c r="P111" s="12">
        <v>80.71186506455625</v>
      </c>
      <c r="Q111" s="12">
        <v>81.336073099443922</v>
      </c>
      <c r="R111" s="12">
        <v>57.231713562924455</v>
      </c>
      <c r="S111" s="12">
        <v>49.353748405706213</v>
      </c>
      <c r="T111" s="12">
        <v>42.67415292026925</v>
      </c>
      <c r="U111" s="12">
        <v>54.644879195717344</v>
      </c>
    </row>
    <row r="112" spans="1:21" x14ac:dyDescent="0.2">
      <c r="A112" s="12" t="s">
        <v>205</v>
      </c>
      <c r="B112" s="12" t="s">
        <v>206</v>
      </c>
      <c r="C112" s="11">
        <v>64.501024895484136</v>
      </c>
      <c r="D112" s="3">
        <v>90</v>
      </c>
      <c r="E112" s="12">
        <v>99.798797981047329</v>
      </c>
      <c r="F112" s="12">
        <v>49.536479688735852</v>
      </c>
      <c r="G112" s="12">
        <v>81.77611748631459</v>
      </c>
      <c r="H112" s="12">
        <v>82.54708626516377</v>
      </c>
      <c r="I112" s="12">
        <v>61.028006450906233</v>
      </c>
      <c r="J112" s="12">
        <v>69.176477885634526</v>
      </c>
      <c r="K112" s="12">
        <v>85.535599066449279</v>
      </c>
      <c r="L112" s="12">
        <v>84.787354696061783</v>
      </c>
      <c r="M112" s="12">
        <v>28.527087287602214</v>
      </c>
      <c r="N112" s="12">
        <v>39.27252328867435</v>
      </c>
      <c r="O112" s="12">
        <v>90.118614922497613</v>
      </c>
      <c r="P112" s="12">
        <v>53.36894697281798</v>
      </c>
      <c r="Q112" s="12">
        <v>61.947113247206538</v>
      </c>
      <c r="R112" s="12">
        <v>52.699236360042676</v>
      </c>
      <c r="S112" s="12">
        <v>25.662021148421591</v>
      </c>
      <c r="T112" s="12">
        <v>68.33407466058722</v>
      </c>
      <c r="U112" s="12">
        <v>62.40188581506677</v>
      </c>
    </row>
    <row r="113" spans="1:21" x14ac:dyDescent="0.2">
      <c r="A113" s="12" t="s">
        <v>179</v>
      </c>
      <c r="B113" s="12" t="s">
        <v>180</v>
      </c>
      <c r="C113" s="11">
        <v>65.210603791919681</v>
      </c>
      <c r="D113" s="3">
        <v>84</v>
      </c>
      <c r="E113" s="12">
        <v>97.114458778066023</v>
      </c>
      <c r="F113" s="12">
        <v>56.195986484012991</v>
      </c>
      <c r="G113" s="12">
        <v>82.479106326576087</v>
      </c>
      <c r="H113" s="12">
        <v>81.898013163643895</v>
      </c>
      <c r="I113" s="12">
        <v>76.484306444729</v>
      </c>
      <c r="J113" s="12">
        <v>59.724139506691863</v>
      </c>
      <c r="K113" s="12">
        <v>79.956434733741517</v>
      </c>
      <c r="L113" s="12">
        <v>64.730259075704566</v>
      </c>
      <c r="M113" s="12">
        <v>36.736325366933919</v>
      </c>
      <c r="N113" s="12">
        <v>14.666404849060925</v>
      </c>
      <c r="O113" s="12">
        <v>81.218140782181834</v>
      </c>
      <c r="P113" s="12">
        <v>74.158911270365294</v>
      </c>
      <c r="Q113" s="12">
        <v>88.129881446142207</v>
      </c>
      <c r="R113" s="12">
        <v>58.424162432495933</v>
      </c>
      <c r="S113" s="12">
        <v>42.410119645330141</v>
      </c>
      <c r="T113" s="12">
        <v>52.671232085533489</v>
      </c>
      <c r="U113" s="12">
        <v>61.582382071424831</v>
      </c>
    </row>
    <row r="114" spans="1:21" x14ac:dyDescent="0.2">
      <c r="A114" s="12" t="s">
        <v>361</v>
      </c>
      <c r="B114" s="12" t="s">
        <v>362</v>
      </c>
    </row>
    <row r="115" spans="1:21" x14ac:dyDescent="0.2">
      <c r="A115" s="12" t="s">
        <v>69</v>
      </c>
      <c r="B115" s="12" t="s">
        <v>70</v>
      </c>
      <c r="C115" s="11">
        <v>74.511187009234177</v>
      </c>
      <c r="D115" s="3">
        <v>28</v>
      </c>
      <c r="E115" s="12">
        <v>99.951996348535729</v>
      </c>
      <c r="F115" s="12">
        <v>62.589696888714919</v>
      </c>
      <c r="G115" s="12">
        <v>76.888917370602641</v>
      </c>
      <c r="H115" s="12">
        <v>86.074704613896486</v>
      </c>
      <c r="I115" s="12">
        <v>77.136082135403214</v>
      </c>
      <c r="J115" s="12">
        <v>90.341803571390031</v>
      </c>
      <c r="K115" s="12">
        <v>84.562098216314979</v>
      </c>
      <c r="L115" s="12">
        <v>67.357843905851496</v>
      </c>
      <c r="M115" s="12">
        <v>26.533294378160651</v>
      </c>
      <c r="N115" s="12">
        <v>92.749844211974107</v>
      </c>
      <c r="O115" s="12">
        <v>78.01375395358157</v>
      </c>
      <c r="P115" s="12">
        <v>81.806034313420952</v>
      </c>
      <c r="Q115" s="12">
        <v>95.778618874184602</v>
      </c>
      <c r="R115" s="12">
        <v>48.422883381021848</v>
      </c>
      <c r="S115" s="12">
        <v>62.858749954317581</v>
      </c>
      <c r="T115" s="12">
        <v>54.498722892189853</v>
      </c>
      <c r="U115" s="12">
        <v>81.125134147420383</v>
      </c>
    </row>
    <row r="116" spans="1:21" x14ac:dyDescent="0.2">
      <c r="A116" s="12" t="s">
        <v>379</v>
      </c>
      <c r="B116" s="12" t="s">
        <v>380</v>
      </c>
    </row>
    <row r="117" spans="1:21" x14ac:dyDescent="0.2">
      <c r="A117" s="12" t="s">
        <v>231</v>
      </c>
      <c r="B117" s="12" t="s">
        <v>232</v>
      </c>
      <c r="C117" s="11">
        <v>63.861306241062643</v>
      </c>
      <c r="D117" s="3">
        <v>95</v>
      </c>
      <c r="E117" s="12">
        <v>99.836440211455937</v>
      </c>
      <c r="F117" s="12">
        <v>48.044103189538284</v>
      </c>
      <c r="G117" s="12">
        <v>67.876615163905882</v>
      </c>
      <c r="H117" s="12">
        <v>86.962491090045091</v>
      </c>
      <c r="I117" s="12">
        <v>71.122836438041972</v>
      </c>
      <c r="J117" s="12">
        <v>80.972459740157674</v>
      </c>
      <c r="K117" s="12">
        <v>38.425273275715256</v>
      </c>
      <c r="L117" s="12">
        <v>81.781178531378103</v>
      </c>
      <c r="M117" s="12">
        <v>21.136245440178776</v>
      </c>
      <c r="N117" s="12">
        <v>73.172981975047009</v>
      </c>
      <c r="O117" s="12">
        <v>55.307961773471334</v>
      </c>
      <c r="P117" s="12">
        <v>71.658402338614763</v>
      </c>
      <c r="Q117" s="12">
        <v>73.751361854849534</v>
      </c>
      <c r="R117" s="12">
        <v>45.165834529827535</v>
      </c>
      <c r="S117" s="12">
        <v>60.951504776592266</v>
      </c>
      <c r="T117" s="12">
        <v>56.349366013047707</v>
      </c>
      <c r="U117" s="12">
        <v>53.127149756197603</v>
      </c>
    </row>
    <row r="118" spans="1:21" x14ac:dyDescent="0.2">
      <c r="A118" s="12" t="s">
        <v>153</v>
      </c>
      <c r="B118" s="12" t="s">
        <v>154</v>
      </c>
      <c r="C118" s="11">
        <v>67.632479612063037</v>
      </c>
      <c r="D118" s="3">
        <v>69</v>
      </c>
      <c r="E118" s="12">
        <v>99.982424666742929</v>
      </c>
      <c r="F118" s="12">
        <v>55.500529790579513</v>
      </c>
      <c r="G118" s="12">
        <v>78.209095575857745</v>
      </c>
      <c r="H118" s="12">
        <v>89.018134101573011</v>
      </c>
      <c r="I118" s="12">
        <v>64.231185986750191</v>
      </c>
      <c r="J118" s="12">
        <v>91.635263074222252</v>
      </c>
      <c r="K118" s="12">
        <v>83.044067305236425</v>
      </c>
      <c r="L118" s="12">
        <v>63.805366795287213</v>
      </c>
      <c r="M118" s="12">
        <v>29.788922193273887</v>
      </c>
      <c r="N118" s="12">
        <v>63.015448162524301</v>
      </c>
      <c r="O118" s="12">
        <v>70.529655796162046</v>
      </c>
      <c r="P118" s="12">
        <v>53.179423211681161</v>
      </c>
      <c r="Q118" s="12">
        <v>74.663588827107503</v>
      </c>
      <c r="R118" s="12">
        <v>37.563763799910006</v>
      </c>
      <c r="S118" s="12">
        <v>27.590838311021816</v>
      </c>
      <c r="T118" s="12">
        <v>67.994445807141517</v>
      </c>
      <c r="U118" s="12">
        <v>100</v>
      </c>
    </row>
    <row r="119" spans="1:21" x14ac:dyDescent="0.2">
      <c r="A119" s="12" t="s">
        <v>159</v>
      </c>
      <c r="B119" s="12" t="s">
        <v>160</v>
      </c>
      <c r="C119" s="11">
        <v>66.267354475181122</v>
      </c>
      <c r="D119" s="3">
        <v>77</v>
      </c>
      <c r="E119" s="12">
        <v>99.668136476845874</v>
      </c>
      <c r="F119" s="12">
        <v>50.674420585882046</v>
      </c>
      <c r="G119" s="12">
        <v>73.832325711718084</v>
      </c>
      <c r="H119" s="12">
        <v>65.498037396591187</v>
      </c>
      <c r="I119" s="12">
        <v>42.603961466449974</v>
      </c>
      <c r="J119" s="12">
        <v>75.717814985184972</v>
      </c>
      <c r="K119" s="12">
        <v>77.026811214412589</v>
      </c>
      <c r="L119" s="12">
        <v>49.666244824275282</v>
      </c>
      <c r="M119" s="12">
        <v>33.453700398266093</v>
      </c>
      <c r="N119" s="12">
        <v>61.590937335078046</v>
      </c>
      <c r="O119" s="12">
        <v>75.551141798326043</v>
      </c>
      <c r="P119" s="12">
        <v>71.264371731511005</v>
      </c>
      <c r="Q119" s="12">
        <v>88.344453047307468</v>
      </c>
      <c r="R119" s="12">
        <v>47.791932476616068</v>
      </c>
      <c r="S119" s="12">
        <v>72.768596814321427</v>
      </c>
      <c r="T119" s="12">
        <v>70.181993416206879</v>
      </c>
      <c r="U119" s="12">
        <v>70.910146399085946</v>
      </c>
    </row>
    <row r="120" spans="1:21" x14ac:dyDescent="0.2">
      <c r="A120" s="12" t="s">
        <v>317</v>
      </c>
      <c r="B120" s="12" t="s">
        <v>318</v>
      </c>
      <c r="C120" s="11">
        <v>50.656887032036309</v>
      </c>
      <c r="D120" s="3">
        <v>138</v>
      </c>
      <c r="E120" s="12">
        <v>24.349203402253778</v>
      </c>
      <c r="F120" s="12">
        <v>37.086695591651115</v>
      </c>
      <c r="G120" s="12">
        <v>35.345630585064939</v>
      </c>
      <c r="H120" s="12">
        <v>42.706182598982501</v>
      </c>
      <c r="I120" s="12">
        <v>58.50070429059646</v>
      </c>
      <c r="J120" s="12">
        <v>51.235906383599499</v>
      </c>
      <c r="K120" s="12">
        <v>35.995291812026501</v>
      </c>
      <c r="L120" s="12">
        <v>36.212664908231879</v>
      </c>
      <c r="M120" s="12">
        <v>12.652709608199769</v>
      </c>
      <c r="N120" s="12">
        <v>49.315012214711736</v>
      </c>
      <c r="O120" s="12">
        <v>63.585731416535026</v>
      </c>
      <c r="P120" s="12">
        <v>84.826061822807873</v>
      </c>
      <c r="Q120" s="12">
        <v>80.722926912833643</v>
      </c>
      <c r="R120" s="12">
        <v>65.153434702594879</v>
      </c>
      <c r="S120" s="12">
        <v>62.601080954676014</v>
      </c>
      <c r="T120" s="12">
        <v>50.554701715294286</v>
      </c>
      <c r="U120" s="12">
        <v>70.323140624557354</v>
      </c>
    </row>
    <row r="121" spans="1:21" x14ac:dyDescent="0.2">
      <c r="A121" s="12" t="s">
        <v>269</v>
      </c>
      <c r="B121" s="12" t="s">
        <v>270</v>
      </c>
      <c r="C121" s="11">
        <v>59.027894047278409</v>
      </c>
      <c r="D121" s="3">
        <v>113</v>
      </c>
      <c r="E121" s="12">
        <v>91.060751626887296</v>
      </c>
      <c r="F121" s="12">
        <v>51.957048279357856</v>
      </c>
      <c r="G121" s="12">
        <v>54.520200296213943</v>
      </c>
      <c r="H121" s="12">
        <v>64.283709259333676</v>
      </c>
      <c r="I121" s="12">
        <v>61.567985602833204</v>
      </c>
      <c r="J121" s="12">
        <v>76.699781004751998</v>
      </c>
      <c r="K121" s="12">
        <v>35.688016091154758</v>
      </c>
      <c r="L121" s="12">
        <v>62.265071880072945</v>
      </c>
      <c r="M121" s="12">
        <v>16.786790909471176</v>
      </c>
      <c r="N121" s="12">
        <v>60.717981876033996</v>
      </c>
      <c r="O121" s="12">
        <v>59.492946390738588</v>
      </c>
      <c r="P121" s="12">
        <v>77.610800235300502</v>
      </c>
      <c r="Q121" s="12">
        <v>82.760033987280408</v>
      </c>
      <c r="R121" s="12">
        <v>38.332214531290077</v>
      </c>
      <c r="S121" s="12">
        <v>50.124670760671577</v>
      </c>
      <c r="T121" s="12">
        <v>61.087607541226639</v>
      </c>
      <c r="U121" s="12">
        <v>58.518588531114354</v>
      </c>
    </row>
    <row r="122" spans="1:21" x14ac:dyDescent="0.2">
      <c r="A122" s="12" t="s">
        <v>237</v>
      </c>
      <c r="B122" s="12" t="s">
        <v>238</v>
      </c>
      <c r="C122" s="11">
        <v>58.928604004721244</v>
      </c>
      <c r="D122" s="3">
        <v>114</v>
      </c>
      <c r="E122" s="12">
        <v>71.146541901226712</v>
      </c>
      <c r="F122" s="12">
        <v>34.214784484907</v>
      </c>
      <c r="G122" s="12">
        <v>55.955979167126223</v>
      </c>
      <c r="H122" s="12">
        <v>69.143545783463139</v>
      </c>
      <c r="I122" s="12">
        <v>85.981078630931933</v>
      </c>
      <c r="J122" s="12">
        <v>72.208114806298468</v>
      </c>
      <c r="K122" s="12">
        <v>37.8828532475301</v>
      </c>
      <c r="L122" s="12">
        <v>51.483351034690244</v>
      </c>
      <c r="M122" s="12">
        <v>29.321420734168576</v>
      </c>
      <c r="N122" s="12">
        <v>0</v>
      </c>
      <c r="O122" s="12">
        <v>77.2256804871501</v>
      </c>
      <c r="P122" s="12">
        <v>69.716430363021999</v>
      </c>
      <c r="Q122" s="12">
        <v>65.536511636804775</v>
      </c>
      <c r="R122" s="12">
        <v>61.37257244101486</v>
      </c>
      <c r="S122" s="12">
        <v>68.380586976062688</v>
      </c>
      <c r="T122" s="12">
        <v>62.821508707868759</v>
      </c>
      <c r="U122" s="12">
        <v>89.395307677995547</v>
      </c>
    </row>
    <row r="123" spans="1:21" x14ac:dyDescent="0.2">
      <c r="A123" s="12" t="s">
        <v>383</v>
      </c>
      <c r="B123" s="12" t="s">
        <v>384</v>
      </c>
    </row>
    <row r="124" spans="1:21" x14ac:dyDescent="0.2">
      <c r="A124" s="12" t="s">
        <v>217</v>
      </c>
      <c r="B124" s="12" t="s">
        <v>218</v>
      </c>
      <c r="C124" s="11">
        <v>62.754398404335539</v>
      </c>
      <c r="D124" s="3">
        <v>102</v>
      </c>
      <c r="E124" s="12">
        <v>95.745711267849003</v>
      </c>
      <c r="F124" s="12">
        <v>48.003378230852441</v>
      </c>
      <c r="G124" s="12">
        <v>58.660706318906193</v>
      </c>
      <c r="H124" s="12">
        <v>58.957244396028933</v>
      </c>
      <c r="I124" s="12">
        <v>64.377913589401899</v>
      </c>
      <c r="J124" s="12">
        <v>78.370631627043124</v>
      </c>
      <c r="K124" s="12">
        <v>53.26342681925815</v>
      </c>
      <c r="L124" s="12">
        <v>59.423323296943408</v>
      </c>
      <c r="M124" s="12">
        <v>14.00558425792514</v>
      </c>
      <c r="N124" s="12">
        <v>83.303642027678265</v>
      </c>
      <c r="O124" s="12">
        <v>46.834927631780396</v>
      </c>
      <c r="P124" s="12">
        <v>84.478261376646444</v>
      </c>
      <c r="Q124" s="12">
        <v>92.419002702702215</v>
      </c>
      <c r="R124" s="12">
        <v>45.165834529827535</v>
      </c>
      <c r="S124" s="12">
        <v>67.139192937789105</v>
      </c>
      <c r="T124" s="12">
        <v>53.485605242716041</v>
      </c>
      <c r="U124" s="12">
        <v>63.190386620356172</v>
      </c>
    </row>
    <row r="125" spans="1:21" x14ac:dyDescent="0.2">
      <c r="A125" s="12" t="s">
        <v>59</v>
      </c>
      <c r="B125" s="12" t="s">
        <v>60</v>
      </c>
      <c r="C125" s="11">
        <v>79.468557314724791</v>
      </c>
      <c r="D125" s="3">
        <v>11</v>
      </c>
      <c r="E125" s="12">
        <v>99.758859737304022</v>
      </c>
      <c r="F125" s="12">
        <v>75.72132279557259</v>
      </c>
      <c r="G125" s="12">
        <v>95.42293632533584</v>
      </c>
      <c r="H125" s="12">
        <v>90.935798034372183</v>
      </c>
      <c r="I125" s="12">
        <v>82.516912921684167</v>
      </c>
      <c r="J125" s="12">
        <v>90.930326046879443</v>
      </c>
      <c r="K125" s="12">
        <v>85.009280793230516</v>
      </c>
      <c r="L125" s="12">
        <v>87.732757782624532</v>
      </c>
      <c r="M125" s="12">
        <v>83.783976136710677</v>
      </c>
      <c r="N125" s="12">
        <v>94.702835925735769</v>
      </c>
      <c r="O125" s="12">
        <v>88.655733121871933</v>
      </c>
      <c r="P125" s="12">
        <v>52.050132886869797</v>
      </c>
      <c r="Q125" s="12">
        <v>71.325605151303876</v>
      </c>
      <c r="R125" s="12">
        <v>39.775303917221969</v>
      </c>
      <c r="S125" s="12">
        <v>79.423194092848604</v>
      </c>
      <c r="T125" s="12">
        <v>84.191447867663257</v>
      </c>
      <c r="U125" s="12">
        <v>49.029050813092198</v>
      </c>
    </row>
    <row r="126" spans="1:21" x14ac:dyDescent="0.2">
      <c r="A126" s="12" t="s">
        <v>73</v>
      </c>
      <c r="B126" s="12" t="s">
        <v>74</v>
      </c>
      <c r="C126" s="11">
        <v>77.860314892261044</v>
      </c>
      <c r="D126" s="3">
        <v>17</v>
      </c>
      <c r="E126" s="12">
        <v>99.977857786217953</v>
      </c>
      <c r="F126" s="12">
        <v>69.588933011604823</v>
      </c>
      <c r="G126" s="12">
        <v>93.12037250844071</v>
      </c>
      <c r="H126" s="12">
        <v>94.916001152682213</v>
      </c>
      <c r="I126" s="12">
        <v>83.786773168018073</v>
      </c>
      <c r="J126" s="12">
        <v>88.88232344447718</v>
      </c>
      <c r="K126" s="12">
        <v>92.7260166772665</v>
      </c>
      <c r="L126" s="12">
        <v>88.790857903136228</v>
      </c>
      <c r="M126" s="12">
        <v>68.902798095283515</v>
      </c>
      <c r="N126" s="12">
        <v>75.50799371992241</v>
      </c>
      <c r="O126" s="12">
        <v>80.735930735930737</v>
      </c>
      <c r="P126" s="12">
        <v>54.777014248410957</v>
      </c>
      <c r="Q126" s="12">
        <v>87.616456600462044</v>
      </c>
      <c r="R126" s="12">
        <v>56.70605741374289</v>
      </c>
      <c r="S126" s="12">
        <v>34.247781558819298</v>
      </c>
      <c r="T126" s="12">
        <v>88.373532904349403</v>
      </c>
      <c r="U126" s="12">
        <v>64.968652239672977</v>
      </c>
    </row>
    <row r="127" spans="1:21" x14ac:dyDescent="0.2">
      <c r="A127" s="12" t="s">
        <v>227</v>
      </c>
      <c r="B127" s="12" t="s">
        <v>228</v>
      </c>
      <c r="C127" s="11">
        <v>66.380687746457397</v>
      </c>
      <c r="D127" s="3">
        <v>76</v>
      </c>
      <c r="E127" s="12">
        <v>97.325045962602971</v>
      </c>
      <c r="F127" s="12">
        <v>44.178923560168748</v>
      </c>
      <c r="G127" s="12">
        <v>77.18170472866619</v>
      </c>
      <c r="H127" s="12">
        <v>69.286085427284192</v>
      </c>
      <c r="I127" s="12">
        <v>82.940558097853</v>
      </c>
      <c r="J127" s="12">
        <v>87.906023292391822</v>
      </c>
      <c r="K127" s="12">
        <v>64.446330607620396</v>
      </c>
      <c r="L127" s="12">
        <v>64.589258872613527</v>
      </c>
      <c r="M127" s="12">
        <v>16.279062891835004</v>
      </c>
      <c r="N127" s="12">
        <v>46.526641276674241</v>
      </c>
      <c r="O127" s="12">
        <v>84.971206818604188</v>
      </c>
      <c r="P127" s="12">
        <v>77.757117036017434</v>
      </c>
      <c r="Q127" s="12">
        <v>91.043252757861481</v>
      </c>
      <c r="R127" s="12">
        <v>44.97641479471676</v>
      </c>
      <c r="S127" s="12">
        <v>62.362873486342536</v>
      </c>
      <c r="T127" s="12">
        <v>53.643866761281465</v>
      </c>
      <c r="U127" s="12">
        <v>63.057325317241727</v>
      </c>
    </row>
    <row r="128" spans="1:21" x14ac:dyDescent="0.2">
      <c r="A128" s="12" t="s">
        <v>341</v>
      </c>
      <c r="B128" s="12" t="s">
        <v>342</v>
      </c>
      <c r="C128" s="11">
        <v>48.512828674444457</v>
      </c>
      <c r="D128" s="3">
        <v>148</v>
      </c>
      <c r="E128" s="12">
        <v>50.527340035808734</v>
      </c>
      <c r="F128" s="12">
        <v>32.707994967682964</v>
      </c>
      <c r="G128" s="12">
        <v>40.649474603310871</v>
      </c>
      <c r="H128" s="12">
        <v>7.2224395411148068</v>
      </c>
      <c r="I128" s="12">
        <v>36.825287837398626</v>
      </c>
      <c r="J128" s="12">
        <v>66.18295471225575</v>
      </c>
      <c r="K128" s="12">
        <v>2.2799516072304464</v>
      </c>
      <c r="L128" s="12">
        <v>51.974218955679156</v>
      </c>
      <c r="M128" s="12">
        <v>6.1794245226149016</v>
      </c>
      <c r="N128" s="12">
        <v>81.88291872076671</v>
      </c>
      <c r="O128" s="12">
        <v>55.421153478861875</v>
      </c>
      <c r="P128" s="12">
        <v>78.389778247803633</v>
      </c>
      <c r="Q128" s="12">
        <v>74.409775274713667</v>
      </c>
      <c r="R128" s="12">
        <v>48.160238987946016</v>
      </c>
      <c r="S128" s="12">
        <v>53.453482991860803</v>
      </c>
      <c r="T128" s="12">
        <v>64.668186294303766</v>
      </c>
      <c r="U128" s="12">
        <v>73.783466686202956</v>
      </c>
    </row>
    <row r="129" spans="1:21" x14ac:dyDescent="0.2">
      <c r="A129" s="12" t="s">
        <v>311</v>
      </c>
      <c r="B129" s="12" t="s">
        <v>312</v>
      </c>
      <c r="C129" s="11">
        <v>47.477307283423301</v>
      </c>
      <c r="D129" s="3">
        <v>150</v>
      </c>
      <c r="E129" s="12">
        <v>37.806310985678827</v>
      </c>
      <c r="F129" s="12">
        <v>47.680642069749318</v>
      </c>
      <c r="G129" s="12">
        <v>34.644898561567977</v>
      </c>
      <c r="H129" s="12">
        <v>31.512858151990375</v>
      </c>
      <c r="I129" s="12">
        <v>43.707523938400008</v>
      </c>
      <c r="J129" s="12">
        <v>73.989092949334875</v>
      </c>
      <c r="K129" s="12">
        <v>29.592259294835035</v>
      </c>
      <c r="L129" s="12">
        <v>60.580275945652573</v>
      </c>
      <c r="M129" s="12">
        <v>15.418810776573634</v>
      </c>
      <c r="N129" s="12">
        <v>9.1556380535194624</v>
      </c>
      <c r="O129" s="12">
        <v>43.454601510097454</v>
      </c>
      <c r="P129" s="12">
        <v>76.252339214137706</v>
      </c>
      <c r="Q129" s="12">
        <v>91.30007860499407</v>
      </c>
      <c r="R129" s="12">
        <v>39.367132928806903</v>
      </c>
      <c r="S129" s="12">
        <v>74.279603066872184</v>
      </c>
      <c r="T129" s="12">
        <v>48.372157765985769</v>
      </c>
      <c r="U129" s="12">
        <v>50</v>
      </c>
    </row>
    <row r="130" spans="1:21" x14ac:dyDescent="0.2">
      <c r="A130" s="12" t="s">
        <v>33</v>
      </c>
      <c r="B130" s="12" t="s">
        <v>34</v>
      </c>
      <c r="C130" s="11">
        <v>81.171534828899325</v>
      </c>
      <c r="D130" s="3">
        <v>6</v>
      </c>
      <c r="E130" s="12">
        <v>99.619649185620901</v>
      </c>
      <c r="F130" s="12">
        <v>65.55560404270021</v>
      </c>
      <c r="G130" s="12">
        <v>97.046049884404155</v>
      </c>
      <c r="H130" s="12">
        <v>97.284290407511534</v>
      </c>
      <c r="I130" s="12">
        <v>89.358631017444694</v>
      </c>
      <c r="J130" s="12">
        <v>84.734894134822383</v>
      </c>
      <c r="K130" s="12">
        <v>97.415649819671046</v>
      </c>
      <c r="L130" s="12">
        <v>85.221190857768875</v>
      </c>
      <c r="M130" s="12">
        <v>80.383577343489989</v>
      </c>
      <c r="N130" s="12">
        <v>100</v>
      </c>
      <c r="O130" s="12">
        <v>87.706040651657304</v>
      </c>
      <c r="P130" s="12">
        <v>36.104412390736918</v>
      </c>
      <c r="Q130" s="12">
        <v>62.172785648520225</v>
      </c>
      <c r="R130" s="12">
        <v>65.209374276262096</v>
      </c>
      <c r="S130" s="12">
        <v>58.55338467819854</v>
      </c>
      <c r="T130" s="12">
        <v>83.872122220082147</v>
      </c>
      <c r="U130" s="12">
        <v>89.678435532397501</v>
      </c>
    </row>
    <row r="131" spans="1:21" x14ac:dyDescent="0.2">
      <c r="A131" s="12" t="s">
        <v>199</v>
      </c>
      <c r="B131" s="12" t="s">
        <v>200</v>
      </c>
      <c r="C131" s="11">
        <v>63.905625553891525</v>
      </c>
      <c r="D131" s="3">
        <v>94</v>
      </c>
      <c r="E131" s="12">
        <v>99.819626464638063</v>
      </c>
      <c r="F131" s="12">
        <v>52.058350970483978</v>
      </c>
      <c r="G131" s="12">
        <v>85.594148662165622</v>
      </c>
      <c r="H131" s="12">
        <v>79.852071794453408</v>
      </c>
      <c r="I131" s="12">
        <v>36.917622347624139</v>
      </c>
      <c r="J131" s="12">
        <v>29.0485836219578</v>
      </c>
      <c r="K131" s="12">
        <v>79.077437119656636</v>
      </c>
      <c r="L131" s="12">
        <v>63.450144573608618</v>
      </c>
      <c r="M131" s="12">
        <v>47.200049466804593</v>
      </c>
      <c r="N131" s="12">
        <v>62.484379277144349</v>
      </c>
      <c r="O131" s="12">
        <v>72.583533372410088</v>
      </c>
      <c r="P131" s="12">
        <v>61.283661011674312</v>
      </c>
      <c r="Q131" s="12">
        <v>75.180593996267149</v>
      </c>
      <c r="R131" s="12">
        <v>63.415889327340352</v>
      </c>
      <c r="S131" s="12">
        <v>38.334732917290026</v>
      </c>
      <c r="T131" s="12">
        <v>81.739616923710244</v>
      </c>
      <c r="U131" s="12">
        <v>58.355192568926483</v>
      </c>
    </row>
    <row r="132" spans="1:21" x14ac:dyDescent="0.2">
      <c r="A132" s="12" t="s">
        <v>275</v>
      </c>
      <c r="B132" s="12" t="s">
        <v>276</v>
      </c>
      <c r="C132" s="11">
        <v>54.885088927922695</v>
      </c>
      <c r="D132" s="3">
        <v>126</v>
      </c>
      <c r="E132" s="12">
        <v>98.069478031920255</v>
      </c>
      <c r="F132" s="12">
        <v>37.550011847703423</v>
      </c>
      <c r="G132" s="12">
        <v>50.662979078487432</v>
      </c>
      <c r="H132" s="12">
        <v>42.527715190943347</v>
      </c>
      <c r="I132" s="12">
        <v>34.359476927716436</v>
      </c>
      <c r="J132" s="12">
        <v>50.237669403361991</v>
      </c>
      <c r="K132" s="12">
        <v>66.343197063417122</v>
      </c>
      <c r="L132" s="12">
        <v>40.410737487991511</v>
      </c>
      <c r="M132" s="12">
        <v>21.98547992145868</v>
      </c>
      <c r="N132" s="12">
        <v>58.079628663760573</v>
      </c>
      <c r="O132" s="12">
        <v>48.259704989404192</v>
      </c>
      <c r="P132" s="12">
        <v>79.196352693787176</v>
      </c>
      <c r="Q132" s="12">
        <v>91.078050307271212</v>
      </c>
      <c r="R132" s="12">
        <v>51.015653808366153</v>
      </c>
      <c r="S132" s="12">
        <v>66.885379421331848</v>
      </c>
      <c r="T132" s="12">
        <v>54.168747155885491</v>
      </c>
      <c r="U132" s="12">
        <v>42.21624978187873</v>
      </c>
    </row>
    <row r="133" spans="1:21" x14ac:dyDescent="0.2">
      <c r="A133" s="12" t="s">
        <v>385</v>
      </c>
      <c r="B133" s="12" t="s">
        <v>386</v>
      </c>
    </row>
    <row r="134" spans="1:21" x14ac:dyDescent="0.2">
      <c r="A134" s="12" t="s">
        <v>213</v>
      </c>
      <c r="B134" s="12" t="s">
        <v>214</v>
      </c>
      <c r="C134" s="11">
        <v>64.889408260247478</v>
      </c>
      <c r="D134" s="3">
        <v>86</v>
      </c>
      <c r="E134" s="12">
        <v>99.578862910547457</v>
      </c>
      <c r="F134" s="12">
        <v>50.233166141344789</v>
      </c>
      <c r="G134" s="12">
        <v>78.386303992914122</v>
      </c>
      <c r="H134" s="12">
        <v>79.115168916309955</v>
      </c>
      <c r="I134" s="12">
        <v>66.391558283891655</v>
      </c>
      <c r="J134" s="12">
        <v>86.45315846229596</v>
      </c>
      <c r="K134" s="12">
        <v>81.349728985182239</v>
      </c>
      <c r="L134" s="12">
        <v>71.337671296861402</v>
      </c>
      <c r="M134" s="12">
        <v>34.200455954335197</v>
      </c>
      <c r="N134" s="12">
        <v>25.457915851572931</v>
      </c>
      <c r="O134" s="12">
        <v>86.286045248524644</v>
      </c>
      <c r="P134" s="12">
        <v>70.60914689718858</v>
      </c>
      <c r="Q134" s="12">
        <v>87.538541678253836</v>
      </c>
      <c r="R134" s="12">
        <v>50.317921801205017</v>
      </c>
      <c r="S134" s="12">
        <v>50.682070096134922</v>
      </c>
      <c r="T134" s="12">
        <v>57.306303847269838</v>
      </c>
      <c r="U134" s="12">
        <v>27.875920060374895</v>
      </c>
    </row>
    <row r="135" spans="1:21" x14ac:dyDescent="0.2">
      <c r="A135" s="12" t="s">
        <v>315</v>
      </c>
      <c r="B135" s="12" t="s">
        <v>316</v>
      </c>
    </row>
    <row r="136" spans="1:21" x14ac:dyDescent="0.2">
      <c r="A136" s="12" t="s">
        <v>195</v>
      </c>
      <c r="B136" s="12" t="s">
        <v>196</v>
      </c>
      <c r="C136" s="11">
        <v>67.206727259855754</v>
      </c>
      <c r="D136" s="3">
        <v>72</v>
      </c>
      <c r="E136" s="12">
        <v>99.282435315565522</v>
      </c>
      <c r="F136" s="12">
        <v>66.047503978768987</v>
      </c>
      <c r="G136" s="12">
        <v>74.288507234215032</v>
      </c>
      <c r="H136" s="12">
        <v>75.001592091705319</v>
      </c>
      <c r="I136" s="12">
        <v>67.998086773284371</v>
      </c>
      <c r="J136" s="12">
        <v>96.698420900300462</v>
      </c>
      <c r="K136" s="12">
        <v>86.297616744030464</v>
      </c>
      <c r="L136" s="12">
        <v>68.448588488411147</v>
      </c>
      <c r="M136" s="12">
        <v>20.711825838396642</v>
      </c>
      <c r="N136" s="12">
        <v>42.512978052485828</v>
      </c>
      <c r="O136" s="12">
        <v>76.470237236573425</v>
      </c>
      <c r="P136" s="12">
        <v>71.286493232620074</v>
      </c>
      <c r="Q136" s="12">
        <v>87.593253880090245</v>
      </c>
      <c r="R136" s="12">
        <v>48.491790164654567</v>
      </c>
      <c r="S136" s="12">
        <v>44.413003502153252</v>
      </c>
      <c r="T136" s="12">
        <v>49.091603075629351</v>
      </c>
      <c r="U136" s="12">
        <v>67.88042690866321</v>
      </c>
    </row>
    <row r="137" spans="1:21" x14ac:dyDescent="0.2">
      <c r="A137" s="12" t="s">
        <v>149</v>
      </c>
      <c r="B137" s="12" t="s">
        <v>150</v>
      </c>
      <c r="C137" s="11">
        <v>68.448266302163802</v>
      </c>
      <c r="D137" s="3">
        <v>64</v>
      </c>
      <c r="E137" s="12">
        <v>97.423019795465081</v>
      </c>
      <c r="F137" s="12">
        <v>60.499314061154088</v>
      </c>
      <c r="G137" s="12">
        <v>79.988377441742756</v>
      </c>
      <c r="H137" s="12">
        <v>82.853316928079451</v>
      </c>
      <c r="I137" s="12">
        <v>74.592799778308546</v>
      </c>
      <c r="J137" s="12">
        <v>96.327923402197229</v>
      </c>
      <c r="K137" s="12">
        <v>75.826742577638598</v>
      </c>
      <c r="L137" s="12">
        <v>61.412100601691712</v>
      </c>
      <c r="M137" s="12">
        <v>28.521451301879246</v>
      </c>
      <c r="N137" s="12">
        <v>41.941549538643883</v>
      </c>
      <c r="O137" s="12">
        <v>72.85917538622509</v>
      </c>
      <c r="P137" s="12">
        <v>73.237151144852845</v>
      </c>
      <c r="Q137" s="12">
        <v>87.360033564989592</v>
      </c>
      <c r="R137" s="12">
        <v>63.839346275605472</v>
      </c>
      <c r="S137" s="12">
        <v>58.588920693783237</v>
      </c>
      <c r="T137" s="12">
        <v>52.191790893366623</v>
      </c>
      <c r="U137" s="12">
        <v>56.157513751161154</v>
      </c>
    </row>
    <row r="138" spans="1:21" x14ac:dyDescent="0.2">
      <c r="A138" s="12" t="s">
        <v>215</v>
      </c>
      <c r="B138" s="12" t="s">
        <v>216</v>
      </c>
      <c r="C138" s="11">
        <v>65.030548714276875</v>
      </c>
      <c r="D138" s="3">
        <v>85</v>
      </c>
      <c r="E138" s="12">
        <v>95.971672710134641</v>
      </c>
      <c r="F138" s="12">
        <v>51.645976960165747</v>
      </c>
      <c r="G138" s="12">
        <v>59.232712887713753</v>
      </c>
      <c r="H138" s="12">
        <v>83.703824636936019</v>
      </c>
      <c r="I138" s="12">
        <v>71.791283948683628</v>
      </c>
      <c r="J138" s="12">
        <v>83.902769542419151</v>
      </c>
      <c r="K138" s="12">
        <v>64.016273594842957</v>
      </c>
      <c r="L138" s="12">
        <v>68.923969594386747</v>
      </c>
      <c r="M138" s="12">
        <v>26.912788787774467</v>
      </c>
      <c r="N138" s="12">
        <v>35.40008167271553</v>
      </c>
      <c r="O138" s="12">
        <v>71.461412827543469</v>
      </c>
      <c r="P138" s="12">
        <v>82.171600466381989</v>
      </c>
      <c r="Q138" s="12">
        <v>91.467131040861062</v>
      </c>
      <c r="R138" s="12">
        <v>54.380485762850071</v>
      </c>
      <c r="S138" s="12">
        <v>51.763753533620594</v>
      </c>
      <c r="T138" s="12">
        <v>61.224141558866982</v>
      </c>
      <c r="U138" s="12">
        <v>51.549448616810103</v>
      </c>
    </row>
    <row r="139" spans="1:21" x14ac:dyDescent="0.2">
      <c r="A139" s="12" t="s">
        <v>37</v>
      </c>
      <c r="B139" s="12" t="s">
        <v>38</v>
      </c>
      <c r="C139" s="11">
        <v>73.673036526868898</v>
      </c>
      <c r="D139" s="3">
        <v>32</v>
      </c>
      <c r="E139" s="12">
        <v>99.952912253097253</v>
      </c>
      <c r="F139" s="12">
        <v>66.375965743763857</v>
      </c>
      <c r="G139" s="12">
        <v>87.666696820852849</v>
      </c>
      <c r="H139" s="12">
        <v>88.396596254357377</v>
      </c>
      <c r="I139" s="12">
        <v>76.832731420878318</v>
      </c>
      <c r="J139" s="12">
        <v>83.142324366067072</v>
      </c>
      <c r="K139" s="12">
        <v>81.778229066755173</v>
      </c>
      <c r="L139" s="12">
        <v>80.101314793060908</v>
      </c>
      <c r="M139" s="12">
        <v>49.772016083548905</v>
      </c>
      <c r="N139" s="12">
        <v>53.82864494558072</v>
      </c>
      <c r="O139" s="12">
        <v>77.203885452727249</v>
      </c>
      <c r="P139" s="12">
        <v>71.48595679297776</v>
      </c>
      <c r="Q139" s="12">
        <v>87.541364159668973</v>
      </c>
      <c r="R139" s="12">
        <v>45.174869207243091</v>
      </c>
      <c r="S139" s="12">
        <v>83.795937379425339</v>
      </c>
      <c r="T139" s="12">
        <v>70.758477214334107</v>
      </c>
      <c r="U139" s="12">
        <v>48.633699002432088</v>
      </c>
    </row>
    <row r="140" spans="1:21" x14ac:dyDescent="0.2">
      <c r="A140" s="12" t="s">
        <v>55</v>
      </c>
      <c r="B140" s="12" t="s">
        <v>56</v>
      </c>
      <c r="C140" s="11">
        <v>74.025398876796118</v>
      </c>
      <c r="D140" s="3">
        <v>31</v>
      </c>
      <c r="E140" s="12">
        <v>98.943941329989087</v>
      </c>
      <c r="F140" s="12">
        <v>62.951562709996388</v>
      </c>
      <c r="G140" s="12">
        <v>90.927615479892992</v>
      </c>
      <c r="H140" s="12">
        <v>83.701902596785615</v>
      </c>
      <c r="I140" s="12">
        <v>84.281696904645003</v>
      </c>
      <c r="J140" s="12">
        <v>82.326503639164201</v>
      </c>
      <c r="K140" s="12">
        <v>90.411981468795702</v>
      </c>
      <c r="L140" s="12">
        <v>81.72294149954844</v>
      </c>
      <c r="M140" s="12">
        <v>57.472451512395402</v>
      </c>
      <c r="N140" s="12">
        <v>57.464110387596712</v>
      </c>
      <c r="O140" s="12">
        <v>83.635507422638497</v>
      </c>
      <c r="P140" s="12">
        <v>55.827631528596953</v>
      </c>
      <c r="Q140" s="12">
        <v>89.456080607538055</v>
      </c>
      <c r="R140" s="12">
        <v>54.395289945949322</v>
      </c>
      <c r="S140" s="12">
        <v>52.691536839399113</v>
      </c>
      <c r="T140" s="12">
        <v>74.872328985549728</v>
      </c>
      <c r="U140" s="12">
        <v>57.348698047052757</v>
      </c>
    </row>
    <row r="141" spans="1:21" x14ac:dyDescent="0.2">
      <c r="A141" s="12" t="s">
        <v>219</v>
      </c>
      <c r="B141" s="12" t="s">
        <v>220</v>
      </c>
      <c r="C141" s="11">
        <v>60.846226272842117</v>
      </c>
      <c r="D141" s="3">
        <v>106</v>
      </c>
      <c r="E141" s="12">
        <v>99.996709366985598</v>
      </c>
      <c r="F141" s="12">
        <v>58.676809840343843</v>
      </c>
      <c r="G141" s="12">
        <v>89.101263131742598</v>
      </c>
      <c r="H141" s="12">
        <v>84.07376816163854</v>
      </c>
      <c r="I141" s="12">
        <v>54.729869806686928</v>
      </c>
      <c r="J141" s="12">
        <v>28.852148084277786</v>
      </c>
      <c r="K141" s="12">
        <v>79.462079838909929</v>
      </c>
      <c r="L141" s="12">
        <v>57.080890430738336</v>
      </c>
      <c r="M141" s="12">
        <v>59.888695604547145</v>
      </c>
      <c r="N141" s="12">
        <v>62.484379277144349</v>
      </c>
      <c r="O141" s="12">
        <v>35.714285714285715</v>
      </c>
      <c r="P141" s="12">
        <v>56.722791040766687</v>
      </c>
      <c r="Q141" s="12">
        <v>43.648648648648646</v>
      </c>
      <c r="R141" s="12">
        <v>36.914550384684986</v>
      </c>
      <c r="S141" s="12">
        <v>44.515091675389606</v>
      </c>
      <c r="T141" s="12">
        <v>90.350153997668812</v>
      </c>
      <c r="U141" s="12">
        <v>52.173711633856676</v>
      </c>
    </row>
    <row r="142" spans="1:21" x14ac:dyDescent="0.2">
      <c r="A142" s="12" t="s">
        <v>89</v>
      </c>
      <c r="B142" s="12" t="s">
        <v>90</v>
      </c>
      <c r="C142" s="11">
        <v>71.218438372269588</v>
      </c>
      <c r="D142" s="3">
        <v>44</v>
      </c>
      <c r="E142" s="12">
        <v>95.245527188259217</v>
      </c>
      <c r="F142" s="12">
        <v>61.049696158264567</v>
      </c>
      <c r="G142" s="12">
        <v>81.30715361661855</v>
      </c>
      <c r="H142" s="12">
        <v>82.225393122078017</v>
      </c>
      <c r="I142" s="12">
        <v>69.043901136991849</v>
      </c>
      <c r="J142" s="12">
        <v>93.660617428168564</v>
      </c>
      <c r="K142" s="12">
        <v>82.795989744217607</v>
      </c>
      <c r="L142" s="12">
        <v>73.12124238352223</v>
      </c>
      <c r="M142" s="12">
        <v>38.44524570281115</v>
      </c>
      <c r="N142" s="12">
        <v>30.07614629476944</v>
      </c>
      <c r="O142" s="12">
        <v>83.638573549563446</v>
      </c>
      <c r="P142" s="12">
        <v>66.474770375196584</v>
      </c>
      <c r="Q142" s="12">
        <v>92.896969573838859</v>
      </c>
      <c r="R142" s="12">
        <v>56.278866973336179</v>
      </c>
      <c r="S142" s="12">
        <v>80.583069440996681</v>
      </c>
      <c r="T142" s="12">
        <v>65.197173264060439</v>
      </c>
      <c r="U142" s="12">
        <v>58.673116375889471</v>
      </c>
    </row>
    <row r="143" spans="1:21" x14ac:dyDescent="0.2">
      <c r="A143" s="12" t="s">
        <v>117</v>
      </c>
      <c r="B143" s="12" t="s">
        <v>118</v>
      </c>
      <c r="C143" s="11">
        <v>68.902543205584479</v>
      </c>
      <c r="D143" s="3">
        <v>63</v>
      </c>
      <c r="E143" s="12">
        <v>99.996679140912704</v>
      </c>
      <c r="F143" s="12">
        <v>48.778337571565089</v>
      </c>
      <c r="G143" s="12">
        <v>77.171139459291751</v>
      </c>
      <c r="H143" s="12">
        <v>93.838094373122445</v>
      </c>
      <c r="I143" s="12">
        <v>71.640747746013389</v>
      </c>
      <c r="J143" s="12">
        <v>92.83322062480029</v>
      </c>
      <c r="K143" s="12">
        <v>85.395858734300873</v>
      </c>
      <c r="L143" s="12">
        <v>65.350630491584383</v>
      </c>
      <c r="M143" s="12">
        <v>45.874366783675733</v>
      </c>
      <c r="N143" s="12">
        <v>54.119670969105236</v>
      </c>
      <c r="O143" s="12">
        <v>83.795335240868908</v>
      </c>
      <c r="P143" s="12">
        <v>70.510578916748628</v>
      </c>
      <c r="Q143" s="12">
        <v>80.117111633924779</v>
      </c>
      <c r="R143" s="12">
        <v>51.792475484203315</v>
      </c>
      <c r="S143" s="12">
        <v>59.547928276521155</v>
      </c>
      <c r="T143" s="12">
        <v>36.395855934646697</v>
      </c>
      <c r="U143" s="12">
        <v>54.185203113650573</v>
      </c>
    </row>
    <row r="144" spans="1:21" x14ac:dyDescent="0.2">
      <c r="A144" s="12" t="s">
        <v>271</v>
      </c>
      <c r="B144" s="12" t="s">
        <v>272</v>
      </c>
      <c r="C144" s="11">
        <v>56.090522650229964</v>
      </c>
      <c r="D144" s="3">
        <v>120</v>
      </c>
      <c r="E144" s="12">
        <v>56.514203846439401</v>
      </c>
      <c r="F144" s="12">
        <v>37.473018078210735</v>
      </c>
      <c r="G144" s="12">
        <v>61.247801862554766</v>
      </c>
      <c r="H144" s="12">
        <v>57.404934219246428</v>
      </c>
      <c r="I144" s="12">
        <v>81.997384809877872</v>
      </c>
      <c r="J144" s="12">
        <v>70.255307260382281</v>
      </c>
      <c r="K144" s="12">
        <v>5.8658595120650743</v>
      </c>
      <c r="L144" s="12">
        <v>64.034546380511841</v>
      </c>
      <c r="M144" s="12">
        <v>20.491743689785004</v>
      </c>
      <c r="N144" s="12">
        <v>27.416979355460079</v>
      </c>
      <c r="O144" s="12">
        <v>60.115390990505951</v>
      </c>
      <c r="P144" s="12">
        <v>82.199935821555869</v>
      </c>
      <c r="Q144" s="12">
        <v>85.993967423705413</v>
      </c>
      <c r="R144" s="12">
        <v>48.160238987946016</v>
      </c>
      <c r="S144" s="12">
        <v>63.893345634604749</v>
      </c>
      <c r="T144" s="12">
        <v>65.420876364620824</v>
      </c>
      <c r="U144" s="12">
        <v>65.053350816437003</v>
      </c>
    </row>
    <row r="145" spans="1:21" x14ac:dyDescent="0.2">
      <c r="A145" s="12" t="s">
        <v>405</v>
      </c>
      <c r="B145" s="12" t="s">
        <v>406</v>
      </c>
    </row>
    <row r="146" spans="1:21" x14ac:dyDescent="0.2">
      <c r="A146" s="12" t="s">
        <v>391</v>
      </c>
      <c r="B146" s="12" t="s">
        <v>392</v>
      </c>
    </row>
    <row r="147" spans="1:21" x14ac:dyDescent="0.2">
      <c r="A147" s="12" t="s">
        <v>257</v>
      </c>
      <c r="B147" s="12" t="s">
        <v>258</v>
      </c>
    </row>
    <row r="148" spans="1:21" x14ac:dyDescent="0.2">
      <c r="A148" s="12" t="s">
        <v>207</v>
      </c>
      <c r="B148" s="12" t="s">
        <v>208</v>
      </c>
      <c r="C148" s="11">
        <v>62.919062805631057</v>
      </c>
      <c r="D148" s="3">
        <v>98</v>
      </c>
      <c r="E148" s="12">
        <v>99.929573397432307</v>
      </c>
      <c r="F148" s="12">
        <v>46.410120211962273</v>
      </c>
      <c r="G148" s="12">
        <v>82.843906266466675</v>
      </c>
      <c r="H148" s="12">
        <v>86.50521442920116</v>
      </c>
      <c r="I148" s="12">
        <v>43.600866912051963</v>
      </c>
      <c r="J148" s="12">
        <v>39.439293064445742</v>
      </c>
      <c r="K148" s="12">
        <v>83.252081978790955</v>
      </c>
      <c r="L148" s="12">
        <v>74.968948122386422</v>
      </c>
      <c r="M148" s="12">
        <v>50.266791281962149</v>
      </c>
      <c r="N148" s="12">
        <v>62.484379277144349</v>
      </c>
      <c r="O148" s="12">
        <v>40.584415584415588</v>
      </c>
      <c r="P148" s="12">
        <v>55.418901751007596</v>
      </c>
      <c r="Q148" s="12">
        <v>58.170870134746394</v>
      </c>
      <c r="R148" s="12">
        <v>53.369796366326618</v>
      </c>
      <c r="S148" s="12">
        <v>55.056298060775909</v>
      </c>
      <c r="T148" s="12">
        <v>78.0540014748874</v>
      </c>
      <c r="U148" s="12">
        <v>59.268609381724382</v>
      </c>
    </row>
    <row r="149" spans="1:21" x14ac:dyDescent="0.2">
      <c r="A149" s="12" t="s">
        <v>261</v>
      </c>
      <c r="B149" s="12" t="s">
        <v>262</v>
      </c>
      <c r="C149" s="11">
        <v>57.172012651413375</v>
      </c>
      <c r="D149" s="3">
        <v>118</v>
      </c>
      <c r="E149" s="12">
        <v>68.215120041323502</v>
      </c>
      <c r="F149" s="12">
        <v>51.973188352210663</v>
      </c>
      <c r="G149" s="12">
        <v>57.096412764644633</v>
      </c>
      <c r="H149" s="12">
        <v>21.293586608079959</v>
      </c>
      <c r="I149" s="12">
        <v>51.357402114834009</v>
      </c>
      <c r="J149" s="12">
        <v>81.934020734442527</v>
      </c>
      <c r="K149" s="12">
        <v>45.725205562900641</v>
      </c>
      <c r="L149" s="12">
        <v>55.963591226326855</v>
      </c>
      <c r="M149" s="12">
        <v>15.16574511412569</v>
      </c>
      <c r="N149" s="12">
        <v>52.634904133152361</v>
      </c>
      <c r="O149" s="12">
        <v>60.005809308766068</v>
      </c>
      <c r="P149" s="12">
        <v>81.716971512141342</v>
      </c>
      <c r="Q149" s="12">
        <v>86.179182646690776</v>
      </c>
      <c r="R149" s="12">
        <v>41.691172841875634</v>
      </c>
      <c r="S149" s="12">
        <v>71.066625513562968</v>
      </c>
      <c r="T149" s="12">
        <v>59.752109498584979</v>
      </c>
      <c r="U149" s="12">
        <v>70.153167100364996</v>
      </c>
    </row>
    <row r="150" spans="1:21" x14ac:dyDescent="0.2">
      <c r="A150" s="12" t="s">
        <v>91</v>
      </c>
      <c r="B150" s="12" t="s">
        <v>92</v>
      </c>
      <c r="C150" s="11">
        <v>72.138917684203292</v>
      </c>
      <c r="D150" s="3">
        <v>40</v>
      </c>
      <c r="E150" s="12">
        <v>99.815422523728756</v>
      </c>
      <c r="F150" s="12">
        <v>67.521742130564633</v>
      </c>
      <c r="G150" s="12">
        <v>81.418613961740917</v>
      </c>
      <c r="H150" s="12">
        <v>89.276368704644213</v>
      </c>
      <c r="I150" s="12">
        <v>74.682967295671787</v>
      </c>
      <c r="J150" s="12">
        <v>98.333753560012298</v>
      </c>
      <c r="K150" s="12">
        <v>77.624081281657567</v>
      </c>
      <c r="L150" s="12">
        <v>64.097620981586317</v>
      </c>
      <c r="M150" s="12">
        <v>36.912501456465016</v>
      </c>
      <c r="N150" s="12">
        <v>72.47502004236614</v>
      </c>
      <c r="O150" s="12">
        <v>79.945602684322296</v>
      </c>
      <c r="P150" s="12">
        <v>63.434639429615913</v>
      </c>
      <c r="Q150" s="12">
        <v>84.112195763769179</v>
      </c>
      <c r="R150" s="12">
        <v>48.422883381021848</v>
      </c>
      <c r="S150" s="12">
        <v>47.435152479766842</v>
      </c>
      <c r="T150" s="12">
        <v>66.327108267015575</v>
      </c>
      <c r="U150" s="12">
        <v>74.525926687506569</v>
      </c>
    </row>
    <row r="151" spans="1:21" x14ac:dyDescent="0.2">
      <c r="A151" s="12" t="s">
        <v>393</v>
      </c>
      <c r="B151" s="12" t="s">
        <v>394</v>
      </c>
    </row>
    <row r="152" spans="1:21" x14ac:dyDescent="0.2">
      <c r="A152" s="12" t="s">
        <v>293</v>
      </c>
      <c r="B152" s="12" t="s">
        <v>294</v>
      </c>
      <c r="C152" s="11">
        <v>49.105445708505975</v>
      </c>
      <c r="D152" s="3">
        <v>146</v>
      </c>
      <c r="E152" s="12">
        <v>61.807316864327021</v>
      </c>
      <c r="F152" s="12">
        <v>38.235280518505206</v>
      </c>
      <c r="G152" s="12">
        <v>29.11308481834342</v>
      </c>
      <c r="H152" s="12">
        <v>42.242153534796323</v>
      </c>
      <c r="I152" s="12">
        <v>45.862013961377883</v>
      </c>
      <c r="J152" s="12">
        <v>48.629123682473832</v>
      </c>
      <c r="K152" s="12">
        <v>2.1771872289039234</v>
      </c>
      <c r="L152" s="12">
        <v>49.065482330919686</v>
      </c>
      <c r="M152" s="12">
        <v>8.2206679590773373</v>
      </c>
      <c r="N152" s="12">
        <v>69.523374216888129</v>
      </c>
      <c r="O152" s="12">
        <v>44.434042668205286</v>
      </c>
      <c r="P152" s="12">
        <v>82.237867525836307</v>
      </c>
      <c r="Q152" s="12">
        <v>85.773810657481192</v>
      </c>
      <c r="R152" s="12">
        <v>48.148440339849877</v>
      </c>
      <c r="S152" s="12">
        <v>66.357823609283685</v>
      </c>
      <c r="T152" s="12">
        <v>52.966222426956456</v>
      </c>
      <c r="U152" s="12">
        <v>59.998684701375758</v>
      </c>
    </row>
    <row r="153" spans="1:21" x14ac:dyDescent="0.2">
      <c r="A153" s="12" t="s">
        <v>147</v>
      </c>
      <c r="B153" s="12" t="s">
        <v>148</v>
      </c>
      <c r="C153" s="11">
        <v>71.308955059231266</v>
      </c>
      <c r="D153" s="3">
        <v>43</v>
      </c>
      <c r="E153" s="12">
        <v>98.594908296148304</v>
      </c>
      <c r="F153" s="12">
        <v>71.211088953505453</v>
      </c>
      <c r="G153" s="12">
        <v>93.794195160073045</v>
      </c>
      <c r="H153" s="12">
        <v>94.883232867219419</v>
      </c>
      <c r="I153" s="12">
        <v>71.754793511559242</v>
      </c>
      <c r="J153" s="12">
        <v>86.197247282452636</v>
      </c>
      <c r="K153" s="12">
        <v>90.623501478644641</v>
      </c>
      <c r="L153" s="12">
        <v>92.674555385936557</v>
      </c>
      <c r="M153" s="12">
        <v>87.892917907829798</v>
      </c>
      <c r="N153" s="12">
        <v>60.717981876033996</v>
      </c>
      <c r="O153" s="12">
        <v>94.862515270549352</v>
      </c>
      <c r="P153" s="12">
        <v>43.283698173390007</v>
      </c>
      <c r="Q153" s="12">
        <v>60.015565778229622</v>
      </c>
      <c r="R153" s="12">
        <v>12.117752283110343</v>
      </c>
      <c r="S153" s="12">
        <v>34.892991461201937</v>
      </c>
      <c r="T153" s="12">
        <v>91.273132441923877</v>
      </c>
      <c r="U153" s="12">
        <v>27.462157879123289</v>
      </c>
    </row>
    <row r="154" spans="1:21" x14ac:dyDescent="0.2">
      <c r="A154" s="12" t="s">
        <v>65</v>
      </c>
      <c r="B154" s="12" t="s">
        <v>66</v>
      </c>
      <c r="C154" s="11">
        <v>75.59680556163822</v>
      </c>
      <c r="D154" s="3">
        <v>24</v>
      </c>
      <c r="E154" s="12">
        <v>98.61525406257465</v>
      </c>
      <c r="F154" s="12">
        <v>75.242642183566559</v>
      </c>
      <c r="G154" s="12">
        <v>87.546392830312001</v>
      </c>
      <c r="H154" s="12">
        <v>90.406888516658313</v>
      </c>
      <c r="I154" s="12">
        <v>73.148156988736105</v>
      </c>
      <c r="J154" s="12">
        <v>89.610144169199813</v>
      </c>
      <c r="K154" s="12">
        <v>88.126408243240959</v>
      </c>
      <c r="L154" s="12">
        <v>76.320643236385706</v>
      </c>
      <c r="M154" s="12">
        <v>53.072598854211982</v>
      </c>
      <c r="N154" s="12">
        <v>83.579769910562945</v>
      </c>
      <c r="O154" s="12">
        <v>80.886948491837487</v>
      </c>
      <c r="P154" s="12">
        <v>61.487786269491586</v>
      </c>
      <c r="Q154" s="12">
        <v>76.159053255243151</v>
      </c>
      <c r="R154" s="12">
        <v>52.397336317923852</v>
      </c>
      <c r="S154" s="12">
        <v>79.212485668720461</v>
      </c>
      <c r="T154" s="12">
        <v>68.931868445573002</v>
      </c>
      <c r="U154" s="12">
        <v>50.401317103611099</v>
      </c>
    </row>
    <row r="155" spans="1:21" x14ac:dyDescent="0.2">
      <c r="A155" s="12" t="s">
        <v>45</v>
      </c>
      <c r="B155" s="12" t="s">
        <v>46</v>
      </c>
      <c r="C155" s="11">
        <v>79.979576135357661</v>
      </c>
      <c r="D155" s="3">
        <v>8</v>
      </c>
      <c r="E155" s="12">
        <v>99.737181202072662</v>
      </c>
      <c r="F155" s="12">
        <v>72.03260878727454</v>
      </c>
      <c r="G155" s="12">
        <v>91.798471181911751</v>
      </c>
      <c r="H155" s="12">
        <v>92.337521848905737</v>
      </c>
      <c r="I155" s="12">
        <v>84.423736098297127</v>
      </c>
      <c r="J155" s="12">
        <v>87.114765553121913</v>
      </c>
      <c r="K155" s="12">
        <v>90.266600342960729</v>
      </c>
      <c r="L155" s="12">
        <v>80.205045570391263</v>
      </c>
      <c r="M155" s="12">
        <v>59.867756383857518</v>
      </c>
      <c r="N155" s="12">
        <v>100</v>
      </c>
      <c r="O155" s="12">
        <v>85.493255711817923</v>
      </c>
      <c r="P155" s="12">
        <v>57.795028332207202</v>
      </c>
      <c r="Q155" s="12">
        <v>91.765734178453627</v>
      </c>
      <c r="R155" s="12">
        <v>50.042999881308312</v>
      </c>
      <c r="S155" s="12">
        <v>79.827479395478491</v>
      </c>
      <c r="T155" s="12">
        <v>79.874999924900948</v>
      </c>
      <c r="U155" s="12">
        <v>57.069609908120015</v>
      </c>
    </row>
    <row r="156" spans="1:21" x14ac:dyDescent="0.2">
      <c r="A156" s="12" t="s">
        <v>389</v>
      </c>
      <c r="B156" s="12" t="s">
        <v>390</v>
      </c>
    </row>
    <row r="157" spans="1:21" x14ac:dyDescent="0.2">
      <c r="A157" s="12" t="s">
        <v>343</v>
      </c>
      <c r="B157" s="12" t="s">
        <v>344</v>
      </c>
    </row>
    <row r="158" spans="1:21" x14ac:dyDescent="0.2">
      <c r="A158" s="12" t="s">
        <v>239</v>
      </c>
      <c r="B158" s="12" t="s">
        <v>240</v>
      </c>
      <c r="C158" s="11">
        <v>60.826590558847947</v>
      </c>
      <c r="D158" s="3">
        <v>107</v>
      </c>
      <c r="E158" s="12">
        <v>66.482487487111285</v>
      </c>
      <c r="F158" s="12">
        <v>51.917148849893657</v>
      </c>
      <c r="G158" s="12">
        <v>54.11437323029196</v>
      </c>
      <c r="H158" s="12">
        <v>75.961086676911378</v>
      </c>
      <c r="I158" s="12">
        <v>83.14523600438865</v>
      </c>
      <c r="J158" s="12">
        <v>75.632952250898427</v>
      </c>
      <c r="K158" s="12">
        <v>70.106138145474077</v>
      </c>
      <c r="L158" s="12">
        <v>51.035935925003066</v>
      </c>
      <c r="M158" s="12">
        <v>45.718542676216352</v>
      </c>
      <c r="N158" s="12">
        <v>0</v>
      </c>
      <c r="O158" s="12">
        <v>81.415419077586975</v>
      </c>
      <c r="P158" s="12">
        <v>63.091433843445415</v>
      </c>
      <c r="Q158" s="12">
        <v>82.572148914357228</v>
      </c>
      <c r="R158" s="12">
        <v>59.238549447502386</v>
      </c>
      <c r="S158" s="12">
        <v>44.54995538919129</v>
      </c>
      <c r="T158" s="12">
        <v>45.413504592047211</v>
      </c>
      <c r="U158" s="12">
        <v>83.657126990095989</v>
      </c>
    </row>
    <row r="159" spans="1:21" x14ac:dyDescent="0.2">
      <c r="A159" s="12" t="s">
        <v>351</v>
      </c>
      <c r="B159" s="12" t="s">
        <v>352</v>
      </c>
    </row>
    <row r="160" spans="1:21" x14ac:dyDescent="0.2">
      <c r="A160" s="12" t="s">
        <v>51</v>
      </c>
      <c r="B160" s="12" t="s">
        <v>52</v>
      </c>
      <c r="C160" s="11">
        <v>75.424588500419077</v>
      </c>
      <c r="D160" s="3">
        <v>25</v>
      </c>
      <c r="E160" s="12">
        <v>98.715711788660343</v>
      </c>
      <c r="F160" s="12">
        <v>62.827280762433894</v>
      </c>
      <c r="G160" s="12">
        <v>93.797440378462952</v>
      </c>
      <c r="H160" s="12">
        <v>88.134547358127563</v>
      </c>
      <c r="I160" s="12">
        <v>82.608689804723411</v>
      </c>
      <c r="J160" s="12">
        <v>84.564711446359496</v>
      </c>
      <c r="K160" s="12">
        <v>90.631600532067935</v>
      </c>
      <c r="L160" s="12">
        <v>73.983921826911043</v>
      </c>
      <c r="M160" s="12">
        <v>67.883975280347741</v>
      </c>
      <c r="N160" s="12">
        <v>69.27963761272261</v>
      </c>
      <c r="O160" s="12">
        <v>87.948504453548722</v>
      </c>
      <c r="P160" s="12">
        <v>61.177846357715417</v>
      </c>
      <c r="Q160" s="12">
        <v>88.937919242540659</v>
      </c>
      <c r="R160" s="12">
        <v>47.549977128119416</v>
      </c>
      <c r="S160" s="12">
        <v>56.575706233663496</v>
      </c>
      <c r="T160" s="12">
        <v>72.622113754275901</v>
      </c>
      <c r="U160" s="12">
        <v>54.978420546443353</v>
      </c>
    </row>
    <row r="161" spans="1:21" x14ac:dyDescent="0.2">
      <c r="A161" s="12" t="s">
        <v>185</v>
      </c>
      <c r="B161" s="12" t="s">
        <v>186</v>
      </c>
      <c r="C161" s="11">
        <v>64.561204811728345</v>
      </c>
      <c r="D161" s="3">
        <v>89</v>
      </c>
      <c r="E161" s="12">
        <v>99.740098331810131</v>
      </c>
      <c r="F161" s="12">
        <v>44.549296050635995</v>
      </c>
      <c r="G161" s="12">
        <v>79.280642158586076</v>
      </c>
      <c r="H161" s="12">
        <v>90.933558775309848</v>
      </c>
      <c r="I161" s="12">
        <v>53.714473805830245</v>
      </c>
      <c r="J161" s="12">
        <v>82.27700143592989</v>
      </c>
      <c r="K161" s="12">
        <v>54.327074948815216</v>
      </c>
      <c r="L161" s="12">
        <v>78.631736560585225</v>
      </c>
      <c r="M161" s="12">
        <v>19.813708477464061</v>
      </c>
      <c r="N161" s="12">
        <v>36.539092393514949</v>
      </c>
      <c r="O161" s="12">
        <v>71.719840059066428</v>
      </c>
      <c r="P161" s="12">
        <v>66.978893191913357</v>
      </c>
      <c r="Q161" s="12">
        <v>87.979906694570772</v>
      </c>
      <c r="R161" s="12">
        <v>53.887966330749059</v>
      </c>
      <c r="S161" s="12">
        <v>61.297678058692142</v>
      </c>
      <c r="T161" s="12">
        <v>69.325813086776591</v>
      </c>
      <c r="U161" s="12">
        <v>46.543701439132128</v>
      </c>
    </row>
    <row r="162" spans="1:21" x14ac:dyDescent="0.2">
      <c r="A162" s="12" t="s">
        <v>371</v>
      </c>
      <c r="B162" s="12" t="s">
        <v>372</v>
      </c>
    </row>
    <row r="163" spans="1:21" x14ac:dyDescent="0.2">
      <c r="A163" s="12" t="s">
        <v>375</v>
      </c>
      <c r="B163" s="12" t="s">
        <v>376</v>
      </c>
    </row>
    <row r="164" spans="1:21" x14ac:dyDescent="0.2">
      <c r="A164" s="12" t="s">
        <v>401</v>
      </c>
      <c r="B164" s="12" t="s">
        <v>402</v>
      </c>
    </row>
    <row r="165" spans="1:21" x14ac:dyDescent="0.2">
      <c r="A165" s="12" t="s">
        <v>339</v>
      </c>
      <c r="B165" s="12" t="s">
        <v>340</v>
      </c>
      <c r="C165" s="11">
        <v>49.580238175169939</v>
      </c>
      <c r="D165" s="3">
        <v>143</v>
      </c>
      <c r="E165" s="12">
        <v>77.574813264485783</v>
      </c>
      <c r="F165" s="12">
        <v>14.74443478575262</v>
      </c>
      <c r="G165" s="12">
        <v>53.409047153768348</v>
      </c>
      <c r="H165" s="12">
        <v>17.253496550467165</v>
      </c>
      <c r="I165" s="12">
        <v>38.724749262614189</v>
      </c>
      <c r="J165" s="12">
        <v>41.266758013530755</v>
      </c>
      <c r="K165" s="12">
        <v>41.383425985461876</v>
      </c>
      <c r="L165" s="12">
        <v>31.694313343072437</v>
      </c>
      <c r="M165" s="12">
        <v>12.742530299827308</v>
      </c>
      <c r="N165" s="12">
        <v>65.746737554942342</v>
      </c>
      <c r="O165" s="12">
        <v>43.403495104050599</v>
      </c>
      <c r="P165" s="12">
        <v>74.924012511263598</v>
      </c>
      <c r="Q165" s="12">
        <v>83.349367424059253</v>
      </c>
      <c r="R165" s="12">
        <v>55.975440078154897</v>
      </c>
      <c r="S165" s="12">
        <v>60.200899574951066</v>
      </c>
      <c r="T165" s="12">
        <v>63.960551967872696</v>
      </c>
      <c r="U165" s="12">
        <v>66.509976103614122</v>
      </c>
    </row>
    <row r="166" spans="1:21" x14ac:dyDescent="0.2">
      <c r="A166" s="12" t="s">
        <v>203</v>
      </c>
      <c r="B166" s="12" t="s">
        <v>204</v>
      </c>
      <c r="C166" s="11">
        <v>67.972137894333969</v>
      </c>
      <c r="D166" s="3">
        <v>67</v>
      </c>
      <c r="E166" s="12">
        <v>73.425405362968533</v>
      </c>
      <c r="F166" s="12">
        <v>55.488768716429831</v>
      </c>
      <c r="G166" s="12">
        <v>75.487607321348975</v>
      </c>
      <c r="H166" s="12">
        <v>78.653044422941932</v>
      </c>
      <c r="I166" s="12">
        <v>66.828972908866319</v>
      </c>
      <c r="J166" s="12">
        <v>89.143560421702318</v>
      </c>
      <c r="K166" s="12">
        <v>87.429630328032218</v>
      </c>
      <c r="L166" s="12">
        <v>66.989148521811344</v>
      </c>
      <c r="M166" s="12">
        <v>27.807106146685079</v>
      </c>
      <c r="N166" s="12">
        <v>36.501007236918774</v>
      </c>
      <c r="O166" s="12">
        <v>81.738086573574606</v>
      </c>
      <c r="P166" s="12">
        <v>67.400934894732615</v>
      </c>
      <c r="Q166" s="12">
        <v>71.996912698007037</v>
      </c>
      <c r="R166" s="12">
        <v>63.426129643636038</v>
      </c>
      <c r="S166" s="12">
        <v>71.900748949589939</v>
      </c>
      <c r="T166" s="12">
        <v>60.073976295158509</v>
      </c>
      <c r="U166" s="12">
        <v>81.235303761273684</v>
      </c>
    </row>
    <row r="167" spans="1:21" x14ac:dyDescent="0.2">
      <c r="A167" s="12" t="s">
        <v>463</v>
      </c>
      <c r="B167" s="12" t="s">
        <v>284</v>
      </c>
      <c r="C167" s="11">
        <v>50.672256394959462</v>
      </c>
      <c r="D167" s="3">
        <v>137</v>
      </c>
      <c r="E167" s="12">
        <v>39.036063704918242</v>
      </c>
      <c r="F167" s="12">
        <v>50.900073068624735</v>
      </c>
      <c r="G167" s="12">
        <v>48.885464497302237</v>
      </c>
      <c r="H167" s="12">
        <v>59.156847910189498</v>
      </c>
      <c r="I167" s="12">
        <v>55.701391504730893</v>
      </c>
      <c r="J167" s="12">
        <v>69.201538981282823</v>
      </c>
      <c r="K167" s="12">
        <v>47.731237365607491</v>
      </c>
      <c r="L167" s="12">
        <v>32.66203198871743</v>
      </c>
      <c r="M167" s="12">
        <v>16.65175967360927</v>
      </c>
      <c r="N167" s="12">
        <v>0</v>
      </c>
      <c r="O167" s="12">
        <v>77.83839024207272</v>
      </c>
      <c r="P167" s="12">
        <v>78.214443208968746</v>
      </c>
      <c r="Q167" s="12">
        <v>52.869401573868956</v>
      </c>
      <c r="R167" s="12">
        <v>48.160238987946016</v>
      </c>
      <c r="S167" s="12">
        <v>45.300684071792141</v>
      </c>
      <c r="T167" s="12">
        <v>50.605847948246215</v>
      </c>
      <c r="U167" s="12">
        <v>88.51294398643337</v>
      </c>
    </row>
    <row r="168" spans="1:21" x14ac:dyDescent="0.2">
      <c r="A168" s="12" t="s">
        <v>23</v>
      </c>
      <c r="B168" s="12" t="s">
        <v>24</v>
      </c>
      <c r="C168" s="11">
        <v>84.983892142118179</v>
      </c>
      <c r="D168" s="3">
        <v>1</v>
      </c>
      <c r="E168" s="12">
        <v>99.432476016919907</v>
      </c>
      <c r="F168" s="12">
        <v>73.14972541127139</v>
      </c>
      <c r="G168" s="12">
        <v>96.666461138248607</v>
      </c>
      <c r="H168" s="12">
        <v>94.986285895512793</v>
      </c>
      <c r="I168" s="12">
        <v>90.048162089179584</v>
      </c>
      <c r="J168" s="12">
        <v>92.56355205437842</v>
      </c>
      <c r="K168" s="12">
        <v>97.667809804448936</v>
      </c>
      <c r="L168" s="12">
        <v>86.282141865986802</v>
      </c>
      <c r="M168" s="12">
        <v>89.803563554757915</v>
      </c>
      <c r="N168" s="12">
        <v>100</v>
      </c>
      <c r="O168" s="12">
        <v>89.935064935064929</v>
      </c>
      <c r="P168" s="12">
        <v>56.777723053179322</v>
      </c>
      <c r="Q168" s="12">
        <v>84.940727986324788</v>
      </c>
      <c r="R168" s="12">
        <v>54.544542964259385</v>
      </c>
      <c r="S168" s="12">
        <v>61.278133772190834</v>
      </c>
      <c r="T168" s="12">
        <v>80.293806001979448</v>
      </c>
      <c r="U168" s="12">
        <v>96.355989872305869</v>
      </c>
    </row>
    <row r="169" spans="1:21" x14ac:dyDescent="0.2">
      <c r="A169" s="12" t="s">
        <v>49</v>
      </c>
      <c r="B169" s="12" t="s">
        <v>50</v>
      </c>
      <c r="C169" s="11">
        <v>80.092852744097428</v>
      </c>
      <c r="D169" s="3">
        <v>7</v>
      </c>
      <c r="E169" s="12">
        <v>99.968073828226565</v>
      </c>
      <c r="F169" s="12">
        <v>71.963750825575232</v>
      </c>
      <c r="G169" s="12">
        <v>96.734021190763642</v>
      </c>
      <c r="H169" s="12">
        <v>93.009636121630876</v>
      </c>
      <c r="I169" s="12">
        <v>82.845827224909314</v>
      </c>
      <c r="J169" s="12">
        <v>93.584446815187505</v>
      </c>
      <c r="K169" s="12">
        <v>94.164527262961272</v>
      </c>
      <c r="L169" s="12">
        <v>88.782537682028916</v>
      </c>
      <c r="M169" s="12">
        <v>92.829335710586889</v>
      </c>
      <c r="N169" s="12">
        <v>80.131387827641305</v>
      </c>
      <c r="O169" s="12">
        <v>97.277904324659232</v>
      </c>
      <c r="P169" s="12">
        <v>36.979515633524819</v>
      </c>
      <c r="Q169" s="12">
        <v>87.422621307524139</v>
      </c>
      <c r="R169" s="12">
        <v>52.397336317923852</v>
      </c>
      <c r="S169" s="12">
        <v>56.172216138824616</v>
      </c>
      <c r="T169" s="12">
        <v>85.914660230180317</v>
      </c>
      <c r="U169" s="12">
        <v>51.400698207507752</v>
      </c>
    </row>
    <row r="170" spans="1:21" x14ac:dyDescent="0.2">
      <c r="A170" s="12" t="s">
        <v>279</v>
      </c>
      <c r="B170" s="12" t="s">
        <v>280</v>
      </c>
      <c r="C170" s="11">
        <v>55.022254403231955</v>
      </c>
      <c r="D170" s="3">
        <v>124</v>
      </c>
      <c r="E170" s="12">
        <v>94.996725088598154</v>
      </c>
      <c r="F170" s="12">
        <v>26.661474341250415</v>
      </c>
      <c r="G170" s="12">
        <v>64.022255738531655</v>
      </c>
      <c r="H170" s="12">
        <v>44.015070029980819</v>
      </c>
      <c r="I170" s="12">
        <v>42.615862170665196</v>
      </c>
      <c r="J170" s="12">
        <v>67.022551753207921</v>
      </c>
      <c r="K170" s="12">
        <v>82.847770901211263</v>
      </c>
      <c r="L170" s="12">
        <v>19.631340621871356</v>
      </c>
      <c r="M170" s="12">
        <v>15.261260428061556</v>
      </c>
      <c r="N170" s="12">
        <v>62.484379277144349</v>
      </c>
      <c r="O170" s="12">
        <v>48.632797253017351</v>
      </c>
      <c r="P170" s="12">
        <v>76.166444032126137</v>
      </c>
      <c r="Q170" s="12">
        <v>89.461254690375895</v>
      </c>
      <c r="R170" s="12">
        <v>39.547703600768571</v>
      </c>
      <c r="S170" s="12">
        <v>40.768628256796738</v>
      </c>
      <c r="T170" s="12">
        <v>59.822832969986948</v>
      </c>
      <c r="U170" s="12">
        <v>61.419973701348816</v>
      </c>
    </row>
    <row r="171" spans="1:21" x14ac:dyDescent="0.2">
      <c r="A171" s="12" t="s">
        <v>189</v>
      </c>
      <c r="B171" s="12" t="s">
        <v>190</v>
      </c>
      <c r="C171" s="11">
        <v>67.181152106314428</v>
      </c>
      <c r="D171" s="3">
        <v>73</v>
      </c>
      <c r="E171" s="12">
        <v>97.457185142442057</v>
      </c>
      <c r="F171" s="12">
        <v>39.82293135711312</v>
      </c>
      <c r="G171" s="12">
        <v>67.999403368189249</v>
      </c>
      <c r="H171" s="12">
        <v>89.574386952934404</v>
      </c>
      <c r="I171" s="12">
        <v>55.055496024821267</v>
      </c>
      <c r="J171" s="12">
        <v>74.982479277683893</v>
      </c>
      <c r="K171" s="12">
        <v>87.814063976958437</v>
      </c>
      <c r="L171" s="12">
        <v>55.252233362977606</v>
      </c>
      <c r="M171" s="12">
        <v>14.928807894504994</v>
      </c>
      <c r="N171" s="12">
        <v>68.044653976910837</v>
      </c>
      <c r="O171" s="12">
        <v>77.868190893226981</v>
      </c>
      <c r="P171" s="12">
        <v>80.894644389516458</v>
      </c>
      <c r="Q171" s="12">
        <v>76.249232844899339</v>
      </c>
      <c r="R171" s="12">
        <v>48.422883381021848</v>
      </c>
      <c r="S171" s="12">
        <v>68.216099975732291</v>
      </c>
      <c r="T171" s="12">
        <v>72.516715927410203</v>
      </c>
      <c r="U171" s="12">
        <v>66.980177061002451</v>
      </c>
    </row>
    <row r="172" spans="1:21" x14ac:dyDescent="0.2">
      <c r="A172" s="12" t="s">
        <v>287</v>
      </c>
      <c r="B172" s="12" t="s">
        <v>288</v>
      </c>
      <c r="C172" s="11">
        <v>55.147615617828535</v>
      </c>
      <c r="D172" s="3">
        <v>123</v>
      </c>
      <c r="E172" s="12">
        <v>62.988199041726617</v>
      </c>
      <c r="F172" s="12">
        <v>38.674845076963784</v>
      </c>
      <c r="G172" s="12">
        <v>47.058238035149543</v>
      </c>
      <c r="H172" s="12">
        <v>53.46991639477833</v>
      </c>
      <c r="I172" s="12">
        <v>74.461905018033647</v>
      </c>
      <c r="J172" s="12">
        <v>57.754171267695511</v>
      </c>
      <c r="K172" s="12">
        <v>16.34937315612617</v>
      </c>
      <c r="L172" s="12">
        <v>61.603996429220651</v>
      </c>
      <c r="M172" s="12">
        <v>16.611743774943314</v>
      </c>
      <c r="N172" s="12">
        <v>60.266455680777767</v>
      </c>
      <c r="O172" s="12">
        <v>64.002789748826544</v>
      </c>
      <c r="P172" s="12">
        <v>79.09117386086146</v>
      </c>
      <c r="Q172" s="12">
        <v>89.012218936988859</v>
      </c>
      <c r="R172" s="12">
        <v>56.521837451545686</v>
      </c>
      <c r="S172" s="12">
        <v>51.824195170006625</v>
      </c>
      <c r="T172" s="12">
        <v>54.084493751535526</v>
      </c>
      <c r="U172" s="12">
        <v>53.733912707905063</v>
      </c>
    </row>
    <row r="173" spans="1:21" x14ac:dyDescent="0.2">
      <c r="A173" s="12" t="s">
        <v>105</v>
      </c>
      <c r="B173" s="12" t="s">
        <v>106</v>
      </c>
      <c r="C173" s="11">
        <v>69.237500670295347</v>
      </c>
      <c r="D173" s="3">
        <v>59</v>
      </c>
      <c r="E173" s="12">
        <v>99.999998992831479</v>
      </c>
      <c r="F173" s="12">
        <v>55.288355355552675</v>
      </c>
      <c r="G173" s="12">
        <v>76.665438424851615</v>
      </c>
      <c r="H173" s="12">
        <v>75.054682272876832</v>
      </c>
      <c r="I173" s="12">
        <v>65.322924376799421</v>
      </c>
      <c r="J173" s="12">
        <v>94.835501189476673</v>
      </c>
      <c r="K173" s="12">
        <v>77.018789946842261</v>
      </c>
      <c r="L173" s="12">
        <v>75.120183760570882</v>
      </c>
      <c r="M173" s="12">
        <v>42.66271354699434</v>
      </c>
      <c r="N173" s="12">
        <v>59.00249877258301</v>
      </c>
      <c r="O173" s="12">
        <v>79.17945889087396</v>
      </c>
      <c r="P173" s="12">
        <v>70.500714328330801</v>
      </c>
      <c r="Q173" s="12">
        <v>79.762762969578446</v>
      </c>
      <c r="R173" s="12">
        <v>49.840487286665962</v>
      </c>
      <c r="S173" s="12">
        <v>61.171987657222246</v>
      </c>
      <c r="T173" s="12">
        <v>59.449955456077468</v>
      </c>
      <c r="U173" s="12">
        <v>56.16105816689268</v>
      </c>
    </row>
    <row r="174" spans="1:21" x14ac:dyDescent="0.2">
      <c r="A174" s="12" t="s">
        <v>395</v>
      </c>
      <c r="B174" s="12" t="s">
        <v>396</v>
      </c>
    </row>
    <row r="175" spans="1:21" x14ac:dyDescent="0.2">
      <c r="A175" s="12" t="s">
        <v>291</v>
      </c>
      <c r="B175" s="12" t="s">
        <v>292</v>
      </c>
      <c r="C175" s="11">
        <v>51.999814324524571</v>
      </c>
      <c r="D175" s="3">
        <v>132</v>
      </c>
      <c r="E175" s="12">
        <v>48.159914246156987</v>
      </c>
      <c r="F175" s="12">
        <v>48.168837603938243</v>
      </c>
      <c r="G175" s="12">
        <v>46.530795478037696</v>
      </c>
      <c r="H175" s="12">
        <v>53.236532770485532</v>
      </c>
      <c r="I175" s="12">
        <v>43.325210879292825</v>
      </c>
      <c r="J175" s="12">
        <v>58.460371703378186</v>
      </c>
      <c r="K175" s="12">
        <v>14.878828823696756</v>
      </c>
      <c r="L175" s="12">
        <v>59.067909872419165</v>
      </c>
      <c r="M175" s="12">
        <v>8.1981493753246539</v>
      </c>
      <c r="N175" s="12">
        <v>39.65293815603782</v>
      </c>
      <c r="O175" s="12">
        <v>46.550258802509838</v>
      </c>
      <c r="P175" s="12">
        <v>82.434163224514776</v>
      </c>
      <c r="Q175" s="12">
        <v>88.249160213448278</v>
      </c>
      <c r="R175" s="12">
        <v>38.080555266455669</v>
      </c>
      <c r="S175" s="12">
        <v>79.596797191729962</v>
      </c>
      <c r="T175" s="12">
        <v>61.8729246139564</v>
      </c>
      <c r="U175" s="12">
        <v>67.533495295534905</v>
      </c>
    </row>
    <row r="176" spans="1:21" x14ac:dyDescent="0.2">
      <c r="A176" s="12" t="s">
        <v>397</v>
      </c>
      <c r="B176" s="12" t="s">
        <v>398</v>
      </c>
    </row>
    <row r="177" spans="1:21" x14ac:dyDescent="0.2">
      <c r="A177" s="12" t="s">
        <v>247</v>
      </c>
      <c r="B177" s="12" t="s">
        <v>248</v>
      </c>
      <c r="C177" s="11">
        <v>67.513310695566531</v>
      </c>
      <c r="D177" s="3">
        <v>70</v>
      </c>
      <c r="E177" s="12">
        <v>99.664249039616521</v>
      </c>
      <c r="F177" s="12">
        <v>51.313291248115185</v>
      </c>
      <c r="G177" s="12">
        <v>77.091798039596668</v>
      </c>
      <c r="H177" s="12">
        <v>84.096002566459461</v>
      </c>
      <c r="I177" s="12">
        <v>72.117433862470506</v>
      </c>
      <c r="J177" s="12">
        <v>87.083740438503526</v>
      </c>
      <c r="K177" s="12">
        <v>76.408932546116247</v>
      </c>
      <c r="L177" s="12">
        <v>75.978609493113822</v>
      </c>
      <c r="M177" s="12">
        <v>29.231515841403461</v>
      </c>
      <c r="N177" s="12">
        <v>36.501007236918774</v>
      </c>
      <c r="O177" s="12">
        <v>73.520512365100828</v>
      </c>
      <c r="P177" s="12">
        <v>68.723048873680682</v>
      </c>
      <c r="Q177" s="12">
        <v>61.663142162805507</v>
      </c>
      <c r="R177" s="12">
        <v>45.513070582762801</v>
      </c>
      <c r="S177" s="12">
        <v>58.908349120650598</v>
      </c>
      <c r="T177" s="12">
        <v>49.911578407316703</v>
      </c>
      <c r="U177" s="12">
        <v>100</v>
      </c>
    </row>
    <row r="178" spans="1:21" x14ac:dyDescent="0.2">
      <c r="A178" s="12" t="s">
        <v>135</v>
      </c>
      <c r="B178" s="12" t="s">
        <v>136</v>
      </c>
      <c r="C178" s="11">
        <v>66.152400264444736</v>
      </c>
      <c r="D178" s="3">
        <v>78</v>
      </c>
      <c r="E178" s="12">
        <v>99.477377237081299</v>
      </c>
      <c r="F178" s="12">
        <v>50.095401888287576</v>
      </c>
      <c r="G178" s="12">
        <v>76.278246569124732</v>
      </c>
      <c r="H178" s="12">
        <v>77.884204959314104</v>
      </c>
      <c r="I178" s="12">
        <v>59.818244915139871</v>
      </c>
      <c r="J178" s="12">
        <v>45.381859217777297</v>
      </c>
      <c r="K178" s="12">
        <v>85.922620913516639</v>
      </c>
      <c r="L178" s="12">
        <v>46.234894852434898</v>
      </c>
      <c r="M178" s="12">
        <v>32.837751352213729</v>
      </c>
      <c r="N178" s="12">
        <v>61.320730077419441</v>
      </c>
      <c r="O178" s="12">
        <v>61.857163551485655</v>
      </c>
      <c r="P178" s="12">
        <v>79.559474978597493</v>
      </c>
      <c r="Q178" s="12">
        <v>85.662418562503831</v>
      </c>
      <c r="R178" s="12">
        <v>55.145000917916548</v>
      </c>
      <c r="S178" s="12">
        <v>65.573531736110709</v>
      </c>
      <c r="T178" s="12">
        <v>67.786376017512538</v>
      </c>
      <c r="U178" s="12">
        <v>73.755506749124166</v>
      </c>
    </row>
    <row r="179" spans="1:21" x14ac:dyDescent="0.2">
      <c r="A179" s="12" t="s">
        <v>436</v>
      </c>
      <c r="B179" s="12" t="s">
        <v>164</v>
      </c>
      <c r="C179" s="11">
        <v>65.959364748188577</v>
      </c>
      <c r="D179" s="3">
        <v>79</v>
      </c>
      <c r="E179" s="12">
        <v>99.988763961302254</v>
      </c>
      <c r="F179" s="12">
        <v>56.088231518366172</v>
      </c>
      <c r="G179" s="12">
        <v>84.439807164764616</v>
      </c>
      <c r="H179" s="12">
        <v>79.660461577754972</v>
      </c>
      <c r="I179" s="12">
        <v>53.284112527635045</v>
      </c>
      <c r="J179" s="12">
        <v>67.658159871562034</v>
      </c>
      <c r="K179" s="12">
        <v>80.841264188904844</v>
      </c>
      <c r="L179" s="12">
        <v>63.01628155341654</v>
      </c>
      <c r="M179" s="12">
        <v>50.416492994560706</v>
      </c>
      <c r="N179" s="12">
        <v>41.355147301712428</v>
      </c>
      <c r="O179" s="12">
        <v>73.225780272583862</v>
      </c>
      <c r="P179" s="12">
        <v>71.096496452771177</v>
      </c>
      <c r="Q179" s="12">
        <v>86.782787104961784</v>
      </c>
      <c r="R179" s="12">
        <v>36.887335145777691</v>
      </c>
      <c r="S179" s="12">
        <v>49.256515683993555</v>
      </c>
      <c r="T179" s="12">
        <v>63.798259835096843</v>
      </c>
      <c r="U179" s="12">
        <v>63.513303564041244</v>
      </c>
    </row>
    <row r="180" spans="1:21" x14ac:dyDescent="0.2">
      <c r="A180" s="12" t="s">
        <v>201</v>
      </c>
      <c r="B180" s="12" t="s">
        <v>202</v>
      </c>
      <c r="C180" s="11">
        <v>59.468272276053149</v>
      </c>
      <c r="D180" s="3">
        <v>110</v>
      </c>
      <c r="E180" s="12">
        <v>99.964769298363265</v>
      </c>
      <c r="F180" s="12">
        <v>52.361173471040217</v>
      </c>
      <c r="G180" s="12">
        <v>67.280385399848612</v>
      </c>
      <c r="H180" s="12">
        <v>69.332132309488514</v>
      </c>
      <c r="I180" s="12">
        <v>61.896103409260938</v>
      </c>
      <c r="J180" s="12">
        <v>60.13615635761559</v>
      </c>
      <c r="K180" s="12">
        <v>67.319936879940087</v>
      </c>
      <c r="L180" s="12">
        <v>73.863695589034364</v>
      </c>
      <c r="M180" s="12">
        <v>10.183651571462494</v>
      </c>
      <c r="N180" s="12">
        <v>65.436978001358511</v>
      </c>
      <c r="O180" s="12">
        <v>68.786559748022981</v>
      </c>
      <c r="P180" s="12">
        <v>76.203912789570694</v>
      </c>
      <c r="Q180" s="12">
        <v>66.366101079718462</v>
      </c>
      <c r="R180" s="12">
        <v>48.422883381021848</v>
      </c>
      <c r="S180" s="12">
        <v>55.516231167692162</v>
      </c>
      <c r="T180" s="12">
        <v>67.889958239464846</v>
      </c>
      <c r="U180" s="12">
        <v>0</v>
      </c>
    </row>
    <row r="181" spans="1:21" x14ac:dyDescent="0.2">
      <c r="A181" s="12" t="s">
        <v>399</v>
      </c>
      <c r="B181" s="12" t="s">
        <v>400</v>
      </c>
    </row>
    <row r="182" spans="1:21" x14ac:dyDescent="0.2">
      <c r="A182" s="12" t="s">
        <v>301</v>
      </c>
      <c r="B182" s="12" t="s">
        <v>302</v>
      </c>
      <c r="C182" s="11">
        <v>54.925674074496634</v>
      </c>
      <c r="D182" s="3">
        <v>125</v>
      </c>
      <c r="E182" s="12">
        <v>68.120868901330468</v>
      </c>
      <c r="F182" s="12">
        <v>40.166899351124393</v>
      </c>
      <c r="G182" s="12">
        <v>46.703326760421717</v>
      </c>
      <c r="H182" s="12">
        <v>60.405666907112099</v>
      </c>
      <c r="I182" s="12">
        <v>60.648849909341457</v>
      </c>
      <c r="J182" s="12">
        <v>68.364572389777095</v>
      </c>
      <c r="K182" s="12">
        <v>6.1960401142192003</v>
      </c>
      <c r="L182" s="12">
        <v>61.464272520967263</v>
      </c>
      <c r="M182" s="12">
        <v>25.551881386421382</v>
      </c>
      <c r="N182" s="12">
        <v>62.12393637227521</v>
      </c>
      <c r="O182" s="12">
        <v>40.658108955182968</v>
      </c>
      <c r="P182" s="12">
        <v>79.82434193936335</v>
      </c>
      <c r="Q182" s="12">
        <v>92.954434911770704</v>
      </c>
      <c r="R182" s="12">
        <v>48.160238987946016</v>
      </c>
      <c r="S182" s="12">
        <v>64.951089189488016</v>
      </c>
      <c r="T182" s="12">
        <v>51.034368728526843</v>
      </c>
      <c r="U182" s="12">
        <v>56.407561941174492</v>
      </c>
    </row>
    <row r="183" spans="1:21" x14ac:dyDescent="0.2">
      <c r="A183" s="12" t="s">
        <v>95</v>
      </c>
      <c r="B183" s="12" t="s">
        <v>96</v>
      </c>
      <c r="C183" s="11">
        <v>72.33752296959743</v>
      </c>
      <c r="D183" s="3">
        <v>39</v>
      </c>
      <c r="E183" s="12">
        <v>99.910591685824045</v>
      </c>
      <c r="F183" s="12">
        <v>69.023636356676647</v>
      </c>
      <c r="G183" s="12">
        <v>69.324391874346361</v>
      </c>
      <c r="H183" s="12">
        <v>88.582051065616938</v>
      </c>
      <c r="I183" s="12">
        <v>68.841727295823276</v>
      </c>
      <c r="J183" s="12">
        <v>96.564909229569011</v>
      </c>
      <c r="K183" s="12">
        <v>86.680556403878541</v>
      </c>
      <c r="L183" s="12">
        <v>62.571603943869619</v>
      </c>
      <c r="M183" s="12">
        <v>25.909140497353757</v>
      </c>
      <c r="N183" s="12">
        <v>99.159076383136579</v>
      </c>
      <c r="O183" s="12">
        <v>78.864634997426961</v>
      </c>
      <c r="P183" s="12">
        <v>69.919960883449718</v>
      </c>
      <c r="Q183" s="12">
        <v>92.157247406797538</v>
      </c>
      <c r="R183" s="12">
        <v>44.186712637468467</v>
      </c>
      <c r="S183" s="12">
        <v>55.249150022719299</v>
      </c>
      <c r="T183" s="12">
        <v>51.747419007441806</v>
      </c>
      <c r="U183" s="12">
        <v>71.045080791757727</v>
      </c>
    </row>
    <row r="184" spans="1:21" x14ac:dyDescent="0.2">
      <c r="A184" s="12" t="s">
        <v>177</v>
      </c>
      <c r="B184" s="12" t="s">
        <v>178</v>
      </c>
      <c r="C184" s="11">
        <v>69.215862569971193</v>
      </c>
      <c r="D184" s="3">
        <v>60</v>
      </c>
      <c r="E184" s="12">
        <v>99.971221923786246</v>
      </c>
      <c r="F184" s="12">
        <v>65.349320634892891</v>
      </c>
      <c r="G184" s="12">
        <v>87.554733490994266</v>
      </c>
      <c r="H184" s="12">
        <v>81.61752968404015</v>
      </c>
      <c r="I184" s="12">
        <v>60.45272707161952</v>
      </c>
      <c r="J184" s="12">
        <v>32.214923483833516</v>
      </c>
      <c r="K184" s="12">
        <v>84.916631751064287</v>
      </c>
      <c r="L184" s="12">
        <v>86.361460736086968</v>
      </c>
      <c r="M184" s="12">
        <v>64.74829830023414</v>
      </c>
      <c r="N184" s="12">
        <v>62.484379277144349</v>
      </c>
      <c r="O184" s="12">
        <v>66.60365234289128</v>
      </c>
      <c r="P184" s="12">
        <v>44.081104874752903</v>
      </c>
      <c r="Q184" s="12">
        <v>31.605164795998895</v>
      </c>
      <c r="R184" s="12">
        <v>57.70784812512963</v>
      </c>
      <c r="S184" s="12">
        <v>58.167739424630774</v>
      </c>
      <c r="T184" s="12">
        <v>92.832927772410542</v>
      </c>
      <c r="U184" s="12">
        <v>100</v>
      </c>
    </row>
    <row r="185" spans="1:21" x14ac:dyDescent="0.2">
      <c r="A185" s="12" t="s">
        <v>41</v>
      </c>
      <c r="B185" s="12" t="s">
        <v>42</v>
      </c>
      <c r="C185" s="11">
        <v>78.668174088480811</v>
      </c>
      <c r="D185" s="3">
        <v>14</v>
      </c>
      <c r="E185" s="12">
        <v>99.871062286570492</v>
      </c>
      <c r="F185" s="12">
        <v>74.019875040069294</v>
      </c>
      <c r="G185" s="12">
        <v>93.269347295502172</v>
      </c>
      <c r="H185" s="12">
        <v>99.937223928079362</v>
      </c>
      <c r="I185" s="12">
        <v>82.934335700700103</v>
      </c>
      <c r="J185" s="12">
        <v>92.634806807028596</v>
      </c>
      <c r="K185" s="12">
        <v>87.724655721923568</v>
      </c>
      <c r="L185" s="12">
        <v>88.500815197634438</v>
      </c>
      <c r="M185" s="12">
        <v>80.956097924850312</v>
      </c>
      <c r="N185" s="12">
        <v>71.519338752326234</v>
      </c>
      <c r="O185" s="12">
        <v>91.19826356598378</v>
      </c>
      <c r="P185" s="12">
        <v>52.204201644107719</v>
      </c>
      <c r="Q185" s="12">
        <v>80.941489072274464</v>
      </c>
      <c r="R185" s="12">
        <v>53.925050890166254</v>
      </c>
      <c r="S185" s="12">
        <v>59.656832502251689</v>
      </c>
      <c r="T185" s="12">
        <v>85.944200654467053</v>
      </c>
      <c r="U185" s="12">
        <v>42.121362520238307</v>
      </c>
    </row>
    <row r="186" spans="1:21" x14ac:dyDescent="0.2">
      <c r="A186" s="12" t="s">
        <v>97</v>
      </c>
      <c r="B186" s="12" t="s">
        <v>98</v>
      </c>
      <c r="C186" s="11">
        <v>73.049647197599541</v>
      </c>
      <c r="D186" s="3">
        <v>35</v>
      </c>
      <c r="E186" s="12">
        <v>99.277324985408768</v>
      </c>
      <c r="F186" s="12">
        <v>75.473591686819418</v>
      </c>
      <c r="G186" s="12">
        <v>89.647381415822679</v>
      </c>
      <c r="H186" s="12">
        <v>92.149642085055746</v>
      </c>
      <c r="I186" s="12">
        <v>75.943023245191355</v>
      </c>
      <c r="J186" s="12">
        <v>90.649624105516125</v>
      </c>
      <c r="K186" s="12">
        <v>87.777389501767416</v>
      </c>
      <c r="L186" s="12">
        <v>87.919033997577969</v>
      </c>
      <c r="M186" s="12">
        <v>85.122187881238034</v>
      </c>
      <c r="N186" s="12">
        <v>47.775683248129234</v>
      </c>
      <c r="O186" s="12">
        <v>86.752988499700976</v>
      </c>
      <c r="P186" s="12">
        <v>36.906411410357151</v>
      </c>
      <c r="Q186" s="12">
        <v>65.318254204637853</v>
      </c>
      <c r="R186" s="12">
        <v>49.667724278805856</v>
      </c>
      <c r="S186" s="12">
        <v>44.220467662523149</v>
      </c>
      <c r="T186" s="12">
        <v>70.096477967955039</v>
      </c>
      <c r="U186" s="12">
        <v>57.146796182685755</v>
      </c>
    </row>
    <row r="187" spans="1:21" x14ac:dyDescent="0.2">
      <c r="A187" s="12" t="s">
        <v>83</v>
      </c>
      <c r="B187" s="12" t="s">
        <v>84</v>
      </c>
      <c r="C187" s="11">
        <v>70.416111882736814</v>
      </c>
      <c r="D187" s="3">
        <v>49</v>
      </c>
      <c r="E187" s="12">
        <v>99.978239483131205</v>
      </c>
      <c r="F187" s="12">
        <v>65.900990593655465</v>
      </c>
      <c r="G187" s="12">
        <v>82.81893891245673</v>
      </c>
      <c r="H187" s="12">
        <v>83.162467794722417</v>
      </c>
      <c r="I187" s="12">
        <v>74.39445392039292</v>
      </c>
      <c r="J187" s="12">
        <v>85.103044609629706</v>
      </c>
      <c r="K187" s="12">
        <v>94.890833596636909</v>
      </c>
      <c r="L187" s="12">
        <v>70.50496252396988</v>
      </c>
      <c r="M187" s="12">
        <v>40.196947651180608</v>
      </c>
      <c r="N187" s="12">
        <v>50.24240887246588</v>
      </c>
      <c r="O187" s="12">
        <v>84.506627644943237</v>
      </c>
      <c r="P187" s="12">
        <v>63.203473420832019</v>
      </c>
      <c r="Q187" s="12">
        <v>83.730076975251421</v>
      </c>
      <c r="R187" s="12">
        <v>45.841995974140644</v>
      </c>
      <c r="S187" s="12">
        <v>31.67716917546479</v>
      </c>
      <c r="T187" s="12">
        <v>65.917733790341387</v>
      </c>
      <c r="U187" s="12">
        <v>75.003537067310916</v>
      </c>
    </row>
    <row r="188" spans="1:21" x14ac:dyDescent="0.2">
      <c r="A188" s="12" t="s">
        <v>157</v>
      </c>
      <c r="B188" s="12" t="s">
        <v>158</v>
      </c>
      <c r="C188" s="11">
        <v>70.291985225725469</v>
      </c>
      <c r="D188" s="3">
        <v>52</v>
      </c>
      <c r="E188" s="12">
        <v>92.597625129851366</v>
      </c>
      <c r="F188" s="12">
        <v>65.082190491000901</v>
      </c>
      <c r="G188" s="12">
        <v>76.836468317176326</v>
      </c>
      <c r="H188" s="12">
        <v>93.469233279286712</v>
      </c>
      <c r="I188" s="12">
        <v>67.816529066975818</v>
      </c>
      <c r="J188" s="12">
        <v>66.592195767226542</v>
      </c>
      <c r="K188" s="12">
        <v>79.093211086427132</v>
      </c>
      <c r="L188" s="12">
        <v>46.568598398576185</v>
      </c>
      <c r="M188" s="12">
        <v>21.921341127116165</v>
      </c>
      <c r="N188" s="12">
        <v>65.436978001358511</v>
      </c>
      <c r="O188" s="12">
        <v>86.216174043783553</v>
      </c>
      <c r="P188" s="12">
        <v>77.113591798544618</v>
      </c>
      <c r="Q188" s="12">
        <v>91.491623123364505</v>
      </c>
      <c r="R188" s="12">
        <v>48.422883381021848</v>
      </c>
      <c r="S188" s="12">
        <v>61.876790707521664</v>
      </c>
      <c r="T188" s="12">
        <v>77.2286374147305</v>
      </c>
      <c r="U188" s="12">
        <v>77.199677703370583</v>
      </c>
    </row>
    <row r="189" spans="1:21" x14ac:dyDescent="0.2">
      <c r="A189" s="12" t="s">
        <v>403</v>
      </c>
      <c r="B189" s="12" t="s">
        <v>404</v>
      </c>
    </row>
    <row r="190" spans="1:21" x14ac:dyDescent="0.2">
      <c r="A190" s="12" t="s">
        <v>253</v>
      </c>
      <c r="B190" s="12" t="s">
        <v>254</v>
      </c>
      <c r="C190" s="11">
        <v>64.000581112520365</v>
      </c>
      <c r="D190" s="3">
        <v>93</v>
      </c>
      <c r="E190" s="12">
        <v>71.822595398676214</v>
      </c>
      <c r="F190" s="12">
        <v>48.819462036341598</v>
      </c>
      <c r="G190" s="12">
        <v>70.721208958498053</v>
      </c>
      <c r="H190" s="12">
        <v>77.894350700525436</v>
      </c>
      <c r="I190" s="12">
        <v>70.815871091133573</v>
      </c>
      <c r="J190" s="12">
        <v>96.023942833928018</v>
      </c>
      <c r="K190" s="12">
        <v>86.687342680360373</v>
      </c>
      <c r="L190" s="12">
        <v>63.813560551029816</v>
      </c>
      <c r="M190" s="12">
        <v>27.490567570497536</v>
      </c>
      <c r="N190" s="12">
        <v>26.052388614521799</v>
      </c>
      <c r="O190" s="12">
        <v>59.842047840347504</v>
      </c>
      <c r="P190" s="12">
        <v>68.817519696344363</v>
      </c>
      <c r="Q190" s="12">
        <v>85.555950622740028</v>
      </c>
      <c r="R190" s="12">
        <v>45.665164372661032</v>
      </c>
      <c r="S190" s="12">
        <v>76.418224735088927</v>
      </c>
      <c r="T190" s="12">
        <v>37.272517925362187</v>
      </c>
      <c r="U190" s="12">
        <v>74.297163284790003</v>
      </c>
    </row>
    <row r="191" spans="1:21" x14ac:dyDescent="0.2">
      <c r="A191" s="12" t="s">
        <v>129</v>
      </c>
      <c r="B191" s="12" t="s">
        <v>130</v>
      </c>
      <c r="C191" s="11">
        <v>69.669595490014586</v>
      </c>
      <c r="D191" s="3">
        <v>57</v>
      </c>
      <c r="E191" s="12">
        <v>99.214963519663883</v>
      </c>
      <c r="F191" s="12">
        <v>66.327075989004285</v>
      </c>
      <c r="G191" s="12">
        <v>74.602765426777651</v>
      </c>
      <c r="H191" s="12">
        <v>80.736082978505991</v>
      </c>
      <c r="I191" s="12">
        <v>79.821176026476692</v>
      </c>
      <c r="J191" s="12">
        <v>88.429835769274916</v>
      </c>
      <c r="K191" s="12">
        <v>71.527813420686854</v>
      </c>
      <c r="L191" s="12">
        <v>73.072434977425743</v>
      </c>
      <c r="M191" s="12">
        <v>25.426478697673648</v>
      </c>
      <c r="N191" s="12">
        <v>78.402901183622845</v>
      </c>
      <c r="O191" s="12">
        <v>68.856479542765584</v>
      </c>
      <c r="P191" s="12">
        <v>72.832129770012699</v>
      </c>
      <c r="Q191" s="12">
        <v>79.423458182747765</v>
      </c>
      <c r="R191" s="12">
        <v>47.339881800296318</v>
      </c>
      <c r="S191" s="12">
        <v>44.922936905759556</v>
      </c>
      <c r="T191" s="12">
        <v>63.356970711215837</v>
      </c>
      <c r="U191" s="12">
        <v>70.089738428338023</v>
      </c>
    </row>
    <row r="192" spans="1:21" x14ac:dyDescent="0.2">
      <c r="A192" s="12" t="s">
        <v>345</v>
      </c>
      <c r="B192" s="12" t="s">
        <v>346</v>
      </c>
      <c r="C192" s="11">
        <v>45.657507620114885</v>
      </c>
      <c r="D192" s="3">
        <v>152</v>
      </c>
      <c r="E192" s="12">
        <v>33.737578277776521</v>
      </c>
      <c r="F192" s="12">
        <v>21.162074918714797</v>
      </c>
      <c r="G192" s="12">
        <v>46.685988789641442</v>
      </c>
      <c r="H192" s="12">
        <v>34.759504602354795</v>
      </c>
      <c r="I192" s="12">
        <v>15.011826201716655</v>
      </c>
      <c r="J192" s="12">
        <v>41.833045977356633</v>
      </c>
      <c r="K192" s="12">
        <v>54.552034190100109</v>
      </c>
      <c r="L192" s="12">
        <v>11.95048823227536</v>
      </c>
      <c r="M192" s="12">
        <v>6.7509660516411047</v>
      </c>
      <c r="N192" s="12">
        <v>62.484379277144349</v>
      </c>
      <c r="O192" s="12">
        <v>49.181618474807408</v>
      </c>
      <c r="P192" s="12">
        <v>71.947320054079483</v>
      </c>
      <c r="Q192" s="12">
        <v>95.930440096236168</v>
      </c>
      <c r="R192" s="12">
        <v>59.930811282830668</v>
      </c>
      <c r="S192" s="12">
        <v>60.048814482402406</v>
      </c>
      <c r="T192" s="12">
        <v>43.695795157154663</v>
      </c>
      <c r="U192" s="12">
        <v>66.514943475720528</v>
      </c>
    </row>
    <row r="193" spans="1:21" x14ac:dyDescent="0.2">
      <c r="A193" s="12" t="s">
        <v>309</v>
      </c>
      <c r="B193" s="12" t="s">
        <v>310</v>
      </c>
      <c r="C193" s="11">
        <v>53.128743244939379</v>
      </c>
      <c r="D193" s="3">
        <v>129</v>
      </c>
      <c r="E193" s="12">
        <v>28.004378189300681</v>
      </c>
      <c r="F193" s="12">
        <v>34.889353753101751</v>
      </c>
      <c r="G193" s="12">
        <v>49.858549617284588</v>
      </c>
      <c r="H193" s="12">
        <v>63.857898916476877</v>
      </c>
      <c r="I193" s="12">
        <v>66.326000543115953</v>
      </c>
      <c r="J193" s="12">
        <v>64.690642015557785</v>
      </c>
      <c r="K193" s="12">
        <v>42.513403759557548</v>
      </c>
      <c r="L193" s="12">
        <v>54.446280756872994</v>
      </c>
      <c r="M193" s="12">
        <v>15.96421083138739</v>
      </c>
      <c r="N193" s="12">
        <v>45.198308549028702</v>
      </c>
      <c r="O193" s="12">
        <v>63.575872753951046</v>
      </c>
      <c r="P193" s="12">
        <v>77.667833934332776</v>
      </c>
      <c r="Q193" s="12">
        <v>84.890587964217914</v>
      </c>
      <c r="R193" s="12">
        <v>48.160238987946016</v>
      </c>
      <c r="S193" s="12">
        <v>67.780774042793297</v>
      </c>
      <c r="T193" s="12">
        <v>44.782335634035086</v>
      </c>
      <c r="U193" s="12">
        <v>50.581964915009046</v>
      </c>
    </row>
    <row r="194" spans="1:21" x14ac:dyDescent="0.2">
      <c r="A194" s="12" t="s">
        <v>295</v>
      </c>
      <c r="B194" s="12" t="s">
        <v>296</v>
      </c>
      <c r="C194" s="11">
        <v>58.760057318701428</v>
      </c>
      <c r="D194" s="3">
        <v>115</v>
      </c>
      <c r="E194" s="12">
        <v>65.056999000312487</v>
      </c>
      <c r="F194" s="12">
        <v>32.36567709885896</v>
      </c>
      <c r="G194" s="12">
        <v>47.91146508488702</v>
      </c>
      <c r="H194" s="12">
        <v>66.264141799903342</v>
      </c>
      <c r="I194" s="12">
        <v>78.744902939713697</v>
      </c>
      <c r="J194" s="12">
        <v>62.942927542212161</v>
      </c>
      <c r="K194" s="12">
        <v>39.216954073929323</v>
      </c>
      <c r="L194" s="12">
        <v>59.267320376604943</v>
      </c>
      <c r="M194" s="12">
        <v>14.784410248129889</v>
      </c>
      <c r="N194" s="12">
        <v>56.077273212298287</v>
      </c>
      <c r="O194" s="12">
        <v>75.502298412121931</v>
      </c>
      <c r="P194" s="12">
        <v>77.725664959616097</v>
      </c>
      <c r="Q194" s="12">
        <v>85.381734801753538</v>
      </c>
      <c r="R194" s="12">
        <v>48.160238987946016</v>
      </c>
      <c r="S194" s="12">
        <v>67.692470837802688</v>
      </c>
      <c r="T194" s="12">
        <v>44.640896705845691</v>
      </c>
      <c r="U194" s="12">
        <v>77.185598335988232</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U158"/>
  <sheetViews>
    <sheetView workbookViewId="0">
      <selection activeCell="D50" sqref="D50"/>
    </sheetView>
  </sheetViews>
  <sheetFormatPr defaultRowHeight="12.75" x14ac:dyDescent="0.2"/>
  <cols>
    <col min="1" max="1" width="21.140625" customWidth="1"/>
  </cols>
  <sheetData>
    <row r="1" spans="1:21" x14ac:dyDescent="0.2">
      <c r="A1" t="s">
        <v>0</v>
      </c>
      <c r="B1" t="s">
        <v>442</v>
      </c>
      <c r="C1" t="s">
        <v>443</v>
      </c>
      <c r="D1" t="s">
        <v>444</v>
      </c>
      <c r="E1" t="s">
        <v>445</v>
      </c>
      <c r="F1" t="s">
        <v>446</v>
      </c>
      <c r="G1" t="s">
        <v>447</v>
      </c>
      <c r="H1" t="s">
        <v>448</v>
      </c>
      <c r="I1" t="s">
        <v>449</v>
      </c>
      <c r="J1" t="s">
        <v>450</v>
      </c>
      <c r="K1" t="s">
        <v>451</v>
      </c>
      <c r="L1" t="s">
        <v>452</v>
      </c>
      <c r="M1" t="s">
        <v>453</v>
      </c>
      <c r="N1" t="s">
        <v>454</v>
      </c>
      <c r="O1" t="s">
        <v>455</v>
      </c>
      <c r="P1" t="s">
        <v>456</v>
      </c>
      <c r="Q1" t="s">
        <v>457</v>
      </c>
      <c r="R1" t="s">
        <v>458</v>
      </c>
      <c r="S1" t="s">
        <v>459</v>
      </c>
      <c r="T1" t="s">
        <v>460</v>
      </c>
      <c r="U1" t="s">
        <v>461</v>
      </c>
    </row>
    <row r="2" spans="1:21" x14ac:dyDescent="0.2">
      <c r="A2" t="s">
        <v>335</v>
      </c>
      <c r="B2" t="s">
        <v>336</v>
      </c>
      <c r="C2" s="11">
        <v>46.811607360839844</v>
      </c>
      <c r="D2" s="3">
        <v>150</v>
      </c>
      <c r="E2" s="11">
        <v>53.300811767578125</v>
      </c>
      <c r="F2" s="11">
        <v>38.824562072753906</v>
      </c>
      <c r="G2" s="11">
        <v>39.236930847167969</v>
      </c>
      <c r="H2" s="11">
        <v>17.361549377441406</v>
      </c>
      <c r="I2" s="11">
        <v>21.819971084594727</v>
      </c>
      <c r="J2" s="11">
        <v>43.073383331298828</v>
      </c>
      <c r="K2" s="11">
        <v>53.140701293945313</v>
      </c>
      <c r="L2" s="11">
        <v>32.215217590332031</v>
      </c>
      <c r="M2" s="11">
        <v>1.7998454570770264</v>
      </c>
      <c r="N2" s="11">
        <v>93.597755432128906</v>
      </c>
      <c r="O2" s="11">
        <v>38.731819152832031</v>
      </c>
      <c r="P2" s="11">
        <v>82.073905944824219</v>
      </c>
      <c r="Q2" s="11">
        <v>87.292320251464844</v>
      </c>
      <c r="R2" s="11" t="s">
        <v>464</v>
      </c>
      <c r="S2" s="11">
        <v>37.941802978515625</v>
      </c>
      <c r="T2" s="11">
        <v>51.607608795166016</v>
      </c>
      <c r="U2" s="11">
        <v>56.967536926269531</v>
      </c>
    </row>
    <row r="3" spans="1:21" x14ac:dyDescent="0.2">
      <c r="A3" t="s">
        <v>329</v>
      </c>
      <c r="B3" t="s">
        <v>330</v>
      </c>
      <c r="C3" s="11">
        <v>50.184246063232422</v>
      </c>
      <c r="D3" s="3">
        <v>136</v>
      </c>
      <c r="E3" s="11">
        <v>55.042190551757813</v>
      </c>
      <c r="F3" s="11">
        <v>42.7044677734375</v>
      </c>
      <c r="G3" s="11">
        <v>29.590965270996094</v>
      </c>
      <c r="H3" s="11">
        <v>46.737701416015625</v>
      </c>
      <c r="I3" s="11">
        <v>55.206375122070313</v>
      </c>
      <c r="J3" s="11">
        <v>60.073844909667969</v>
      </c>
      <c r="K3" s="11">
        <v>35.088134765625</v>
      </c>
      <c r="L3" s="11">
        <v>50.472846984863281</v>
      </c>
      <c r="M3" s="11">
        <v>9.7067327499389648</v>
      </c>
      <c r="N3" s="11">
        <v>50.839687347412109</v>
      </c>
      <c r="O3" s="11">
        <v>49.453620910644531</v>
      </c>
      <c r="P3" s="11">
        <v>80.602607727050781</v>
      </c>
      <c r="Q3" s="11">
        <v>90.844108581542969</v>
      </c>
      <c r="R3" s="11">
        <v>38.53955078125</v>
      </c>
      <c r="S3" s="11">
        <v>63.014896392822266</v>
      </c>
      <c r="T3" s="11">
        <v>41.996749877929688</v>
      </c>
      <c r="U3" s="11">
        <v>53.217720031738281</v>
      </c>
    </row>
    <row r="4" spans="1:21" x14ac:dyDescent="0.2">
      <c r="A4" t="s">
        <v>127</v>
      </c>
      <c r="B4" t="s">
        <v>128</v>
      </c>
      <c r="C4" s="11">
        <v>68.902557373046875</v>
      </c>
      <c r="D4" s="3">
        <v>63</v>
      </c>
      <c r="E4" s="11">
        <v>99.546638488769531</v>
      </c>
      <c r="F4" s="11">
        <v>39.722190856933594</v>
      </c>
      <c r="G4" s="11">
        <v>78.186607360839844</v>
      </c>
      <c r="H4" s="11">
        <v>85.180168151855469</v>
      </c>
      <c r="I4" s="11">
        <v>52.621856689453125</v>
      </c>
      <c r="J4" s="11">
        <v>92.143836975097656</v>
      </c>
      <c r="K4" s="11">
        <v>78.316665649414063</v>
      </c>
      <c r="L4" s="11">
        <v>56.898994445800781</v>
      </c>
      <c r="M4" s="11">
        <v>24.606424331665039</v>
      </c>
      <c r="N4" s="11">
        <v>90.273399353027344</v>
      </c>
      <c r="O4" s="11">
        <v>85.961433410644531</v>
      </c>
      <c r="P4" s="11">
        <v>72.7572021484375</v>
      </c>
      <c r="Q4" s="11">
        <v>68.174812316894531</v>
      </c>
      <c r="R4" s="11">
        <v>46.25323486328125</v>
      </c>
      <c r="S4" s="11">
        <v>76.145072937011719</v>
      </c>
      <c r="T4" s="11">
        <v>62.479225158691406</v>
      </c>
      <c r="U4" s="11">
        <v>62.075767517089844</v>
      </c>
    </row>
    <row r="5" spans="1:21" x14ac:dyDescent="0.2">
      <c r="A5" t="s">
        <v>177</v>
      </c>
      <c r="B5" t="s">
        <v>178</v>
      </c>
      <c r="C5" s="11">
        <v>66.0067138671875</v>
      </c>
      <c r="D5" s="3">
        <v>77</v>
      </c>
      <c r="E5" s="11">
        <v>99.443809509277344</v>
      </c>
      <c r="F5" s="11">
        <v>63.124290466308594</v>
      </c>
      <c r="G5" s="11">
        <v>87.201522827148438</v>
      </c>
      <c r="H5" s="11">
        <v>83.448814392089844</v>
      </c>
      <c r="I5" s="11">
        <v>57.533885955810547</v>
      </c>
      <c r="J5" s="11">
        <v>50.205333709716797</v>
      </c>
      <c r="K5" s="11">
        <v>82.93011474609375</v>
      </c>
      <c r="L5" s="11">
        <v>84.483169555664063</v>
      </c>
      <c r="M5" s="11">
        <v>61.827968597412109</v>
      </c>
      <c r="N5" s="11" t="s">
        <v>464</v>
      </c>
      <c r="O5" s="11">
        <v>30.731101989746094</v>
      </c>
      <c r="P5" s="11">
        <v>44.511421203613281</v>
      </c>
      <c r="Q5" s="11">
        <v>47.990856170654297</v>
      </c>
      <c r="R5" s="11">
        <v>48.017677307128906</v>
      </c>
      <c r="S5" s="11">
        <v>29.490804672241211</v>
      </c>
      <c r="T5" s="11">
        <v>85.166648864746094</v>
      </c>
      <c r="U5" s="11">
        <v>100</v>
      </c>
    </row>
    <row r="6" spans="1:21" x14ac:dyDescent="0.2">
      <c r="A6" t="s">
        <v>121</v>
      </c>
      <c r="B6" t="s">
        <v>122</v>
      </c>
      <c r="C6" s="11">
        <v>72.452278137207031</v>
      </c>
      <c r="D6" s="3">
        <v>41</v>
      </c>
      <c r="E6" s="11">
        <v>99.81622314453125</v>
      </c>
      <c r="F6" s="11">
        <v>65.332794189453125</v>
      </c>
      <c r="G6" s="11">
        <v>82.761062622070313</v>
      </c>
      <c r="H6" s="11">
        <v>88.730079650878906</v>
      </c>
      <c r="I6" s="11">
        <v>72.908355712890625</v>
      </c>
      <c r="J6" s="11">
        <v>98.4962158203125</v>
      </c>
      <c r="K6" s="11">
        <v>84.399612426757813</v>
      </c>
      <c r="L6" s="11">
        <v>71.69525146484375</v>
      </c>
      <c r="M6" s="11">
        <v>40.510196685791016</v>
      </c>
      <c r="N6" s="11">
        <v>50.982975006103516</v>
      </c>
      <c r="O6" s="11">
        <v>94.832603454589844</v>
      </c>
      <c r="P6" s="11">
        <v>69.855796813964844</v>
      </c>
      <c r="Q6" s="11">
        <v>85.57305908203125</v>
      </c>
      <c r="R6" s="11">
        <v>55.539825439453125</v>
      </c>
      <c r="S6" s="11">
        <v>52.431926727294922</v>
      </c>
      <c r="T6" s="11">
        <v>51.740390777587891</v>
      </c>
      <c r="U6" s="11">
        <v>66.082328796386719</v>
      </c>
    </row>
    <row r="7" spans="1:21" x14ac:dyDescent="0.2">
      <c r="A7" t="s">
        <v>131</v>
      </c>
      <c r="B7" t="s">
        <v>132</v>
      </c>
      <c r="C7" s="11">
        <v>71.719230651855469</v>
      </c>
      <c r="D7" s="3">
        <v>43</v>
      </c>
      <c r="E7" s="11">
        <v>97.85540771484375</v>
      </c>
      <c r="F7" s="11">
        <v>51.86444091796875</v>
      </c>
      <c r="G7" s="11">
        <v>73.739479064941406</v>
      </c>
      <c r="H7" s="11">
        <v>91.100746154785156</v>
      </c>
      <c r="I7" s="11">
        <v>54.560371398925781</v>
      </c>
      <c r="J7" s="11">
        <v>85.501747131347656</v>
      </c>
      <c r="K7" s="11">
        <v>90.297294616699219</v>
      </c>
      <c r="L7" s="11">
        <v>46.982406616210938</v>
      </c>
      <c r="M7" s="11">
        <v>26.359039306640625</v>
      </c>
      <c r="N7" s="11">
        <v>83.051528930664063</v>
      </c>
      <c r="O7" s="11">
        <v>90.590789794921875</v>
      </c>
      <c r="P7" s="11">
        <v>79.070999145507813</v>
      </c>
      <c r="Q7" s="11">
        <v>89.314453125</v>
      </c>
      <c r="R7" s="11" t="s">
        <v>464</v>
      </c>
      <c r="S7" s="11">
        <v>57.341968536376953</v>
      </c>
      <c r="T7" s="11">
        <v>69.825973510742188</v>
      </c>
      <c r="U7" s="11">
        <v>60.051063537597656</v>
      </c>
    </row>
    <row r="8" spans="1:21" x14ac:dyDescent="0.2">
      <c r="A8" t="s">
        <v>99</v>
      </c>
      <c r="B8" t="s">
        <v>100</v>
      </c>
      <c r="C8" s="11">
        <v>75.874809265136719</v>
      </c>
      <c r="D8" s="3">
        <v>26</v>
      </c>
      <c r="E8" s="11">
        <v>99.711135864257813</v>
      </c>
      <c r="F8" s="11">
        <v>59.290279388427734</v>
      </c>
      <c r="G8" s="11">
        <v>95.171974182128906</v>
      </c>
      <c r="H8" s="11">
        <v>96.47210693359375</v>
      </c>
      <c r="I8" s="11">
        <v>78.386207580566406</v>
      </c>
      <c r="J8" s="11">
        <v>97.512825012207031</v>
      </c>
      <c r="K8" s="11">
        <v>84.062042236328125</v>
      </c>
      <c r="L8" s="11">
        <v>81.788139343261719</v>
      </c>
      <c r="M8" s="11">
        <v>83.212539672851563</v>
      </c>
      <c r="N8" s="11">
        <v>73.135780334472656</v>
      </c>
      <c r="O8" s="11">
        <v>100</v>
      </c>
      <c r="P8" s="11">
        <v>50.735107421875</v>
      </c>
      <c r="Q8" s="11">
        <v>30.144248962402344</v>
      </c>
      <c r="R8" s="11">
        <v>59.862941741943359</v>
      </c>
      <c r="S8" s="11">
        <v>54.977664947509766</v>
      </c>
      <c r="T8" s="11">
        <v>81.136581420898438</v>
      </c>
      <c r="U8" s="11">
        <v>64.272125244140625</v>
      </c>
    </row>
    <row r="9" spans="1:21" x14ac:dyDescent="0.2">
      <c r="A9" t="s">
        <v>29</v>
      </c>
      <c r="B9" t="s">
        <v>30</v>
      </c>
      <c r="C9" s="11">
        <v>81.417106628417969</v>
      </c>
      <c r="D9" s="3">
        <v>7</v>
      </c>
      <c r="E9" s="11">
        <v>99.439987182617188</v>
      </c>
      <c r="F9" s="11">
        <v>76.282005310058594</v>
      </c>
      <c r="G9" s="11">
        <v>93.827796936035156</v>
      </c>
      <c r="H9" s="11">
        <v>82.4715576171875</v>
      </c>
      <c r="I9" s="11">
        <v>75.694740295410156</v>
      </c>
      <c r="J9" s="11">
        <v>95.673934936523438</v>
      </c>
      <c r="K9" s="11">
        <v>89.677200317382813</v>
      </c>
      <c r="L9" s="11">
        <v>87.862594604492188</v>
      </c>
      <c r="M9" s="11">
        <v>76.223297119140625</v>
      </c>
      <c r="N9" s="11">
        <v>85.917350769042969</v>
      </c>
      <c r="O9" s="11">
        <v>93.556381225585938</v>
      </c>
      <c r="P9" s="11">
        <v>51.809917449951172</v>
      </c>
      <c r="Q9" s="11">
        <v>76.776252746582031</v>
      </c>
      <c r="R9" s="11" t="s">
        <v>464</v>
      </c>
      <c r="S9" s="11">
        <v>68.274581909179688</v>
      </c>
      <c r="T9" s="11">
        <v>86.477264404296875</v>
      </c>
      <c r="U9" s="11">
        <v>62.708889007568359</v>
      </c>
    </row>
    <row r="10" spans="1:21" x14ac:dyDescent="0.2">
      <c r="A10" t="s">
        <v>125</v>
      </c>
      <c r="B10" t="s">
        <v>126</v>
      </c>
      <c r="C10" s="11">
        <v>70.809410095214844</v>
      </c>
      <c r="D10" s="3">
        <v>48</v>
      </c>
      <c r="E10" s="11">
        <v>99.705154418945313</v>
      </c>
      <c r="F10" s="11">
        <v>52.807292938232422</v>
      </c>
      <c r="G10" s="11">
        <v>74.015922546386719</v>
      </c>
      <c r="H10" s="11">
        <v>89.374755859375</v>
      </c>
      <c r="I10" s="11">
        <v>53.688213348388672</v>
      </c>
      <c r="J10" s="11">
        <v>80.910659790039063</v>
      </c>
      <c r="K10" s="11">
        <v>84.119781494140625</v>
      </c>
      <c r="L10" s="11">
        <v>57.554122924804688</v>
      </c>
      <c r="M10" s="11">
        <v>37.669605255126953</v>
      </c>
      <c r="N10" s="11">
        <v>82.163116455078125</v>
      </c>
      <c r="O10" s="11">
        <v>82.427810668945313</v>
      </c>
      <c r="P10" s="11">
        <v>77.037361145019531</v>
      </c>
      <c r="Q10" s="11">
        <v>80.258087158203125</v>
      </c>
      <c r="R10" s="11" t="s">
        <v>464</v>
      </c>
      <c r="S10" s="11">
        <v>63.688095092773438</v>
      </c>
      <c r="T10" s="11">
        <v>62.097923278808594</v>
      </c>
      <c r="U10" s="11">
        <v>55.432636260986328</v>
      </c>
    </row>
    <row r="11" spans="1:21" x14ac:dyDescent="0.2">
      <c r="A11" t="s">
        <v>313</v>
      </c>
      <c r="B11" t="s">
        <v>314</v>
      </c>
      <c r="C11" s="11">
        <v>51.766719818115234</v>
      </c>
      <c r="D11" s="3">
        <v>132</v>
      </c>
      <c r="E11" s="11">
        <v>0</v>
      </c>
      <c r="F11" s="11">
        <v>41.990116119384766</v>
      </c>
      <c r="G11" s="11">
        <v>53.093273162841797</v>
      </c>
      <c r="H11" s="11">
        <v>56.849365234375</v>
      </c>
      <c r="I11" s="11">
        <v>64.253700256347656</v>
      </c>
      <c r="J11" s="11">
        <v>72.940017700195313</v>
      </c>
      <c r="K11" s="11">
        <v>1.6766632637940822E-14</v>
      </c>
      <c r="L11" s="11">
        <v>40.632930755615234</v>
      </c>
      <c r="M11" s="11">
        <v>3.8416390419006348</v>
      </c>
      <c r="N11" s="11">
        <v>77.663780212402344</v>
      </c>
      <c r="O11" s="11">
        <v>54.022762298583984</v>
      </c>
      <c r="P11" s="11">
        <v>83.093215942382813</v>
      </c>
      <c r="Q11" s="11">
        <v>78.5736083984375</v>
      </c>
      <c r="R11" s="11" t="s">
        <v>464</v>
      </c>
      <c r="S11" s="11">
        <v>72.857772827148438</v>
      </c>
      <c r="T11" s="11">
        <v>53.325836181640625</v>
      </c>
      <c r="U11" s="11">
        <v>75.1295166015625</v>
      </c>
    </row>
    <row r="12" spans="1:21" x14ac:dyDescent="0.2">
      <c r="A12" t="s">
        <v>57</v>
      </c>
      <c r="B12" t="s">
        <v>58</v>
      </c>
      <c r="C12" s="11">
        <v>79.9595947265625</v>
      </c>
      <c r="D12" s="3">
        <v>12</v>
      </c>
      <c r="E12" s="11">
        <v>99.555999755859375</v>
      </c>
      <c r="F12" s="11">
        <v>80.418380737304688</v>
      </c>
      <c r="G12" s="11">
        <v>93.325691223144531</v>
      </c>
      <c r="H12" s="11">
        <v>90.131790161132813</v>
      </c>
      <c r="I12" s="11">
        <v>82.997390747070313</v>
      </c>
      <c r="J12" s="11">
        <v>84.631889343261719</v>
      </c>
      <c r="K12" s="11">
        <v>87.126358032226563</v>
      </c>
      <c r="L12" s="11">
        <v>80.843650817871094</v>
      </c>
      <c r="M12" s="11">
        <v>74.760604858398438</v>
      </c>
      <c r="N12" s="11">
        <v>94.199577331542969</v>
      </c>
      <c r="O12" s="11">
        <v>94.423789978027344</v>
      </c>
      <c r="P12" s="11">
        <v>52.750900268554688</v>
      </c>
      <c r="Q12" s="11">
        <v>75.04925537109375</v>
      </c>
      <c r="R12" s="11">
        <v>58.793861389160156</v>
      </c>
      <c r="S12" s="11">
        <v>64.808418273925781</v>
      </c>
      <c r="T12" s="11">
        <v>82.622642517089844</v>
      </c>
      <c r="U12" s="11">
        <v>62.872859954833984</v>
      </c>
    </row>
    <row r="13" spans="1:21" x14ac:dyDescent="0.2">
      <c r="A13" t="s">
        <v>299</v>
      </c>
      <c r="B13" t="s">
        <v>300</v>
      </c>
      <c r="C13" s="11">
        <v>49.465438842773438</v>
      </c>
      <c r="D13" s="3">
        <v>142</v>
      </c>
      <c r="E13" s="11">
        <v>46.534355163574219</v>
      </c>
      <c r="F13" s="11">
        <v>49.888694763183594</v>
      </c>
      <c r="G13" s="11">
        <v>47.706840515136719</v>
      </c>
      <c r="H13" s="11">
        <v>38.391910552978516</v>
      </c>
      <c r="I13" s="11">
        <v>36.697074890136719</v>
      </c>
      <c r="J13" s="11">
        <v>61.840240478515625</v>
      </c>
      <c r="K13" s="11">
        <v>10.589743614196777</v>
      </c>
      <c r="L13" s="11">
        <v>61.785144805908203</v>
      </c>
      <c r="M13" s="11">
        <v>6.1600227355957031</v>
      </c>
      <c r="N13" s="11">
        <v>48.776290893554688</v>
      </c>
      <c r="O13" s="11">
        <v>50.855304718017578</v>
      </c>
      <c r="P13" s="11">
        <v>81.330657958984375</v>
      </c>
      <c r="Q13" s="11">
        <v>79.259513854980469</v>
      </c>
      <c r="R13" s="11">
        <v>26.44810676574707</v>
      </c>
      <c r="S13" s="11">
        <v>77.554763793945313</v>
      </c>
      <c r="T13" s="11">
        <v>59.314533233642578</v>
      </c>
      <c r="U13" s="11">
        <v>57.779258728027344</v>
      </c>
    </row>
    <row r="14" spans="1:21" x14ac:dyDescent="0.2">
      <c r="A14" t="s">
        <v>325</v>
      </c>
      <c r="B14" t="s">
        <v>326</v>
      </c>
      <c r="C14" s="11">
        <v>49.902336120605469</v>
      </c>
      <c r="D14" s="3">
        <v>138</v>
      </c>
      <c r="E14" s="11">
        <v>70.305084228515625</v>
      </c>
      <c r="F14" s="11">
        <v>33.996818542480469</v>
      </c>
      <c r="G14" s="11">
        <v>44.309127807617188</v>
      </c>
      <c r="H14" s="11">
        <v>15.467443466186523</v>
      </c>
      <c r="I14" s="11">
        <v>35.080924987792969</v>
      </c>
      <c r="J14" s="11">
        <v>64.068359375</v>
      </c>
      <c r="K14" s="11">
        <v>7.2150125503540039</v>
      </c>
      <c r="L14" s="11">
        <v>33.787467956542969</v>
      </c>
      <c r="M14" s="11">
        <v>9.6095962524414063</v>
      </c>
      <c r="N14" s="11">
        <v>72.104087829589844</v>
      </c>
      <c r="O14" s="11">
        <v>44.006999969482422</v>
      </c>
      <c r="P14" s="11">
        <v>80.424636840820313</v>
      </c>
      <c r="Q14" s="11">
        <v>86.639106750488281</v>
      </c>
      <c r="R14" s="11" t="s">
        <v>464</v>
      </c>
      <c r="S14" s="11">
        <v>81.367027282714844</v>
      </c>
      <c r="T14" s="11">
        <v>61.081211090087891</v>
      </c>
      <c r="U14" s="11">
        <v>58.974460601806641</v>
      </c>
    </row>
    <row r="15" spans="1:21" x14ac:dyDescent="0.2">
      <c r="A15" t="s">
        <v>221</v>
      </c>
      <c r="B15" t="s">
        <v>222</v>
      </c>
      <c r="C15" s="11">
        <v>56.207557678222656</v>
      </c>
      <c r="D15" s="3">
        <v>120</v>
      </c>
      <c r="E15" s="11">
        <v>94.397674560546875</v>
      </c>
      <c r="F15" s="11">
        <v>42.791820526123047</v>
      </c>
      <c r="G15" s="11">
        <v>58.704574584960938</v>
      </c>
      <c r="H15" s="11">
        <v>47.980186462402344</v>
      </c>
      <c r="I15" s="11">
        <v>62.735065460205078</v>
      </c>
      <c r="J15" s="11">
        <v>79.833206176757813</v>
      </c>
      <c r="K15" s="11">
        <v>44.128887176513672</v>
      </c>
      <c r="L15" s="11">
        <v>62.196887969970703</v>
      </c>
      <c r="M15" s="11">
        <v>12.454716682434082</v>
      </c>
      <c r="N15" s="11">
        <v>81.188743591308594</v>
      </c>
      <c r="O15" s="11">
        <v>13.967458724975586</v>
      </c>
      <c r="P15" s="11">
        <v>77.49249267578125</v>
      </c>
      <c r="Q15" s="11">
        <v>75.291244506835938</v>
      </c>
      <c r="R15" s="11">
        <v>46.511524200439453</v>
      </c>
      <c r="S15" s="11">
        <v>55.194160461425781</v>
      </c>
      <c r="T15" s="11">
        <v>58.463676452636719</v>
      </c>
      <c r="U15" s="11">
        <v>42.196151733398438</v>
      </c>
    </row>
    <row r="16" spans="1:21" x14ac:dyDescent="0.2">
      <c r="A16" t="s">
        <v>107</v>
      </c>
      <c r="B16" t="s">
        <v>108</v>
      </c>
      <c r="C16" s="11">
        <v>72.510429382324219</v>
      </c>
      <c r="D16" s="3">
        <v>40</v>
      </c>
      <c r="E16" s="11">
        <v>98.371749877929688</v>
      </c>
      <c r="F16" s="11">
        <v>53.315994262695313</v>
      </c>
      <c r="G16" s="11">
        <v>77.073860168457031</v>
      </c>
      <c r="H16" s="11">
        <v>86.47674560546875</v>
      </c>
      <c r="I16" s="11">
        <v>65.356689453125</v>
      </c>
      <c r="J16" s="11">
        <v>86.906936645507813</v>
      </c>
      <c r="K16" s="11">
        <v>86.494583129882813</v>
      </c>
      <c r="L16" s="11">
        <v>63.623062133789063</v>
      </c>
      <c r="M16" s="11">
        <v>37.076450347900391</v>
      </c>
      <c r="N16" s="11">
        <v>70.069351196289063</v>
      </c>
      <c r="O16" s="11">
        <v>86.407646179199219</v>
      </c>
      <c r="P16" s="11">
        <v>66.0799560546875</v>
      </c>
      <c r="Q16" s="11">
        <v>82.358734130859375</v>
      </c>
      <c r="R16" s="11">
        <v>53.688186645507813</v>
      </c>
      <c r="S16" s="11">
        <v>90.436363220214844</v>
      </c>
      <c r="T16" s="11">
        <v>61.213832855224609</v>
      </c>
      <c r="U16" s="11">
        <v>67.727149963378906</v>
      </c>
    </row>
    <row r="17" spans="1:21" x14ac:dyDescent="0.2">
      <c r="A17" t="s">
        <v>241</v>
      </c>
      <c r="B17" t="s">
        <v>242</v>
      </c>
      <c r="C17" s="11">
        <v>64.592376708984375</v>
      </c>
      <c r="D17" s="3">
        <v>92</v>
      </c>
      <c r="E17" s="11">
        <v>98.94659423828125</v>
      </c>
      <c r="F17" s="11">
        <v>63.593986511230469</v>
      </c>
      <c r="G17" s="11">
        <v>89.866172790527344</v>
      </c>
      <c r="H17" s="11">
        <v>82.254058837890625</v>
      </c>
      <c r="I17" s="11">
        <v>48.017173767089844</v>
      </c>
      <c r="J17" s="11">
        <v>49.772727966308594</v>
      </c>
      <c r="K17" s="11">
        <v>88.558746337890625</v>
      </c>
      <c r="L17" s="11">
        <v>79.098747253417969</v>
      </c>
      <c r="M17" s="11">
        <v>49.460445404052734</v>
      </c>
      <c r="N17" s="11" t="s">
        <v>464</v>
      </c>
      <c r="O17" s="11">
        <v>70.198265075683594</v>
      </c>
      <c r="P17" s="11">
        <v>73.856544494628906</v>
      </c>
      <c r="Q17" s="11">
        <v>50</v>
      </c>
      <c r="R17" s="11">
        <v>31.055471420288086</v>
      </c>
      <c r="S17" s="11">
        <v>40.280025482177734</v>
      </c>
      <c r="T17" s="11">
        <v>70.470901489257813</v>
      </c>
      <c r="U17" s="11">
        <v>48.048126220703125</v>
      </c>
    </row>
    <row r="18" spans="1:21" x14ac:dyDescent="0.2">
      <c r="A18" t="s">
        <v>113</v>
      </c>
      <c r="B18" t="s">
        <v>114</v>
      </c>
      <c r="C18" s="11">
        <v>65.45294189453125</v>
      </c>
      <c r="D18" s="3">
        <v>84</v>
      </c>
      <c r="E18" s="11">
        <v>99.954635620117188</v>
      </c>
      <c r="F18" s="11">
        <v>54.488601684570313</v>
      </c>
      <c r="G18" s="11">
        <v>78.090301513671875</v>
      </c>
      <c r="H18" s="11">
        <v>80.287002563476563</v>
      </c>
      <c r="I18" s="11">
        <v>39.238193511962891</v>
      </c>
      <c r="J18" s="11">
        <v>97.962554931640625</v>
      </c>
      <c r="K18" s="11">
        <v>65.732070922851563</v>
      </c>
      <c r="L18" s="11">
        <v>49.406684875488281</v>
      </c>
      <c r="M18" s="11">
        <v>24.373855590820313</v>
      </c>
      <c r="N18" s="11">
        <v>76.316848754882813</v>
      </c>
      <c r="O18" s="11">
        <v>72.174507141113281</v>
      </c>
      <c r="P18" s="11">
        <v>72.265235900878906</v>
      </c>
      <c r="Q18" s="11">
        <v>86.167617797851563</v>
      </c>
      <c r="R18" s="11">
        <v>11.619606971740723</v>
      </c>
      <c r="S18" s="11">
        <v>59.635360717773438</v>
      </c>
      <c r="T18" s="11">
        <v>62.847339630126953</v>
      </c>
      <c r="U18" s="11">
        <v>82.13958740234375</v>
      </c>
    </row>
    <row r="19" spans="1:21" x14ac:dyDescent="0.2">
      <c r="A19" t="s">
        <v>87</v>
      </c>
      <c r="B19" t="s">
        <v>88</v>
      </c>
      <c r="C19" s="11">
        <v>77.121612548828125</v>
      </c>
      <c r="D19" s="3">
        <v>21</v>
      </c>
      <c r="E19" s="11">
        <v>99.909042358398438</v>
      </c>
      <c r="F19" s="11">
        <v>51.599971771240234</v>
      </c>
      <c r="G19" s="11">
        <v>80.669349670410156</v>
      </c>
      <c r="H19" s="11">
        <v>92.677131652832031</v>
      </c>
      <c r="I19" s="11">
        <v>76.261581420898438</v>
      </c>
      <c r="J19" s="11">
        <v>95.946510314941406</v>
      </c>
      <c r="K19" s="11">
        <v>82.40087890625</v>
      </c>
      <c r="L19" s="11">
        <v>90.029472351074219</v>
      </c>
      <c r="M19" s="11">
        <v>30.980180740356445</v>
      </c>
      <c r="N19" s="11">
        <v>95.374557495117188</v>
      </c>
      <c r="O19" s="11">
        <v>91.557609558105469</v>
      </c>
      <c r="P19" s="11">
        <v>67.573616027832031</v>
      </c>
      <c r="Q19" s="11">
        <v>88.716331481933594</v>
      </c>
      <c r="R19" s="11" t="s">
        <v>464</v>
      </c>
      <c r="S19" s="11">
        <v>69.118576049804688</v>
      </c>
      <c r="T19" s="11">
        <v>60.552509307861328</v>
      </c>
      <c r="U19" s="11">
        <v>60.578433990478516</v>
      </c>
    </row>
    <row r="20" spans="1:21" x14ac:dyDescent="0.2">
      <c r="A20" t="s">
        <v>233</v>
      </c>
      <c r="B20" t="s">
        <v>234</v>
      </c>
      <c r="C20" s="11">
        <v>66.023544311523438</v>
      </c>
      <c r="D20" s="3">
        <v>76</v>
      </c>
      <c r="E20" s="11">
        <v>87.324600219726563</v>
      </c>
      <c r="F20" s="11">
        <v>57.086879730224609</v>
      </c>
      <c r="G20" s="11">
        <v>79.785423278808594</v>
      </c>
      <c r="H20" s="11">
        <v>83.033538818359375</v>
      </c>
      <c r="I20" s="11">
        <v>54.877372741699219</v>
      </c>
      <c r="J20" s="11">
        <v>92.188499450683594</v>
      </c>
      <c r="K20" s="11">
        <v>88.648269653320313</v>
      </c>
      <c r="L20" s="11">
        <v>70.931747436523438</v>
      </c>
      <c r="M20" s="11">
        <v>26.965736389160156</v>
      </c>
      <c r="N20" s="11" t="s">
        <v>464</v>
      </c>
      <c r="O20" s="11">
        <v>83.863571166992188</v>
      </c>
      <c r="P20" s="11">
        <v>63.783180236816406</v>
      </c>
      <c r="Q20" s="11">
        <v>80.107109069824219</v>
      </c>
      <c r="R20" s="11">
        <v>29.073402404785156</v>
      </c>
      <c r="S20" s="11">
        <v>43.022846221923828</v>
      </c>
      <c r="T20" s="11">
        <v>42.461635589599609</v>
      </c>
      <c r="U20" s="11">
        <v>73.222869873046875</v>
      </c>
    </row>
    <row r="21" spans="1:21" x14ac:dyDescent="0.2">
      <c r="A21" t="s">
        <v>193</v>
      </c>
      <c r="B21" t="s">
        <v>194</v>
      </c>
      <c r="C21" s="11">
        <v>64.693504333496094</v>
      </c>
      <c r="D21" s="3">
        <v>90</v>
      </c>
      <c r="E21" s="11">
        <v>93.983230590820313</v>
      </c>
      <c r="F21" s="11">
        <v>51.499462127685547</v>
      </c>
      <c r="G21" s="11">
        <v>67.676490783691406</v>
      </c>
      <c r="H21" s="11">
        <v>53.752754211425781</v>
      </c>
      <c r="I21" s="11">
        <v>73.168312072753906</v>
      </c>
      <c r="J21" s="11">
        <v>80.611679077148438</v>
      </c>
      <c r="K21" s="11">
        <v>66.425506591796875</v>
      </c>
      <c r="L21" s="11">
        <v>51.227931976318359</v>
      </c>
      <c r="M21" s="11">
        <v>17.111515045166016</v>
      </c>
      <c r="N21" s="11">
        <v>34.561813354492188</v>
      </c>
      <c r="O21" s="11">
        <v>85.055877685546875</v>
      </c>
      <c r="P21" s="11">
        <v>75.320808410644531</v>
      </c>
      <c r="Q21" s="11">
        <v>87.423553466796875</v>
      </c>
      <c r="R21" s="11" t="s">
        <v>464</v>
      </c>
      <c r="S21" s="11">
        <v>72.727188110351563</v>
      </c>
      <c r="T21" s="11">
        <v>47.259391784667969</v>
      </c>
      <c r="U21" s="11">
        <v>77.290512084960938</v>
      </c>
    </row>
    <row r="22" spans="1:21" x14ac:dyDescent="0.2">
      <c r="A22" t="s">
        <v>119</v>
      </c>
      <c r="B22" t="s">
        <v>120</v>
      </c>
      <c r="C22" s="11">
        <v>69.506729125976563</v>
      </c>
      <c r="D22" s="3">
        <v>56</v>
      </c>
      <c r="E22" s="11">
        <v>94.600784301757813</v>
      </c>
      <c r="F22" s="11">
        <v>65.574462890625</v>
      </c>
      <c r="G22" s="11">
        <v>77.803329467773438</v>
      </c>
      <c r="H22" s="11">
        <v>76.960296630859375</v>
      </c>
      <c r="I22" s="11">
        <v>67.237808227539063</v>
      </c>
      <c r="J22" s="11">
        <v>93.915199279785156</v>
      </c>
      <c r="K22" s="11">
        <v>89.658973693847656</v>
      </c>
      <c r="L22" s="11">
        <v>61.303043365478516</v>
      </c>
      <c r="M22" s="11">
        <v>46.227130889892578</v>
      </c>
      <c r="N22" s="11">
        <v>25.735080718994141</v>
      </c>
      <c r="O22" s="11">
        <v>95.792098999023438</v>
      </c>
      <c r="P22" s="11">
        <v>70.267120361328125</v>
      </c>
      <c r="Q22" s="11">
        <v>87.202407836914063</v>
      </c>
      <c r="R22" s="11">
        <v>60.721969604492188</v>
      </c>
      <c r="S22" s="11">
        <v>58.178424835205078</v>
      </c>
      <c r="T22" s="11">
        <v>43.956615447998047</v>
      </c>
      <c r="U22" s="11">
        <v>66.4796142578125</v>
      </c>
    </row>
    <row r="23" spans="1:21" x14ac:dyDescent="0.2">
      <c r="A23" t="s">
        <v>187</v>
      </c>
      <c r="B23" t="s">
        <v>188</v>
      </c>
      <c r="C23" s="11">
        <v>65.978569030761719</v>
      </c>
      <c r="D23" s="3">
        <v>78</v>
      </c>
      <c r="E23" s="11">
        <v>98.159866333007813</v>
      </c>
      <c r="F23" s="11">
        <v>51.749378204345703</v>
      </c>
      <c r="G23" s="11">
        <v>88.787590026855469</v>
      </c>
      <c r="H23" s="11">
        <v>77.505874633789063</v>
      </c>
      <c r="I23" s="11">
        <v>70.972198486328125</v>
      </c>
      <c r="J23" s="11">
        <v>65.633224487304688</v>
      </c>
      <c r="K23" s="11">
        <v>99.911918640136719</v>
      </c>
      <c r="L23" s="11">
        <v>72.043167114257813</v>
      </c>
      <c r="M23" s="11">
        <v>52.053096771240234</v>
      </c>
      <c r="N23" s="11">
        <v>38.573966979980469</v>
      </c>
      <c r="O23" s="11">
        <v>94.326942443847656</v>
      </c>
      <c r="P23" s="11">
        <v>53.602329254150391</v>
      </c>
      <c r="Q23" s="11">
        <v>62.083572387695313</v>
      </c>
      <c r="R23" s="11">
        <v>37.009128570556641</v>
      </c>
      <c r="S23" s="11">
        <v>37.84515380859375</v>
      </c>
      <c r="T23" s="11">
        <v>62.300514221191406</v>
      </c>
      <c r="U23" s="11">
        <v>59.077705383300781</v>
      </c>
    </row>
    <row r="24" spans="1:21" x14ac:dyDescent="0.2">
      <c r="A24" t="s">
        <v>141</v>
      </c>
      <c r="B24" t="s">
        <v>142</v>
      </c>
      <c r="C24" s="11">
        <v>65.507301330566406</v>
      </c>
      <c r="D24" s="3">
        <v>83</v>
      </c>
      <c r="E24" s="11">
        <v>99.869667053222656</v>
      </c>
      <c r="F24" s="11">
        <v>46.031818389892578</v>
      </c>
      <c r="G24" s="11">
        <v>72.264938354492188</v>
      </c>
      <c r="H24" s="11">
        <v>53.867687225341797</v>
      </c>
      <c r="I24" s="11">
        <v>48.880275726318359</v>
      </c>
      <c r="J24" s="11">
        <v>76.710968017578125</v>
      </c>
      <c r="K24" s="11">
        <v>80.947113037109375</v>
      </c>
      <c r="L24" s="11">
        <v>58.717678070068359</v>
      </c>
      <c r="M24" s="11">
        <v>25.04847526550293</v>
      </c>
      <c r="N24" s="11">
        <v>62.045051574707031</v>
      </c>
      <c r="O24" s="11">
        <v>59.691032409667969</v>
      </c>
      <c r="P24" s="11">
        <v>74.474205017089844</v>
      </c>
      <c r="Q24" s="11">
        <v>91.14508056640625</v>
      </c>
      <c r="R24" s="11" t="s">
        <v>464</v>
      </c>
      <c r="S24" s="11">
        <v>63.305141448974609</v>
      </c>
      <c r="T24" s="11">
        <v>78.604454040527344</v>
      </c>
      <c r="U24" s="11">
        <v>56.513214111328125</v>
      </c>
    </row>
    <row r="25" spans="1:21" x14ac:dyDescent="0.2">
      <c r="A25" t="s">
        <v>255</v>
      </c>
      <c r="B25" t="s">
        <v>256</v>
      </c>
      <c r="C25" s="11">
        <v>58.258525848388672</v>
      </c>
      <c r="D25" s="3">
        <v>113</v>
      </c>
      <c r="E25" s="11">
        <v>79.284675598144531</v>
      </c>
      <c r="F25" s="11">
        <v>35.114936828613281</v>
      </c>
      <c r="G25" s="11">
        <v>55.640666961669922</v>
      </c>
      <c r="H25" s="11">
        <v>79.9345703125</v>
      </c>
      <c r="I25" s="11">
        <v>66.808952331542969</v>
      </c>
      <c r="J25" s="11">
        <v>82.942024230957031</v>
      </c>
      <c r="K25" s="11">
        <v>39.935871124267578</v>
      </c>
      <c r="L25" s="11">
        <v>50.559314727783203</v>
      </c>
      <c r="M25" s="11">
        <v>26.351190567016602</v>
      </c>
      <c r="N25" s="11">
        <v>0</v>
      </c>
      <c r="O25" s="11">
        <v>92.486618041992188</v>
      </c>
      <c r="P25" s="11">
        <v>57.534526824951172</v>
      </c>
      <c r="Q25" s="11">
        <v>58.654899597167969</v>
      </c>
      <c r="R25" s="11" t="s">
        <v>464</v>
      </c>
      <c r="S25" s="11">
        <v>63.434455871582031</v>
      </c>
      <c r="T25" s="11">
        <v>60.112167358398438</v>
      </c>
      <c r="U25" s="11">
        <v>83.341514587402344</v>
      </c>
    </row>
    <row r="26" spans="1:21" x14ac:dyDescent="0.2">
      <c r="A26" t="s">
        <v>349</v>
      </c>
      <c r="B26" t="s">
        <v>350</v>
      </c>
      <c r="C26" s="11">
        <v>36.748970031738281</v>
      </c>
      <c r="D26" s="3">
        <v>157</v>
      </c>
      <c r="E26" s="11">
        <v>0</v>
      </c>
      <c r="F26" s="11">
        <v>34.824131011962891</v>
      </c>
      <c r="G26" s="11">
        <v>24.551050186157227</v>
      </c>
      <c r="H26" s="11">
        <v>17.893117904663086</v>
      </c>
      <c r="I26" s="11">
        <v>30.271133422851563</v>
      </c>
      <c r="J26" s="11">
        <v>61.6390380859375</v>
      </c>
      <c r="K26" s="11">
        <v>2.3765115737915039</v>
      </c>
      <c r="L26" s="11">
        <v>32.812374114990234</v>
      </c>
      <c r="M26" s="11">
        <v>4.3346152305603027</v>
      </c>
      <c r="N26" s="11">
        <v>12.093767166137695</v>
      </c>
      <c r="O26" s="11">
        <v>30.173482894897461</v>
      </c>
      <c r="P26" s="11">
        <v>77.270431518554688</v>
      </c>
      <c r="Q26" s="11">
        <v>68.693008422851563</v>
      </c>
      <c r="R26" s="11" t="s">
        <v>464</v>
      </c>
      <c r="S26" s="11">
        <v>89.897262573242188</v>
      </c>
      <c r="T26" s="11">
        <v>57.798847198486328</v>
      </c>
      <c r="U26" s="11">
        <v>43.354766845703125</v>
      </c>
    </row>
    <row r="27" spans="1:21" x14ac:dyDescent="0.2">
      <c r="A27" t="s">
        <v>71</v>
      </c>
      <c r="B27" t="s">
        <v>72</v>
      </c>
      <c r="C27" s="11">
        <v>78.016502380371094</v>
      </c>
      <c r="D27" s="3">
        <v>17</v>
      </c>
      <c r="E27" s="11">
        <v>99.610153198242188</v>
      </c>
      <c r="F27" s="11">
        <v>63.870231628417969</v>
      </c>
      <c r="G27" s="11">
        <v>94.6676025390625</v>
      </c>
      <c r="H27" s="11">
        <v>98.76251220703125</v>
      </c>
      <c r="I27" s="11">
        <v>79.825553894042969</v>
      </c>
      <c r="J27" s="11">
        <v>88.131111145019531</v>
      </c>
      <c r="K27" s="11">
        <v>91.217575073242188</v>
      </c>
      <c r="L27" s="11">
        <v>83.715293884277344</v>
      </c>
      <c r="M27" s="11">
        <v>75.146316528320313</v>
      </c>
      <c r="N27" s="11">
        <v>76.746719360351563</v>
      </c>
      <c r="O27" s="11">
        <v>99.566299438476563</v>
      </c>
      <c r="P27" s="11">
        <v>52.714042663574219</v>
      </c>
      <c r="Q27" s="11">
        <v>66.014495849609375</v>
      </c>
      <c r="R27" s="11">
        <v>54.887531280517578</v>
      </c>
      <c r="S27" s="11">
        <v>51.233734130859375</v>
      </c>
      <c r="T27" s="11">
        <v>85.992286682128906</v>
      </c>
      <c r="U27" s="11">
        <v>64.179122924804688</v>
      </c>
    </row>
    <row r="28" spans="1:21" x14ac:dyDescent="0.2">
      <c r="A28" t="s">
        <v>49</v>
      </c>
      <c r="B28" t="s">
        <v>50</v>
      </c>
      <c r="C28" s="11">
        <v>81.179443359375</v>
      </c>
      <c r="D28" s="3">
        <v>8</v>
      </c>
      <c r="E28" s="11">
        <v>99.89752197265625</v>
      </c>
      <c r="F28" s="11">
        <v>70.949844360351563</v>
      </c>
      <c r="G28" s="11">
        <v>97.268325805664063</v>
      </c>
      <c r="H28" s="11">
        <v>93.265121459960938</v>
      </c>
      <c r="I28" s="11">
        <v>80.917640686035156</v>
      </c>
      <c r="J28" s="11">
        <v>95.120674133300781</v>
      </c>
      <c r="K28" s="11">
        <v>94.439178466796875</v>
      </c>
      <c r="L28" s="11">
        <v>85.612319946289063</v>
      </c>
      <c r="M28" s="11">
        <v>93.860710144042969</v>
      </c>
      <c r="N28" s="11">
        <v>82.592994689941406</v>
      </c>
      <c r="O28" s="11">
        <v>96.096656799316406</v>
      </c>
      <c r="P28" s="11">
        <v>36.714248657226563</v>
      </c>
      <c r="Q28" s="11">
        <v>81.919578552246094</v>
      </c>
      <c r="R28" s="11" t="s">
        <v>464</v>
      </c>
      <c r="S28" s="11">
        <v>66.510185241699219</v>
      </c>
      <c r="T28" s="11">
        <v>83.603790283203125</v>
      </c>
      <c r="U28" s="11">
        <v>40.102272033691406</v>
      </c>
    </row>
    <row r="29" spans="1:21" x14ac:dyDescent="0.2">
      <c r="A29" t="s">
        <v>79</v>
      </c>
      <c r="B29" t="s">
        <v>80</v>
      </c>
      <c r="C29" s="11">
        <v>71.566177368164063</v>
      </c>
      <c r="D29" s="3">
        <v>44</v>
      </c>
      <c r="E29" s="11">
        <v>99.957862854003906</v>
      </c>
      <c r="F29" s="11">
        <v>62.283336639404297</v>
      </c>
      <c r="G29" s="11">
        <v>88.686912536621094</v>
      </c>
      <c r="H29" s="11">
        <v>85.154006958007813</v>
      </c>
      <c r="I29" s="11">
        <v>64.215423583984375</v>
      </c>
      <c r="J29" s="11">
        <v>98.132080078125</v>
      </c>
      <c r="K29" s="11">
        <v>86.90643310546875</v>
      </c>
      <c r="L29" s="11">
        <v>70.94488525390625</v>
      </c>
      <c r="M29" s="11">
        <v>43.017166137695313</v>
      </c>
      <c r="N29" s="11">
        <v>28.686878204345703</v>
      </c>
      <c r="O29" s="11">
        <v>90.962203979492188</v>
      </c>
      <c r="P29" s="11">
        <v>73.524497985839844</v>
      </c>
      <c r="Q29" s="11">
        <v>89.735893249511719</v>
      </c>
      <c r="R29" s="11">
        <v>52.293704986572266</v>
      </c>
      <c r="S29" s="11">
        <v>48.711284637451172</v>
      </c>
      <c r="T29" s="11">
        <v>68.987205505371094</v>
      </c>
      <c r="U29" s="11">
        <v>64.425216674804688</v>
      </c>
    </row>
    <row r="30" spans="1:21" x14ac:dyDescent="0.2">
      <c r="A30" t="s">
        <v>145</v>
      </c>
      <c r="B30" t="s">
        <v>146</v>
      </c>
      <c r="C30" s="11">
        <v>67.1192626953125</v>
      </c>
      <c r="D30" s="3">
        <v>71</v>
      </c>
      <c r="E30" s="11">
        <v>99.472557067871094</v>
      </c>
      <c r="F30" s="11">
        <v>66.772071838378906</v>
      </c>
      <c r="G30" s="11">
        <v>79.525337219238281</v>
      </c>
      <c r="H30" s="11">
        <v>74.072776794433594</v>
      </c>
      <c r="I30" s="11">
        <v>74.8370361328125</v>
      </c>
      <c r="J30" s="11">
        <v>88.196037292480469</v>
      </c>
      <c r="K30" s="11">
        <v>67.749626159667969</v>
      </c>
      <c r="L30" s="11">
        <v>71.9310302734375</v>
      </c>
      <c r="M30" s="11">
        <v>57.700202941894531</v>
      </c>
      <c r="N30" s="11">
        <v>52.444545745849609</v>
      </c>
      <c r="O30" s="11">
        <v>61.623340606689453</v>
      </c>
      <c r="P30" s="11">
        <v>74.839584350585938</v>
      </c>
      <c r="Q30" s="11">
        <v>58.741420745849609</v>
      </c>
      <c r="R30" s="11">
        <v>31.054122924804688</v>
      </c>
      <c r="S30" s="11">
        <v>58.470874786376953</v>
      </c>
      <c r="T30" s="11">
        <v>69.086845397949219</v>
      </c>
      <c r="U30" s="11">
        <v>54.510009765625</v>
      </c>
    </row>
    <row r="31" spans="1:21" x14ac:dyDescent="0.2">
      <c r="A31" t="s">
        <v>259</v>
      </c>
      <c r="B31" t="s">
        <v>260</v>
      </c>
      <c r="C31" s="11">
        <v>53.337245941162109</v>
      </c>
      <c r="D31" s="3">
        <v>127</v>
      </c>
      <c r="E31" s="11">
        <v>86.85552978515625</v>
      </c>
      <c r="F31" s="11">
        <v>46.699451446533203</v>
      </c>
      <c r="G31" s="11">
        <v>37.254810333251953</v>
      </c>
      <c r="H31" s="11">
        <v>29.554994583129883</v>
      </c>
      <c r="I31" s="11">
        <v>32.7816162109375</v>
      </c>
      <c r="J31" s="11">
        <v>64.13507080078125</v>
      </c>
      <c r="K31" s="11">
        <v>46.653205871582031</v>
      </c>
      <c r="L31" s="11">
        <v>28.057426452636719</v>
      </c>
      <c r="M31" s="11">
        <v>22.589630126953125</v>
      </c>
      <c r="N31" s="11">
        <v>49.521408081054688</v>
      </c>
      <c r="O31" s="11">
        <v>73.436195373535156</v>
      </c>
      <c r="P31" s="11">
        <v>77.38043212890625</v>
      </c>
      <c r="Q31" s="11">
        <v>94.009536743164063</v>
      </c>
      <c r="R31" s="11">
        <v>26.512121200561523</v>
      </c>
      <c r="S31" s="11">
        <v>72.054786682128906</v>
      </c>
      <c r="T31" s="11">
        <v>59.406845092773438</v>
      </c>
      <c r="U31" s="11">
        <v>59.830120086669922</v>
      </c>
    </row>
    <row r="32" spans="1:21" x14ac:dyDescent="0.2">
      <c r="A32" t="s">
        <v>297</v>
      </c>
      <c r="B32" t="s">
        <v>298</v>
      </c>
      <c r="C32" s="11">
        <v>52.826580047607422</v>
      </c>
      <c r="D32" s="3">
        <v>130</v>
      </c>
      <c r="E32" s="11">
        <v>74.8714599609375</v>
      </c>
      <c r="F32" s="11">
        <v>48.038032531738281</v>
      </c>
      <c r="G32" s="11">
        <v>43.978122711181641</v>
      </c>
      <c r="H32" s="11">
        <v>62.558193206787109</v>
      </c>
      <c r="I32" s="11">
        <v>49.443183898925781</v>
      </c>
      <c r="J32" s="11">
        <v>69.287094116210938</v>
      </c>
      <c r="K32" s="11">
        <v>48.692420959472656</v>
      </c>
      <c r="L32" s="11">
        <v>32.187335968017578</v>
      </c>
      <c r="M32" s="11">
        <v>6.7183732986450195</v>
      </c>
      <c r="N32" s="11">
        <v>39.892242431640625</v>
      </c>
      <c r="O32" s="11">
        <v>25.750261306762695</v>
      </c>
      <c r="P32" s="11">
        <v>81.368553161621094</v>
      </c>
      <c r="Q32" s="11">
        <v>93.237449645996094</v>
      </c>
      <c r="R32" s="11">
        <v>41.716255187988281</v>
      </c>
      <c r="S32" s="11">
        <v>67.148185729980469</v>
      </c>
      <c r="T32" s="11">
        <v>56.699630737304688</v>
      </c>
      <c r="U32" s="11">
        <v>56.465087890625</v>
      </c>
    </row>
    <row r="33" spans="1:21" x14ac:dyDescent="0.2">
      <c r="A33" t="s">
        <v>337</v>
      </c>
      <c r="B33" t="s">
        <v>338</v>
      </c>
      <c r="C33" s="11">
        <v>42.655391693115234</v>
      </c>
      <c r="D33" s="3">
        <v>155</v>
      </c>
      <c r="E33" s="11">
        <v>12.946677207946777</v>
      </c>
      <c r="F33" s="11">
        <v>36.070846557617188</v>
      </c>
      <c r="G33" s="11">
        <v>38.385890960693359</v>
      </c>
      <c r="H33" s="11">
        <v>54.613021850585938</v>
      </c>
      <c r="I33" s="11">
        <v>32.129421234130859</v>
      </c>
      <c r="J33" s="11">
        <v>55.363315582275391</v>
      </c>
      <c r="K33" s="11">
        <v>30.592855453491211</v>
      </c>
      <c r="L33" s="11">
        <v>37.836780548095703</v>
      </c>
      <c r="M33" s="11">
        <v>2.594843864440918</v>
      </c>
      <c r="N33" s="11">
        <v>52.616493225097656</v>
      </c>
      <c r="O33" s="11">
        <v>35.725700378417969</v>
      </c>
      <c r="P33" s="11">
        <v>79.959648132324219</v>
      </c>
      <c r="Q33" s="11">
        <v>93.049026489257813</v>
      </c>
      <c r="R33" s="11">
        <v>10.529840469360352</v>
      </c>
      <c r="S33" s="11">
        <v>62.612468719482422</v>
      </c>
      <c r="T33" s="11">
        <v>45.018520355224609</v>
      </c>
      <c r="U33" s="11">
        <v>45.096324920654297</v>
      </c>
    </row>
    <row r="34" spans="1:21" x14ac:dyDescent="0.2">
      <c r="A34" t="s">
        <v>321</v>
      </c>
      <c r="B34" t="s">
        <v>322</v>
      </c>
      <c r="C34" s="11">
        <v>50.884723663330078</v>
      </c>
      <c r="D34" s="3">
        <v>135</v>
      </c>
      <c r="E34" s="11">
        <v>39.664863586425781</v>
      </c>
      <c r="F34" s="11">
        <v>38.651641845703125</v>
      </c>
      <c r="G34" s="11">
        <v>51.090831756591797</v>
      </c>
      <c r="H34" s="11">
        <v>60.989578247070313</v>
      </c>
      <c r="I34" s="11">
        <v>49.547832489013672</v>
      </c>
      <c r="J34" s="11">
        <v>51.881622314453125</v>
      </c>
      <c r="K34" s="11">
        <v>38.022266387939453</v>
      </c>
      <c r="L34" s="11">
        <v>38.137218475341797</v>
      </c>
      <c r="M34" s="11">
        <v>4.7751474380493164</v>
      </c>
      <c r="N34" s="11">
        <v>33.014270782470703</v>
      </c>
      <c r="O34" s="11">
        <v>44.011131286621094</v>
      </c>
      <c r="P34" s="11">
        <v>78.123199462890625</v>
      </c>
      <c r="Q34" s="11">
        <v>94.700332641601563</v>
      </c>
      <c r="R34" s="11">
        <v>31.131641387939453</v>
      </c>
      <c r="S34" s="11">
        <v>88.255355834960938</v>
      </c>
      <c r="T34" s="11">
        <v>66.936813354492188</v>
      </c>
      <c r="U34" s="11">
        <v>56.106525421142578</v>
      </c>
    </row>
    <row r="35" spans="1:21" x14ac:dyDescent="0.2">
      <c r="A35" t="s">
        <v>171</v>
      </c>
      <c r="B35" t="s">
        <v>172</v>
      </c>
      <c r="C35" s="11">
        <v>64.802635192871094</v>
      </c>
      <c r="D35" s="3">
        <v>88</v>
      </c>
      <c r="E35" s="11">
        <v>93.688552856445313</v>
      </c>
      <c r="F35" s="11">
        <v>52.720012664794922</v>
      </c>
      <c r="G35" s="11">
        <v>81.282020568847656</v>
      </c>
      <c r="H35" s="11">
        <v>75.023361206054688</v>
      </c>
      <c r="I35" s="11">
        <v>70.166908264160156</v>
      </c>
      <c r="J35" s="11">
        <v>89.057327270507813</v>
      </c>
      <c r="K35" s="11">
        <v>83.704063415527344</v>
      </c>
      <c r="L35" s="11">
        <v>55.040672302246094</v>
      </c>
      <c r="M35" s="11">
        <v>28.74163818359375</v>
      </c>
      <c r="N35" s="11">
        <v>19.946121215820313</v>
      </c>
      <c r="O35" s="11">
        <v>89.840713500976563</v>
      </c>
      <c r="P35" s="11">
        <v>74.690444946289063</v>
      </c>
      <c r="Q35" s="11">
        <v>87.043067932128906</v>
      </c>
      <c r="R35" s="11">
        <v>35.073196411132813</v>
      </c>
      <c r="S35" s="11">
        <v>53.969722747802734</v>
      </c>
      <c r="T35" s="11">
        <v>48.471889495849609</v>
      </c>
      <c r="U35" s="11">
        <v>63.185054779052734</v>
      </c>
    </row>
    <row r="36" spans="1:21" x14ac:dyDescent="0.2">
      <c r="A36" t="s">
        <v>123</v>
      </c>
      <c r="B36" t="s">
        <v>124</v>
      </c>
      <c r="C36" s="11">
        <v>69.812034606933594</v>
      </c>
      <c r="D36" s="3">
        <v>53</v>
      </c>
      <c r="E36" s="11" t="s">
        <v>464</v>
      </c>
      <c r="F36" s="11">
        <v>54.829952239990234</v>
      </c>
      <c r="G36" s="11">
        <v>87.590431213378906</v>
      </c>
      <c r="H36" s="11">
        <v>83.140274047851563</v>
      </c>
      <c r="I36" s="11">
        <v>75.237945556640625</v>
      </c>
      <c r="J36" s="11">
        <v>91.53314208984375</v>
      </c>
      <c r="K36" s="11">
        <v>90.605125427246094</v>
      </c>
      <c r="L36" s="11">
        <v>73.320022583007813</v>
      </c>
      <c r="M36" s="11">
        <v>32.103870391845703</v>
      </c>
      <c r="N36" s="11">
        <v>34.189258575439453</v>
      </c>
      <c r="O36" s="11">
        <v>91.46295166015625</v>
      </c>
      <c r="P36" s="11">
        <v>72.905494689941406</v>
      </c>
      <c r="Q36" s="11">
        <v>87.65557861328125</v>
      </c>
      <c r="R36" s="11">
        <v>50.588542938232422</v>
      </c>
      <c r="S36" s="11">
        <v>60.717494964599609</v>
      </c>
      <c r="T36" s="11">
        <v>59.737098693847656</v>
      </c>
      <c r="U36" s="11">
        <v>71.375350952148438</v>
      </c>
    </row>
    <row r="37" spans="1:21" x14ac:dyDescent="0.2">
      <c r="A37" t="s">
        <v>111</v>
      </c>
      <c r="B37" t="s">
        <v>112</v>
      </c>
      <c r="C37" s="11">
        <v>75.548721313476563</v>
      </c>
      <c r="D37" s="3">
        <v>29</v>
      </c>
      <c r="E37" s="11">
        <v>97.997413635253906</v>
      </c>
      <c r="F37" s="11">
        <v>61.332019805908203</v>
      </c>
      <c r="G37" s="11">
        <v>89.346351623535156</v>
      </c>
      <c r="H37" s="11">
        <v>89.704719543457031</v>
      </c>
      <c r="I37" s="11">
        <v>82.232643127441406</v>
      </c>
      <c r="J37" s="11">
        <v>92.337310791015625</v>
      </c>
      <c r="K37" s="11">
        <v>81.253532409667969</v>
      </c>
      <c r="L37" s="11">
        <v>90.469482421875</v>
      </c>
      <c r="M37" s="11">
        <v>11.63555908203125</v>
      </c>
      <c r="N37" s="11" t="s">
        <v>464</v>
      </c>
      <c r="O37" s="11">
        <v>84.864532470703125</v>
      </c>
      <c r="P37" s="11">
        <v>74.299720764160156</v>
      </c>
      <c r="Q37" s="11">
        <v>81.656837463378906</v>
      </c>
      <c r="R37" s="11">
        <v>43.289649963378906</v>
      </c>
      <c r="S37" s="11">
        <v>61.718044281005859</v>
      </c>
      <c r="T37" s="11">
        <v>66.641769409179688</v>
      </c>
      <c r="U37" s="11">
        <v>100</v>
      </c>
    </row>
    <row r="38" spans="1:21" x14ac:dyDescent="0.2">
      <c r="A38" t="s">
        <v>137</v>
      </c>
      <c r="B38" t="s">
        <v>138</v>
      </c>
      <c r="C38" s="11">
        <v>70.598075866699219</v>
      </c>
      <c r="D38" s="3">
        <v>50</v>
      </c>
      <c r="E38" s="11">
        <v>99.925682067871094</v>
      </c>
      <c r="F38" s="11">
        <v>55.434490203857422</v>
      </c>
      <c r="G38" s="11">
        <v>92.426101684570313</v>
      </c>
      <c r="H38" s="11">
        <v>93.276863098144531</v>
      </c>
      <c r="I38" s="11">
        <v>67.747917175292969</v>
      </c>
      <c r="J38" s="11">
        <v>89.850860595703125</v>
      </c>
      <c r="K38" s="11">
        <v>85.915618896484375</v>
      </c>
      <c r="L38" s="11">
        <v>73.753677368164063</v>
      </c>
      <c r="M38" s="11">
        <v>39.637344360351563</v>
      </c>
      <c r="N38" s="11">
        <v>74.941246032714844</v>
      </c>
      <c r="O38" s="11">
        <v>92.812881469726563</v>
      </c>
      <c r="P38" s="11">
        <v>39.619400024414063</v>
      </c>
      <c r="Q38" s="11">
        <v>68.071784973144531</v>
      </c>
      <c r="R38" s="11">
        <v>43.684810638427734</v>
      </c>
      <c r="S38" s="11">
        <v>81.637657165527344</v>
      </c>
      <c r="T38" s="11">
        <v>75.05853271484375</v>
      </c>
      <c r="U38" s="11">
        <v>26.372447967529297</v>
      </c>
    </row>
    <row r="39" spans="1:21" x14ac:dyDescent="0.2">
      <c r="A39" t="s">
        <v>435</v>
      </c>
      <c r="B39" t="s">
        <v>36</v>
      </c>
      <c r="C39" s="11">
        <v>81.898399353027344</v>
      </c>
      <c r="D39" s="3">
        <v>5</v>
      </c>
      <c r="E39" s="11">
        <v>99.735214233398438</v>
      </c>
      <c r="F39" s="11">
        <v>64.512191772460938</v>
      </c>
      <c r="G39" s="11">
        <v>91.411140441894531</v>
      </c>
      <c r="H39" s="11">
        <v>91.618690490722656</v>
      </c>
      <c r="I39" s="11">
        <v>69.899887084960938</v>
      </c>
      <c r="J39" s="11">
        <v>95.906097412109375</v>
      </c>
      <c r="K39" s="11">
        <v>87.90301513671875</v>
      </c>
      <c r="L39" s="11">
        <v>87.947113037109375</v>
      </c>
      <c r="M39" s="11">
        <v>60.861591339111328</v>
      </c>
      <c r="N39" s="11">
        <v>98.383674621582031</v>
      </c>
      <c r="O39" s="11">
        <v>90.892196655273438</v>
      </c>
      <c r="P39" s="11">
        <v>70.408592224121094</v>
      </c>
      <c r="Q39" s="11">
        <v>84.990882873535156</v>
      </c>
      <c r="R39" s="11" t="s">
        <v>464</v>
      </c>
      <c r="S39" s="11">
        <v>84.119583129882813</v>
      </c>
      <c r="T39" s="11">
        <v>71.484336853027344</v>
      </c>
      <c r="U39" s="11">
        <v>60.300220489501953</v>
      </c>
    </row>
    <row r="40" spans="1:21" x14ac:dyDescent="0.2">
      <c r="A40" t="s">
        <v>27</v>
      </c>
      <c r="B40" t="s">
        <v>28</v>
      </c>
      <c r="C40" s="11">
        <v>81.67926025390625</v>
      </c>
      <c r="D40" s="3">
        <v>6</v>
      </c>
      <c r="E40" s="11">
        <v>99.822372436523438</v>
      </c>
      <c r="F40" s="11">
        <v>75.445533752441406</v>
      </c>
      <c r="G40" s="11">
        <v>94.321128845214844</v>
      </c>
      <c r="H40" s="11">
        <v>98.299720764160156</v>
      </c>
      <c r="I40" s="11">
        <v>79.122421264648438</v>
      </c>
      <c r="J40" s="11">
        <v>93.345283508300781</v>
      </c>
      <c r="K40" s="11">
        <v>87.73712158203125</v>
      </c>
      <c r="L40" s="11">
        <v>85.192550659179688</v>
      </c>
      <c r="M40" s="11">
        <v>80.989936828613281</v>
      </c>
      <c r="N40" s="11">
        <v>86.920387268066406</v>
      </c>
      <c r="O40" s="11">
        <v>95.415115356445313</v>
      </c>
      <c r="P40" s="11">
        <v>54.972667694091797</v>
      </c>
      <c r="Q40" s="11">
        <v>84.31927490234375</v>
      </c>
      <c r="R40" s="11">
        <v>49.297779083251953</v>
      </c>
      <c r="S40" s="11">
        <v>77.35003662109375</v>
      </c>
      <c r="T40" s="11">
        <v>81.461700439453125</v>
      </c>
      <c r="U40" s="11">
        <v>64.534393310546875</v>
      </c>
    </row>
    <row r="41" spans="1:21" x14ac:dyDescent="0.2">
      <c r="A41" t="s">
        <v>319</v>
      </c>
      <c r="B41" t="s">
        <v>320</v>
      </c>
      <c r="C41" s="11">
        <v>49.588417053222656</v>
      </c>
      <c r="D41" s="3">
        <v>141</v>
      </c>
      <c r="E41" s="11">
        <v>83.928451538085938</v>
      </c>
      <c r="F41" s="11">
        <v>37.008750915527344</v>
      </c>
      <c r="G41" s="11">
        <v>56.910099029541016</v>
      </c>
      <c r="H41" s="11">
        <v>7.9561033248901367</v>
      </c>
      <c r="I41" s="11">
        <v>32.415382385253906</v>
      </c>
      <c r="J41" s="11">
        <v>54.975517272949219</v>
      </c>
      <c r="K41" s="11">
        <v>62.659614562988281</v>
      </c>
      <c r="L41" s="11">
        <v>48.499095916748047</v>
      </c>
      <c r="M41" s="11">
        <v>5.0856027603149414</v>
      </c>
      <c r="N41" s="11">
        <v>46.798877716064453</v>
      </c>
      <c r="O41" s="11">
        <v>61.127838134765625</v>
      </c>
      <c r="P41" s="11">
        <v>79.153709411621094</v>
      </c>
      <c r="Q41" s="11">
        <v>62.865875244140625</v>
      </c>
      <c r="R41" s="11">
        <v>32.261848449707031</v>
      </c>
      <c r="S41" s="11">
        <v>12.32110595703125</v>
      </c>
      <c r="T41" s="11">
        <v>77.142959594726563</v>
      </c>
      <c r="U41" s="11">
        <v>81.892242431640625</v>
      </c>
    </row>
    <row r="42" spans="1:21" x14ac:dyDescent="0.2">
      <c r="A42" t="s">
        <v>25</v>
      </c>
      <c r="B42" t="s">
        <v>26</v>
      </c>
      <c r="C42" s="11">
        <v>84.164901733398438</v>
      </c>
      <c r="D42" s="3">
        <v>2</v>
      </c>
      <c r="E42" s="11">
        <v>98.790084838867188</v>
      </c>
      <c r="F42" s="11">
        <v>74.78472900390625</v>
      </c>
      <c r="G42" s="11">
        <v>94.543190002441406</v>
      </c>
      <c r="H42" s="11">
        <v>95.406600952148438</v>
      </c>
      <c r="I42" s="11">
        <v>83.514266967773438</v>
      </c>
      <c r="J42" s="11">
        <v>94.131271362304688</v>
      </c>
      <c r="K42" s="11">
        <v>88.844154357910156</v>
      </c>
      <c r="L42" s="11">
        <v>81.836784362792969</v>
      </c>
      <c r="M42" s="11">
        <v>89.837760925292969</v>
      </c>
      <c r="N42" s="11">
        <v>89.92950439453125</v>
      </c>
      <c r="O42" s="11">
        <v>97.273849487304688</v>
      </c>
      <c r="P42" s="11">
        <v>55.724994659423828</v>
      </c>
      <c r="Q42" s="11">
        <v>83.250442504882813</v>
      </c>
      <c r="R42" s="11">
        <v>42.412731170654297</v>
      </c>
      <c r="S42" s="11">
        <v>79.071731567382813</v>
      </c>
      <c r="T42" s="11">
        <v>88.679779052734375</v>
      </c>
      <c r="U42" s="11">
        <v>92.771453857421875</v>
      </c>
    </row>
    <row r="43" spans="1:21" x14ac:dyDescent="0.2">
      <c r="A43" t="s">
        <v>143</v>
      </c>
      <c r="B43" t="s">
        <v>144</v>
      </c>
      <c r="C43" s="11">
        <v>67.223213195800781</v>
      </c>
      <c r="D43" s="3">
        <v>70</v>
      </c>
      <c r="E43" s="11">
        <v>99.779876708984375</v>
      </c>
      <c r="F43" s="11">
        <v>50.969127655029297</v>
      </c>
      <c r="G43" s="11">
        <v>69.101478576660156</v>
      </c>
      <c r="H43" s="11">
        <v>72.255744934082031</v>
      </c>
      <c r="I43" s="11">
        <v>72.187484741210938</v>
      </c>
      <c r="J43" s="11">
        <v>78.889915466308594</v>
      </c>
      <c r="K43" s="11">
        <v>82.438072204589844</v>
      </c>
      <c r="L43" s="11">
        <v>65.090286254882813</v>
      </c>
      <c r="M43" s="11">
        <v>24.818780899047852</v>
      </c>
      <c r="N43" s="11">
        <v>38.373355865478516</v>
      </c>
      <c r="O43" s="11">
        <v>79.676406860351563</v>
      </c>
      <c r="P43" s="11">
        <v>78.753646850585938</v>
      </c>
      <c r="Q43" s="11">
        <v>87.508255004882813</v>
      </c>
      <c r="R43" s="11">
        <v>56.281352996826172</v>
      </c>
      <c r="S43" s="11">
        <v>68.719451904296875</v>
      </c>
      <c r="T43" s="11">
        <v>46.400894165039063</v>
      </c>
      <c r="U43" s="11">
        <v>71.550544738769531</v>
      </c>
    </row>
    <row r="44" spans="1:21" x14ac:dyDescent="0.2">
      <c r="A44" t="s">
        <v>161</v>
      </c>
      <c r="B44" t="s">
        <v>162</v>
      </c>
      <c r="C44" s="11">
        <v>68.763450622558594</v>
      </c>
      <c r="D44" s="3">
        <v>64</v>
      </c>
      <c r="E44" s="11">
        <v>98.044631958007813</v>
      </c>
      <c r="F44" s="11">
        <v>50.922809600830078</v>
      </c>
      <c r="G44" s="11">
        <v>75.809745788574219</v>
      </c>
      <c r="H44" s="11">
        <v>79.222892761230469</v>
      </c>
      <c r="I44" s="11">
        <v>47.406410217285156</v>
      </c>
      <c r="J44" s="11">
        <v>68.292289733886719</v>
      </c>
      <c r="K44" s="11">
        <v>79.466873168945313</v>
      </c>
      <c r="L44" s="11">
        <v>64.238662719726563</v>
      </c>
      <c r="M44" s="11">
        <v>19.861026763916016</v>
      </c>
      <c r="N44" s="11" t="s">
        <v>464</v>
      </c>
      <c r="O44" s="11">
        <v>75.39453125</v>
      </c>
      <c r="P44" s="11">
        <v>81.501632690429688</v>
      </c>
      <c r="Q44" s="11">
        <v>90.548423767089844</v>
      </c>
      <c r="R44" s="11">
        <v>45.372234344482422</v>
      </c>
      <c r="S44" s="11">
        <v>60.060840606689453</v>
      </c>
      <c r="T44" s="11">
        <v>64.07220458984375</v>
      </c>
      <c r="U44" s="11">
        <v>100</v>
      </c>
    </row>
    <row r="45" spans="1:21" x14ac:dyDescent="0.2">
      <c r="A45" t="s">
        <v>167</v>
      </c>
      <c r="B45" t="s">
        <v>168</v>
      </c>
      <c r="C45" s="11">
        <v>69.044258117675781</v>
      </c>
      <c r="D45" s="3">
        <v>60</v>
      </c>
      <c r="E45" s="11">
        <v>94.65478515625</v>
      </c>
      <c r="F45" s="11">
        <v>48.528079986572266</v>
      </c>
      <c r="G45" s="11">
        <v>77.728012084960938</v>
      </c>
      <c r="H45" s="11">
        <v>78.24755859375</v>
      </c>
      <c r="I45" s="11">
        <v>76.599403381347656</v>
      </c>
      <c r="J45" s="11">
        <v>87.746109008789063</v>
      </c>
      <c r="K45" s="11">
        <v>81.45257568359375</v>
      </c>
      <c r="L45" s="11">
        <v>65.300941467285156</v>
      </c>
      <c r="M45" s="11">
        <v>25.330379486083984</v>
      </c>
      <c r="N45" s="11">
        <v>43.216598510742188</v>
      </c>
      <c r="O45" s="11">
        <v>92.317642211914063</v>
      </c>
      <c r="P45" s="11">
        <v>73.359893798828125</v>
      </c>
      <c r="Q45" s="11">
        <v>88.089118957519531</v>
      </c>
      <c r="R45" s="11">
        <v>52.348026275634766</v>
      </c>
      <c r="S45" s="11">
        <v>57.530460357666016</v>
      </c>
      <c r="T45" s="11">
        <v>54.965610504150391</v>
      </c>
      <c r="U45" s="11">
        <v>76.337196350097656</v>
      </c>
    </row>
    <row r="46" spans="1:21" x14ac:dyDescent="0.2">
      <c r="A46" t="s">
        <v>181</v>
      </c>
      <c r="B46" t="s">
        <v>182</v>
      </c>
      <c r="C46" s="11">
        <v>64.920578002929688</v>
      </c>
      <c r="D46" s="3">
        <v>87</v>
      </c>
      <c r="E46" s="11">
        <v>99.627304077148438</v>
      </c>
      <c r="F46" s="11">
        <v>49.583808898925781</v>
      </c>
      <c r="G46" s="11">
        <v>73.115402221679688</v>
      </c>
      <c r="H46" s="11">
        <v>75.75079345703125</v>
      </c>
      <c r="I46" s="11">
        <v>46.335247039794922</v>
      </c>
      <c r="J46" s="11">
        <v>71.627738952636719</v>
      </c>
      <c r="K46" s="11">
        <v>89.2059326171875</v>
      </c>
      <c r="L46" s="11">
        <v>49.81884765625</v>
      </c>
      <c r="M46" s="11">
        <v>30.498317718505859</v>
      </c>
      <c r="N46" s="11" t="s">
        <v>464</v>
      </c>
      <c r="O46" s="11">
        <v>50</v>
      </c>
      <c r="P46" s="11">
        <v>73.097145080566406</v>
      </c>
      <c r="Q46" s="11">
        <v>88.469879150390625</v>
      </c>
      <c r="R46" s="11">
        <v>47.556728363037109</v>
      </c>
      <c r="S46" s="11">
        <v>56.897998809814453</v>
      </c>
      <c r="T46" s="11">
        <v>67.635482788085938</v>
      </c>
      <c r="U46" s="11">
        <v>69.508674621582031</v>
      </c>
    </row>
    <row r="47" spans="1:21" x14ac:dyDescent="0.2">
      <c r="A47" t="s">
        <v>51</v>
      </c>
      <c r="B47" t="s">
        <v>52</v>
      </c>
      <c r="C47" s="11">
        <v>76.751457214355469</v>
      </c>
      <c r="D47" s="3">
        <v>25</v>
      </c>
      <c r="E47" s="11">
        <v>98.394210815429688</v>
      </c>
      <c r="F47" s="11">
        <v>60.92218017578125</v>
      </c>
      <c r="G47" s="11">
        <v>93.924331665039063</v>
      </c>
      <c r="H47" s="11">
        <v>88.878128051757813</v>
      </c>
      <c r="I47" s="11">
        <v>80.585159301757813</v>
      </c>
      <c r="J47" s="11">
        <v>91.515945434570313</v>
      </c>
      <c r="K47" s="11">
        <v>91.194694519042969</v>
      </c>
      <c r="L47" s="11">
        <v>80.885391235351563</v>
      </c>
      <c r="M47" s="11">
        <v>66.873237609863281</v>
      </c>
      <c r="N47" s="11">
        <v>70.413246154785156</v>
      </c>
      <c r="O47" s="11">
        <v>97.955390930175781</v>
      </c>
      <c r="P47" s="11">
        <v>60.771583557128906</v>
      </c>
      <c r="Q47" s="11">
        <v>84.895355224609375</v>
      </c>
      <c r="R47" s="11">
        <v>45.289268493652344</v>
      </c>
      <c r="S47" s="11">
        <v>58.338130950927734</v>
      </c>
      <c r="T47" s="11">
        <v>69.478965759277344</v>
      </c>
      <c r="U47" s="11">
        <v>64.459609985351563</v>
      </c>
    </row>
    <row r="48" spans="1:21" x14ac:dyDescent="0.2">
      <c r="A48" t="s">
        <v>39</v>
      </c>
      <c r="B48" t="s">
        <v>40</v>
      </c>
      <c r="C48" s="11">
        <v>78.5592041015625</v>
      </c>
      <c r="D48" s="3">
        <v>15</v>
      </c>
      <c r="E48" s="11">
        <v>99.178634643554688</v>
      </c>
      <c r="F48" s="11">
        <v>63.625484466552734</v>
      </c>
      <c r="G48" s="11">
        <v>87.364723205566406</v>
      </c>
      <c r="H48" s="11">
        <v>94.021629333496094</v>
      </c>
      <c r="I48" s="11">
        <v>73.922012329101563</v>
      </c>
      <c r="J48" s="11">
        <v>96.262367248535156</v>
      </c>
      <c r="K48" s="11">
        <v>81.407028198242188</v>
      </c>
      <c r="L48" s="11">
        <v>79.501029968261719</v>
      </c>
      <c r="M48" s="11">
        <v>60.968929290771484</v>
      </c>
      <c r="N48" s="11">
        <v>78.265602111816406</v>
      </c>
      <c r="O48" s="11">
        <v>98.249107360839844</v>
      </c>
      <c r="P48" s="11">
        <v>60.881671905517578</v>
      </c>
      <c r="Q48" s="11">
        <v>75.12841796875</v>
      </c>
      <c r="R48" s="11">
        <v>74.434761047363281</v>
      </c>
      <c r="S48" s="11">
        <v>78.661224365234375</v>
      </c>
      <c r="T48" s="11">
        <v>79.229118347167969</v>
      </c>
      <c r="U48" s="11">
        <v>54.404735565185547</v>
      </c>
    </row>
    <row r="49" spans="1:21" x14ac:dyDescent="0.2">
      <c r="A49" t="s">
        <v>307</v>
      </c>
      <c r="B49" t="s">
        <v>308</v>
      </c>
      <c r="C49" s="11">
        <v>53.496246337890625</v>
      </c>
      <c r="D49" s="3">
        <v>126</v>
      </c>
      <c r="E49" s="11">
        <v>82.803291320800781</v>
      </c>
      <c r="F49" s="11">
        <v>38.162273406982422</v>
      </c>
      <c r="G49" s="11">
        <v>48.991130828857422</v>
      </c>
      <c r="H49" s="11">
        <v>38.641960144042969</v>
      </c>
      <c r="I49" s="11">
        <v>53.206314086914063</v>
      </c>
      <c r="J49" s="11">
        <v>57.160633087158203</v>
      </c>
      <c r="K49" s="11">
        <v>30.397214889526367</v>
      </c>
      <c r="L49" s="11">
        <v>41.352222442626953</v>
      </c>
      <c r="M49" s="11">
        <v>11.893957138061523</v>
      </c>
      <c r="N49" s="11">
        <v>78.208282470703125</v>
      </c>
      <c r="O49" s="11">
        <v>61.916400909423828</v>
      </c>
      <c r="P49" s="11">
        <v>78.621986389160156</v>
      </c>
      <c r="Q49" s="11">
        <v>74.980072021484375</v>
      </c>
      <c r="R49" s="11" t="s">
        <v>464</v>
      </c>
      <c r="S49" s="11">
        <v>55.096260070800781</v>
      </c>
      <c r="T49" s="11">
        <v>52.906143188476563</v>
      </c>
      <c r="U49" s="11">
        <v>51.601776123046875</v>
      </c>
    </row>
    <row r="50" spans="1:21" x14ac:dyDescent="0.2">
      <c r="A50" t="s">
        <v>21</v>
      </c>
      <c r="B50" t="s">
        <v>22</v>
      </c>
      <c r="C50" s="11">
        <v>84.0198974609375</v>
      </c>
      <c r="D50" s="3">
        <v>3</v>
      </c>
      <c r="E50" s="11">
        <v>99.8939208984375</v>
      </c>
      <c r="F50" s="11">
        <v>66.08758544921875</v>
      </c>
      <c r="G50" s="11">
        <v>96.510345458984375</v>
      </c>
      <c r="H50" s="11">
        <v>90.1181640625</v>
      </c>
      <c r="I50" s="11">
        <v>87.899917602539063</v>
      </c>
      <c r="J50" s="11">
        <v>96.252113342285156</v>
      </c>
      <c r="K50" s="11">
        <v>93.129707336425781</v>
      </c>
      <c r="L50" s="11">
        <v>77.646102905273438</v>
      </c>
      <c r="M50" s="11">
        <v>87.575180053710938</v>
      </c>
      <c r="N50" s="11">
        <v>95.546516418457031</v>
      </c>
      <c r="O50" s="11">
        <v>99.4423828125</v>
      </c>
      <c r="P50" s="11">
        <v>53.546199798583984</v>
      </c>
      <c r="Q50" s="11">
        <v>68.663604736328125</v>
      </c>
      <c r="R50" s="11">
        <v>75.981552124023438</v>
      </c>
      <c r="S50" s="11">
        <v>67.620964050292969</v>
      </c>
      <c r="T50" s="11">
        <v>91.319404602050781</v>
      </c>
      <c r="U50" s="11">
        <v>81.1046142578125</v>
      </c>
    </row>
    <row r="51" spans="1:21" x14ac:dyDescent="0.2">
      <c r="A51" t="s">
        <v>31</v>
      </c>
      <c r="B51" t="s">
        <v>32</v>
      </c>
      <c r="C51" s="11">
        <v>80.315399169921875</v>
      </c>
      <c r="D51" s="3">
        <v>10</v>
      </c>
      <c r="E51" s="11">
        <v>99.723907470703125</v>
      </c>
      <c r="F51" s="11">
        <v>71.559059143066406</v>
      </c>
      <c r="G51" s="11">
        <v>93.121040344238281</v>
      </c>
      <c r="H51" s="11">
        <v>91.323501586914063</v>
      </c>
      <c r="I51" s="11">
        <v>77.96356201171875</v>
      </c>
      <c r="J51" s="11">
        <v>95.37640380859375</v>
      </c>
      <c r="K51" s="11">
        <v>94.639289855957031</v>
      </c>
      <c r="L51" s="11">
        <v>79.651168823242188</v>
      </c>
      <c r="M51" s="11">
        <v>77.219070434570313</v>
      </c>
      <c r="N51" s="11">
        <v>78.408897399902344</v>
      </c>
      <c r="O51" s="11">
        <v>96.406448364257813</v>
      </c>
      <c r="P51" s="11">
        <v>56.683528900146484</v>
      </c>
      <c r="Q51" s="11">
        <v>79.176872253417969</v>
      </c>
      <c r="R51" s="11">
        <v>58.456485748291016</v>
      </c>
      <c r="S51" s="11">
        <v>73.366020202636719</v>
      </c>
      <c r="T51" s="11">
        <v>71.5682373046875</v>
      </c>
      <c r="U51" s="11">
        <v>70.718353271484375</v>
      </c>
    </row>
    <row r="52" spans="1:21" x14ac:dyDescent="0.2">
      <c r="A52" t="s">
        <v>245</v>
      </c>
      <c r="B52" t="s">
        <v>246</v>
      </c>
      <c r="C52" s="11">
        <v>65.136032104492188</v>
      </c>
      <c r="D52" s="3">
        <v>85</v>
      </c>
      <c r="E52" s="11">
        <v>97.861328125</v>
      </c>
      <c r="F52" s="11">
        <v>50.654422760009766</v>
      </c>
      <c r="G52" s="11">
        <v>52.911811828613281</v>
      </c>
      <c r="H52" s="11">
        <v>66.350326538085938</v>
      </c>
      <c r="I52" s="11">
        <v>50.607578277587891</v>
      </c>
      <c r="J52" s="11">
        <v>78.7208251953125</v>
      </c>
      <c r="K52" s="11">
        <v>73.679496765136719</v>
      </c>
      <c r="L52" s="11">
        <v>49.408626556396484</v>
      </c>
      <c r="M52" s="11">
        <v>17.04316520690918</v>
      </c>
      <c r="N52" s="11">
        <v>52.387229919433594</v>
      </c>
      <c r="O52" s="11">
        <v>69.509719848632813</v>
      </c>
      <c r="P52" s="11">
        <v>78.22344970703125</v>
      </c>
      <c r="Q52" s="11">
        <v>89.637443542480469</v>
      </c>
      <c r="R52" s="11">
        <v>44.577003479003906</v>
      </c>
      <c r="S52" s="11">
        <v>83.043815612792969</v>
      </c>
      <c r="T52" s="11">
        <v>52.696243286132813</v>
      </c>
      <c r="U52" s="11">
        <v>100</v>
      </c>
    </row>
    <row r="53" spans="1:21" x14ac:dyDescent="0.2">
      <c r="A53" t="s">
        <v>41</v>
      </c>
      <c r="B53" t="s">
        <v>42</v>
      </c>
      <c r="C53" s="11">
        <v>78.278091430664063</v>
      </c>
      <c r="D53" s="3">
        <v>16</v>
      </c>
      <c r="E53" s="11">
        <v>99.790603637695313</v>
      </c>
      <c r="F53" s="11">
        <v>70.119430541992188</v>
      </c>
      <c r="G53" s="11">
        <v>94.027854919433594</v>
      </c>
      <c r="H53" s="11">
        <v>99.842422485351563</v>
      </c>
      <c r="I53" s="11">
        <v>80.904006958007813</v>
      </c>
      <c r="J53" s="11">
        <v>94.308021545410156</v>
      </c>
      <c r="K53" s="11">
        <v>87.801094055175781</v>
      </c>
      <c r="L53" s="11">
        <v>84.574943542480469</v>
      </c>
      <c r="M53" s="11">
        <v>80.694610595703125</v>
      </c>
      <c r="N53" s="11">
        <v>79.927780151367188</v>
      </c>
      <c r="O53" s="11">
        <v>96.344482421875</v>
      </c>
      <c r="P53" s="11">
        <v>51.587322235107422</v>
      </c>
      <c r="Q53" s="11">
        <v>74.887123107910156</v>
      </c>
      <c r="R53" s="11">
        <v>52.746635437011719</v>
      </c>
      <c r="S53" s="11">
        <v>64.526718139648438</v>
      </c>
      <c r="T53" s="11">
        <v>81.368003845214844</v>
      </c>
      <c r="U53" s="11">
        <v>37.276466369628906</v>
      </c>
    </row>
    <row r="54" spans="1:21" x14ac:dyDescent="0.2">
      <c r="A54" t="s">
        <v>103</v>
      </c>
      <c r="B54" t="s">
        <v>104</v>
      </c>
      <c r="C54" s="11">
        <v>68.579109191894531</v>
      </c>
      <c r="D54" s="3">
        <v>66</v>
      </c>
      <c r="E54" s="11">
        <v>92.646011352539063</v>
      </c>
      <c r="F54" s="11">
        <v>51.050846099853516</v>
      </c>
      <c r="G54" s="11">
        <v>73.342132568359375</v>
      </c>
      <c r="H54" s="11">
        <v>96.098907470703125</v>
      </c>
      <c r="I54" s="11">
        <v>58.767051696777344</v>
      </c>
      <c r="J54" s="11">
        <v>93.067771911621094</v>
      </c>
      <c r="K54" s="11">
        <v>76.56256103515625</v>
      </c>
      <c r="L54" s="11">
        <v>50.866455078125</v>
      </c>
      <c r="M54" s="11">
        <v>23.96710205078125</v>
      </c>
      <c r="N54" s="11">
        <v>58.376796722412109</v>
      </c>
      <c r="O54" s="11">
        <v>89.67041015625</v>
      </c>
      <c r="P54" s="11">
        <v>71.215629577636719</v>
      </c>
      <c r="Q54" s="11">
        <v>83.109092712402344</v>
      </c>
      <c r="R54" s="11">
        <v>45.745830535888672</v>
      </c>
      <c r="S54" s="11">
        <v>59.875442504882813</v>
      </c>
      <c r="T54" s="11">
        <v>73.164459228515625</v>
      </c>
      <c r="U54" s="11">
        <v>68.318374633789063</v>
      </c>
    </row>
    <row r="55" spans="1:21" x14ac:dyDescent="0.2">
      <c r="A55" t="s">
        <v>263</v>
      </c>
      <c r="B55" t="s">
        <v>264</v>
      </c>
      <c r="C55" s="11">
        <v>59.897331237792969</v>
      </c>
      <c r="D55" s="3">
        <v>109</v>
      </c>
      <c r="E55" s="11">
        <v>79.502517700195313</v>
      </c>
      <c r="F55" s="11">
        <v>54.263595581054688</v>
      </c>
      <c r="G55" s="11">
        <v>54.897315979003906</v>
      </c>
      <c r="H55" s="11">
        <v>68.606452941894531</v>
      </c>
      <c r="I55" s="11">
        <v>48.485015869140625</v>
      </c>
      <c r="J55" s="11">
        <v>68.79425048828125</v>
      </c>
      <c r="K55" s="11">
        <v>53.624362945556641</v>
      </c>
      <c r="L55" s="11">
        <v>54.016193389892578</v>
      </c>
      <c r="M55" s="11">
        <v>22.624664306640625</v>
      </c>
      <c r="N55" s="11">
        <v>50.696392059326172</v>
      </c>
      <c r="O55" s="11">
        <v>54.367156982421875</v>
      </c>
      <c r="P55" s="11">
        <v>78.099952697753906</v>
      </c>
      <c r="Q55" s="11">
        <v>87.999977111816406</v>
      </c>
      <c r="R55" s="11">
        <v>45.227149963378906</v>
      </c>
      <c r="S55" s="11">
        <v>71.590599060058594</v>
      </c>
      <c r="T55" s="11">
        <v>66.962684631347656</v>
      </c>
      <c r="U55" s="11">
        <v>58.496322631835938</v>
      </c>
    </row>
    <row r="56" spans="1:21" x14ac:dyDescent="0.2">
      <c r="A56" t="s">
        <v>303</v>
      </c>
      <c r="B56" t="s">
        <v>304</v>
      </c>
      <c r="C56" s="11">
        <v>48.781768798828125</v>
      </c>
      <c r="D56" s="3">
        <v>144</v>
      </c>
      <c r="E56" s="11">
        <v>54.180294036865234</v>
      </c>
      <c r="F56" s="11">
        <v>45.943046569824219</v>
      </c>
      <c r="G56" s="11">
        <v>32.561241149902344</v>
      </c>
      <c r="H56" s="11">
        <v>16.494068145751953</v>
      </c>
      <c r="I56" s="11">
        <v>30.446254730224609</v>
      </c>
      <c r="J56" s="11">
        <v>55.008682250976563</v>
      </c>
      <c r="K56" s="11">
        <v>10.292281150817871</v>
      </c>
      <c r="L56" s="11">
        <v>36.082771301269531</v>
      </c>
      <c r="M56" s="11">
        <v>4.1693606376647949</v>
      </c>
      <c r="N56" s="11">
        <v>76.603424072265625</v>
      </c>
      <c r="O56" s="11">
        <v>58.353115081787109</v>
      </c>
      <c r="P56" s="11">
        <v>79.04998779296875</v>
      </c>
      <c r="Q56" s="11">
        <v>92.997657775878906</v>
      </c>
      <c r="R56" s="11">
        <v>44.707450866699219</v>
      </c>
      <c r="S56" s="11">
        <v>80.538192749023438</v>
      </c>
      <c r="T56" s="11">
        <v>48.809238433837891</v>
      </c>
      <c r="U56" s="11">
        <v>63.053001403808594</v>
      </c>
    </row>
    <row r="57" spans="1:21" x14ac:dyDescent="0.2">
      <c r="A57" t="s">
        <v>277</v>
      </c>
      <c r="B57" t="s">
        <v>278</v>
      </c>
      <c r="C57" s="11">
        <v>47.820415496826172</v>
      </c>
      <c r="D57" s="3">
        <v>148</v>
      </c>
      <c r="E57" s="11">
        <v>40.585655212402344</v>
      </c>
      <c r="F57" s="11">
        <v>44.460109710693359</v>
      </c>
      <c r="G57" s="11">
        <v>49.267326354980469</v>
      </c>
      <c r="H57" s="11">
        <v>35.086326599121094</v>
      </c>
      <c r="I57" s="11">
        <v>36.565059661865234</v>
      </c>
      <c r="J57" s="11">
        <v>67.762725830078125</v>
      </c>
      <c r="K57" s="11">
        <v>22.488561630249023</v>
      </c>
      <c r="L57" s="11">
        <v>17.048345565795898</v>
      </c>
      <c r="M57" s="11">
        <v>12.547503471374512</v>
      </c>
      <c r="N57" s="11">
        <v>37.628246307373047</v>
      </c>
      <c r="O57" s="11">
        <v>53.93408203125</v>
      </c>
      <c r="P57" s="11">
        <v>78.142158508300781</v>
      </c>
      <c r="Q57" s="11">
        <v>78.363136291503906</v>
      </c>
      <c r="R57" s="11">
        <v>41.498325347900391</v>
      </c>
      <c r="S57" s="11">
        <v>67.285171508789063</v>
      </c>
      <c r="T57" s="11">
        <v>64.272262573242188</v>
      </c>
      <c r="U57" s="11">
        <v>66.012054443359375</v>
      </c>
    </row>
    <row r="58" spans="1:21" x14ac:dyDescent="0.2">
      <c r="A58" t="s">
        <v>75</v>
      </c>
      <c r="B58" t="s">
        <v>76</v>
      </c>
      <c r="C58" s="11">
        <v>72.88934326171875</v>
      </c>
      <c r="D58" s="3">
        <v>38</v>
      </c>
      <c r="E58" s="11">
        <v>97.620574951171875</v>
      </c>
      <c r="F58" s="11">
        <v>66.355171203613281</v>
      </c>
      <c r="G58" s="11">
        <v>89.258880615234375</v>
      </c>
      <c r="H58" s="11">
        <v>88.849411010742188</v>
      </c>
      <c r="I58" s="11">
        <v>60.807964324951172</v>
      </c>
      <c r="J58" s="11">
        <v>94.659652709960938</v>
      </c>
      <c r="K58" s="11">
        <v>86.247100830078125</v>
      </c>
      <c r="L58" s="11">
        <v>66.116928100585938</v>
      </c>
      <c r="M58" s="11">
        <v>46.182373046875</v>
      </c>
      <c r="N58" s="11">
        <v>68.149253845214844</v>
      </c>
      <c r="O58" s="11">
        <v>95.724906921386719</v>
      </c>
      <c r="P58" s="11">
        <v>46.351654052734375</v>
      </c>
      <c r="Q58" s="11">
        <v>70.64605712890625</v>
      </c>
      <c r="R58" s="11">
        <v>57.925388336181641</v>
      </c>
      <c r="S58" s="11">
        <v>73.576171875</v>
      </c>
      <c r="T58" s="11">
        <v>65.306800842285156</v>
      </c>
      <c r="U58" s="11">
        <v>65.340522766113281</v>
      </c>
    </row>
    <row r="59" spans="1:21" x14ac:dyDescent="0.2">
      <c r="A59" t="s">
        <v>273</v>
      </c>
      <c r="B59" t="s">
        <v>274</v>
      </c>
      <c r="C59" s="11">
        <v>58.322341918945313</v>
      </c>
      <c r="D59" s="3">
        <v>112</v>
      </c>
      <c r="E59" s="11">
        <v>90.448410034179688</v>
      </c>
      <c r="F59" s="11">
        <v>39.6334228515625</v>
      </c>
      <c r="G59" s="11">
        <v>68.608856201171875</v>
      </c>
      <c r="H59" s="11">
        <v>64.883033752441406</v>
      </c>
      <c r="I59" s="11">
        <v>56.515811920166016</v>
      </c>
      <c r="J59" s="11">
        <v>82.380134582519531</v>
      </c>
      <c r="K59" s="11">
        <v>56.956695556640625</v>
      </c>
      <c r="L59" s="11">
        <v>60.69525146484375</v>
      </c>
      <c r="M59" s="11">
        <v>13.401149749755859</v>
      </c>
      <c r="N59" s="11">
        <v>33.816699981689453</v>
      </c>
      <c r="O59" s="11">
        <v>81.520561218261719</v>
      </c>
      <c r="P59" s="11">
        <v>74.655136108398438</v>
      </c>
      <c r="Q59" s="11">
        <v>88.654365539550781</v>
      </c>
      <c r="R59" s="11">
        <v>31.583148956298828</v>
      </c>
      <c r="S59" s="11">
        <v>43.889656066894531</v>
      </c>
      <c r="T59" s="11">
        <v>50.999580383300781</v>
      </c>
      <c r="U59" s="11">
        <v>52.837909698486328</v>
      </c>
    </row>
    <row r="60" spans="1:21" x14ac:dyDescent="0.2">
      <c r="A60" t="s">
        <v>211</v>
      </c>
      <c r="B60" t="s">
        <v>212</v>
      </c>
      <c r="C60" s="11">
        <v>64.66217041015625</v>
      </c>
      <c r="D60" s="3">
        <v>91</v>
      </c>
      <c r="E60" s="11">
        <v>94.041366577148438</v>
      </c>
      <c r="F60" s="11">
        <v>55.379142761230469</v>
      </c>
      <c r="G60" s="11">
        <v>64.551612854003906</v>
      </c>
      <c r="H60" s="11">
        <v>68.381546020507813</v>
      </c>
      <c r="I60" s="11">
        <v>63.833137512207031</v>
      </c>
      <c r="J60" s="11">
        <v>91.96978759765625</v>
      </c>
      <c r="K60" s="11">
        <v>89.414749145507813</v>
      </c>
      <c r="L60" s="11">
        <v>58.212669372558594</v>
      </c>
      <c r="M60" s="11">
        <v>18.29377555847168</v>
      </c>
      <c r="N60" s="11">
        <v>72.963836669921875</v>
      </c>
      <c r="O60" s="11">
        <v>81.833335876464844</v>
      </c>
      <c r="P60" s="11">
        <v>43.832027435302734</v>
      </c>
      <c r="Q60" s="11">
        <v>44.628662109375</v>
      </c>
      <c r="R60" s="11">
        <v>52.264263153076172</v>
      </c>
      <c r="S60" s="11">
        <v>86.250831604003906</v>
      </c>
      <c r="T60" s="11">
        <v>52.739246368408203</v>
      </c>
      <c r="U60" s="11">
        <v>60.666873931884766</v>
      </c>
    </row>
    <row r="61" spans="1:21" x14ac:dyDescent="0.2">
      <c r="A61" t="s">
        <v>251</v>
      </c>
      <c r="B61" t="s">
        <v>252</v>
      </c>
      <c r="C61" s="11">
        <v>61.654609680175781</v>
      </c>
      <c r="D61" s="3">
        <v>104</v>
      </c>
      <c r="E61" s="11">
        <v>80.238151550292969</v>
      </c>
      <c r="F61" s="11">
        <v>47.179206848144531</v>
      </c>
      <c r="G61" s="11">
        <v>73.026527404785156</v>
      </c>
      <c r="H61" s="11">
        <v>71.646965026855469</v>
      </c>
      <c r="I61" s="11">
        <v>65.473854064941406</v>
      </c>
      <c r="J61" s="11">
        <v>86.9266357421875</v>
      </c>
      <c r="K61" s="11">
        <v>67.170928955078125</v>
      </c>
      <c r="L61" s="11">
        <v>49.317523956298828</v>
      </c>
      <c r="M61" s="11">
        <v>12.56047248840332</v>
      </c>
      <c r="N61" s="11">
        <v>28.142372131347656</v>
      </c>
      <c r="O61" s="11">
        <v>80.107353210449219</v>
      </c>
      <c r="P61" s="11">
        <v>76.30865478515625</v>
      </c>
      <c r="Q61" s="11">
        <v>87.138198852539063</v>
      </c>
      <c r="R61" s="11">
        <v>41.772090911865234</v>
      </c>
      <c r="S61" s="11">
        <v>60.071929931640625</v>
      </c>
      <c r="T61" s="11">
        <v>48.607074737548828</v>
      </c>
      <c r="U61" s="11">
        <v>72.440406799316406</v>
      </c>
    </row>
    <row r="62" spans="1:21" x14ac:dyDescent="0.2">
      <c r="A62" t="s">
        <v>43</v>
      </c>
      <c r="B62" t="s">
        <v>44</v>
      </c>
      <c r="C62" s="11">
        <v>76.882652282714844</v>
      </c>
      <c r="D62" s="3">
        <v>24</v>
      </c>
      <c r="E62" s="11">
        <v>99.180335998535156</v>
      </c>
      <c r="F62" s="11">
        <v>67.885231018066406</v>
      </c>
      <c r="G62" s="11">
        <v>88.232681274414063</v>
      </c>
      <c r="H62" s="11">
        <v>85.507766723632813</v>
      </c>
      <c r="I62" s="11">
        <v>58.780471801757813</v>
      </c>
      <c r="J62" s="11">
        <v>95.715324401855469</v>
      </c>
      <c r="K62" s="11">
        <v>85.4901123046875</v>
      </c>
      <c r="L62" s="11">
        <v>70.55145263671875</v>
      </c>
      <c r="M62" s="11">
        <v>46.587928771972656</v>
      </c>
      <c r="N62" s="11">
        <v>80.0997314453125</v>
      </c>
      <c r="O62" s="11">
        <v>90.565338134765625</v>
      </c>
      <c r="P62" s="11">
        <v>71.451972961425781</v>
      </c>
      <c r="Q62" s="11">
        <v>88.76873779296875</v>
      </c>
      <c r="R62" s="11">
        <v>62.649059295654297</v>
      </c>
      <c r="S62" s="11">
        <v>81.291175842285156</v>
      </c>
      <c r="T62" s="11">
        <v>62.291271209716797</v>
      </c>
      <c r="U62" s="11">
        <v>71.956527709960938</v>
      </c>
    </row>
    <row r="63" spans="1:21" x14ac:dyDescent="0.2">
      <c r="A63" t="s">
        <v>323</v>
      </c>
      <c r="B63" t="s">
        <v>324</v>
      </c>
      <c r="C63" s="11">
        <v>44.082935333251953</v>
      </c>
      <c r="D63" s="3">
        <v>152</v>
      </c>
      <c r="E63" s="11">
        <v>33.76568603515625</v>
      </c>
      <c r="F63" s="11">
        <v>40.034885406494141</v>
      </c>
      <c r="G63" s="11">
        <v>44.641098022460938</v>
      </c>
      <c r="H63" s="11">
        <v>46.652839660644531</v>
      </c>
      <c r="I63" s="11">
        <v>38.079563140869141</v>
      </c>
      <c r="J63" s="11">
        <v>54.424442291259766</v>
      </c>
      <c r="K63" s="11">
        <v>18.403591156005859</v>
      </c>
      <c r="L63" s="11">
        <v>37.81005859375</v>
      </c>
      <c r="M63" s="11">
        <v>2.3194601535797119</v>
      </c>
      <c r="N63" s="11">
        <v>0</v>
      </c>
      <c r="O63" s="11">
        <v>44.048927307128906</v>
      </c>
      <c r="P63" s="11">
        <v>77.6737060546875</v>
      </c>
      <c r="Q63" s="11">
        <v>91.007698059082031</v>
      </c>
      <c r="R63" s="11">
        <v>34.943565368652344</v>
      </c>
      <c r="S63" s="11">
        <v>39.701396942138672</v>
      </c>
      <c r="T63" s="11">
        <v>45.902969360351563</v>
      </c>
      <c r="U63" s="11">
        <v>100</v>
      </c>
    </row>
    <row r="64" spans="1:21" x14ac:dyDescent="0.2">
      <c r="A64" t="s">
        <v>63</v>
      </c>
      <c r="B64" t="s">
        <v>64</v>
      </c>
      <c r="C64" s="11">
        <v>77.998916625976563</v>
      </c>
      <c r="D64" s="3">
        <v>18</v>
      </c>
      <c r="E64" s="11">
        <v>99.465522766113281</v>
      </c>
      <c r="F64" s="11">
        <v>69.899284362792969</v>
      </c>
      <c r="G64" s="11">
        <v>83.729301452636719</v>
      </c>
      <c r="H64" s="11">
        <v>89.0887451171875</v>
      </c>
      <c r="I64" s="11">
        <v>66.067840576171875</v>
      </c>
      <c r="J64" s="11">
        <v>97.6434326171875</v>
      </c>
      <c r="K64" s="11">
        <v>81.673423767089844</v>
      </c>
      <c r="L64" s="11">
        <v>79.67864990234375</v>
      </c>
      <c r="M64" s="11">
        <v>46.462184906005859</v>
      </c>
      <c r="N64" s="11">
        <v>85.716743469238281</v>
      </c>
      <c r="O64" s="11">
        <v>88.662551879882813</v>
      </c>
      <c r="P64" s="11">
        <v>68.938766479492188</v>
      </c>
      <c r="Q64" s="11">
        <v>92.302352905273438</v>
      </c>
      <c r="R64" s="11" t="s">
        <v>464</v>
      </c>
      <c r="S64" s="11">
        <v>79.844139099121094</v>
      </c>
      <c r="T64" s="11">
        <v>58.165660858154297</v>
      </c>
      <c r="U64" s="11">
        <v>60.644012451171875</v>
      </c>
    </row>
    <row r="65" spans="1:21" x14ac:dyDescent="0.2">
      <c r="A65" t="s">
        <v>169</v>
      </c>
      <c r="B65" t="s">
        <v>170</v>
      </c>
      <c r="C65" s="11">
        <v>62.883823394775391</v>
      </c>
      <c r="D65" s="3">
        <v>100</v>
      </c>
      <c r="E65" s="11">
        <v>94.638427734375</v>
      </c>
      <c r="F65" s="11">
        <v>46.899303436279297</v>
      </c>
      <c r="G65" s="11">
        <v>60.705047607421875</v>
      </c>
      <c r="H65" s="11">
        <v>76.186042785644531</v>
      </c>
      <c r="I65" s="11">
        <v>59.347736358642578</v>
      </c>
      <c r="J65" s="11">
        <v>81.646530151367188</v>
      </c>
      <c r="K65" s="11">
        <v>64.791748046875</v>
      </c>
      <c r="L65" s="11">
        <v>67.656394958496094</v>
      </c>
      <c r="M65" s="11">
        <v>25.422952651977539</v>
      </c>
      <c r="N65" s="11">
        <v>60.153610229492188</v>
      </c>
      <c r="O65" s="11">
        <v>58.680557250976563</v>
      </c>
      <c r="P65" s="11">
        <v>79.262466430664063</v>
      </c>
      <c r="Q65" s="11">
        <v>88.510787963867188</v>
      </c>
      <c r="R65" s="11">
        <v>44.498989105224609</v>
      </c>
      <c r="S65" s="11">
        <v>44.203742980957031</v>
      </c>
      <c r="T65" s="11">
        <v>69.886199951171875</v>
      </c>
      <c r="U65" s="11">
        <v>46.534442901611328</v>
      </c>
    </row>
    <row r="66" spans="1:21" x14ac:dyDescent="0.2">
      <c r="A66" t="s">
        <v>243</v>
      </c>
      <c r="B66" t="s">
        <v>244</v>
      </c>
      <c r="C66" s="11">
        <v>58.068820953369141</v>
      </c>
      <c r="D66" s="3">
        <v>116</v>
      </c>
      <c r="E66" s="11">
        <v>93.385078430175781</v>
      </c>
      <c r="F66" s="11">
        <v>36.852024078369141</v>
      </c>
      <c r="G66" s="11">
        <v>55.213714599609375</v>
      </c>
      <c r="H66" s="11">
        <v>65.300369262695313</v>
      </c>
      <c r="I66" s="11">
        <v>33.300739288330078</v>
      </c>
      <c r="J66" s="11">
        <v>73.716346740722656</v>
      </c>
      <c r="K66" s="11">
        <v>53.973793029785156</v>
      </c>
      <c r="L66" s="11">
        <v>68.254425048828125</v>
      </c>
      <c r="M66" s="11">
        <v>33.077934265136719</v>
      </c>
      <c r="N66" s="11">
        <v>72.533958435058594</v>
      </c>
      <c r="O66" s="11">
        <v>34.302524566650391</v>
      </c>
      <c r="P66" s="11">
        <v>81.556205749511719</v>
      </c>
      <c r="Q66" s="11">
        <v>74.665122985839844</v>
      </c>
      <c r="R66" s="11">
        <v>42.901557922363281</v>
      </c>
      <c r="S66" s="11">
        <v>46.971038818359375</v>
      </c>
      <c r="T66" s="11">
        <v>69.426445007324219</v>
      </c>
      <c r="U66" s="11">
        <v>51.738662719726563</v>
      </c>
    </row>
    <row r="67" spans="1:21" x14ac:dyDescent="0.2">
      <c r="A67" t="s">
        <v>53</v>
      </c>
      <c r="B67" t="s">
        <v>54</v>
      </c>
      <c r="C67" s="11">
        <v>77.920616149902344</v>
      </c>
      <c r="D67" s="3">
        <v>19</v>
      </c>
      <c r="E67" s="11">
        <v>99.723709106445313</v>
      </c>
      <c r="F67" s="11">
        <v>73.157554626464844</v>
      </c>
      <c r="G67" s="11">
        <v>94.351272583007813</v>
      </c>
      <c r="H67" s="11">
        <v>90.021224975585938</v>
      </c>
      <c r="I67" s="11">
        <v>72.877372741699219</v>
      </c>
      <c r="J67" s="11">
        <v>90.222404479980469</v>
      </c>
      <c r="K67" s="11">
        <v>86.42706298828125</v>
      </c>
      <c r="L67" s="11">
        <v>82.444915771484375</v>
      </c>
      <c r="M67" s="11">
        <v>70.513916015625</v>
      </c>
      <c r="N67" s="11">
        <v>80.071075439453125</v>
      </c>
      <c r="O67" s="11">
        <v>96.835952758789063</v>
      </c>
      <c r="P67" s="11">
        <v>46.949783325195313</v>
      </c>
      <c r="Q67" s="11">
        <v>85.69390869140625</v>
      </c>
      <c r="R67" s="11">
        <v>48.113216400146484</v>
      </c>
      <c r="S67" s="11">
        <v>74.577743530273438</v>
      </c>
      <c r="T67" s="11">
        <v>87.50469970703125</v>
      </c>
      <c r="U67" s="11">
        <v>45.164615631103516</v>
      </c>
    </row>
    <row r="68" spans="1:21" x14ac:dyDescent="0.2">
      <c r="A68" t="s">
        <v>191</v>
      </c>
      <c r="B68" t="s">
        <v>192</v>
      </c>
      <c r="C68" s="11">
        <v>64.7003173828125</v>
      </c>
      <c r="D68" s="3">
        <v>89</v>
      </c>
      <c r="E68" s="11">
        <v>99.975395202636719</v>
      </c>
      <c r="F68" s="11">
        <v>51.330020904541016</v>
      </c>
      <c r="G68" s="11">
        <v>77.170509338378906</v>
      </c>
      <c r="H68" s="11">
        <v>84.52490234375</v>
      </c>
      <c r="I68" s="11">
        <v>41.924640655517578</v>
      </c>
      <c r="J68" s="11">
        <v>68.425567626953125</v>
      </c>
      <c r="K68" s="11">
        <v>78.193031311035156</v>
      </c>
      <c r="L68" s="11">
        <v>71.361763000488281</v>
      </c>
      <c r="M68" s="11">
        <v>26.691362380981445</v>
      </c>
      <c r="N68" s="11">
        <v>66.229156494140625</v>
      </c>
      <c r="O68" s="11">
        <v>74.8621826171875</v>
      </c>
      <c r="P68" s="11">
        <v>68.293266296386719</v>
      </c>
      <c r="Q68" s="11">
        <v>73.429084777832031</v>
      </c>
      <c r="R68" s="11">
        <v>52.374366760253906</v>
      </c>
      <c r="S68" s="11">
        <v>56.738777160644531</v>
      </c>
      <c r="T68" s="11">
        <v>57.527076721191406</v>
      </c>
      <c r="U68" s="11">
        <v>50.854324340820313</v>
      </c>
    </row>
    <row r="69" spans="1:21" x14ac:dyDescent="0.2">
      <c r="A69" t="s">
        <v>229</v>
      </c>
      <c r="B69" t="s">
        <v>230</v>
      </c>
      <c r="C69" s="11">
        <v>56.630474090576172</v>
      </c>
      <c r="D69" s="3">
        <v>118</v>
      </c>
      <c r="E69" s="11">
        <v>99.053390502929688</v>
      </c>
      <c r="F69" s="11">
        <v>36.648422241210938</v>
      </c>
      <c r="G69" s="11">
        <v>62.182281494140625</v>
      </c>
      <c r="H69" s="11">
        <v>52.616146087646484</v>
      </c>
      <c r="I69" s="11">
        <v>36.507938385009766</v>
      </c>
      <c r="J69" s="11">
        <v>60.796527862548828</v>
      </c>
      <c r="K69" s="11">
        <v>77.101272583007813</v>
      </c>
      <c r="L69" s="11">
        <v>47.906410217285156</v>
      </c>
      <c r="M69" s="11">
        <v>4.7213234901428223</v>
      </c>
      <c r="N69" s="11">
        <v>84.713706970214844</v>
      </c>
      <c r="O69" s="11">
        <v>66.808929443359375</v>
      </c>
      <c r="P69" s="11">
        <v>76.993354797363281</v>
      </c>
      <c r="Q69" s="11">
        <v>86.768577575683594</v>
      </c>
      <c r="R69" s="11">
        <v>19.637678146362305</v>
      </c>
      <c r="S69" s="11">
        <v>30.803157806396484</v>
      </c>
      <c r="T69" s="11">
        <v>69.458915710449219</v>
      </c>
      <c r="U69" s="11">
        <v>50</v>
      </c>
    </row>
    <row r="70" spans="1:21" x14ac:dyDescent="0.2">
      <c r="A70" t="s">
        <v>77</v>
      </c>
      <c r="B70" t="s">
        <v>78</v>
      </c>
      <c r="C70" s="11">
        <v>79.29339599609375</v>
      </c>
      <c r="D70" s="3">
        <v>14</v>
      </c>
      <c r="E70" s="11">
        <v>99.694778442382813</v>
      </c>
      <c r="F70" s="11">
        <v>74.75579833984375</v>
      </c>
      <c r="G70" s="11">
        <v>95.754463195800781</v>
      </c>
      <c r="H70" s="11">
        <v>94.135650634765625</v>
      </c>
      <c r="I70" s="11">
        <v>92.604339599609375</v>
      </c>
      <c r="J70" s="11">
        <v>94.200714111328125</v>
      </c>
      <c r="K70" s="11">
        <v>98.862220764160156</v>
      </c>
      <c r="L70" s="11">
        <v>75.340507507324219</v>
      </c>
      <c r="M70" s="11">
        <v>67.032562255859375</v>
      </c>
      <c r="N70" s="11">
        <v>96.062362670898438</v>
      </c>
      <c r="O70" s="11">
        <v>99.256507873535156</v>
      </c>
      <c r="P70" s="11">
        <v>51.798942565917969</v>
      </c>
      <c r="Q70" s="11">
        <v>85.268295288085938</v>
      </c>
      <c r="R70" s="11">
        <v>29.993658065795898</v>
      </c>
      <c r="S70" s="11">
        <v>37.254894256591797</v>
      </c>
      <c r="T70" s="11">
        <v>92.368576049804688</v>
      </c>
      <c r="U70" s="11">
        <v>63.603481292724609</v>
      </c>
    </row>
    <row r="71" spans="1:21" x14ac:dyDescent="0.2">
      <c r="A71" t="s">
        <v>115</v>
      </c>
      <c r="B71" t="s">
        <v>116</v>
      </c>
      <c r="C71" s="11">
        <v>70.137542724609375</v>
      </c>
      <c r="D71" s="3">
        <v>52</v>
      </c>
      <c r="E71" s="11">
        <v>99.541290283203125</v>
      </c>
      <c r="F71" s="11">
        <v>61.005653381347656</v>
      </c>
      <c r="G71" s="11">
        <v>96.084831237792969</v>
      </c>
      <c r="H71" s="11">
        <v>94.2296142578125</v>
      </c>
      <c r="I71" s="11">
        <v>73.485389709472656</v>
      </c>
      <c r="J71" s="11">
        <v>74.846771240234375</v>
      </c>
      <c r="K71" s="11">
        <v>88.627227783203125</v>
      </c>
      <c r="L71" s="11">
        <v>82.657600402832031</v>
      </c>
      <c r="M71" s="11">
        <v>69.671928405761719</v>
      </c>
      <c r="N71" s="11">
        <v>50.667732238769531</v>
      </c>
      <c r="O71" s="11">
        <v>91.07806396484375</v>
      </c>
      <c r="P71" s="11">
        <v>47.153480529785156</v>
      </c>
      <c r="Q71" s="11">
        <v>83.083221435546875</v>
      </c>
      <c r="R71" s="11">
        <v>35.051239013671875</v>
      </c>
      <c r="S71" s="11">
        <v>31.33137321472168</v>
      </c>
      <c r="T71" s="11">
        <v>62.650470733642578</v>
      </c>
      <c r="U71" s="11">
        <v>51.172328948974609</v>
      </c>
    </row>
    <row r="72" spans="1:21" x14ac:dyDescent="0.2">
      <c r="A72" t="s">
        <v>67</v>
      </c>
      <c r="B72" t="s">
        <v>68</v>
      </c>
      <c r="C72" s="11">
        <v>75.497833251953125</v>
      </c>
      <c r="D72" s="3">
        <v>30</v>
      </c>
      <c r="E72" s="11">
        <v>98.506698608398438</v>
      </c>
      <c r="F72" s="11">
        <v>68.326179504394531</v>
      </c>
      <c r="G72" s="11">
        <v>91.825416564941406</v>
      </c>
      <c r="H72" s="11">
        <v>90.883140563964844</v>
      </c>
      <c r="I72" s="11">
        <v>67.329063415527344</v>
      </c>
      <c r="J72" s="11">
        <v>90.909912109375</v>
      </c>
      <c r="K72" s="11">
        <v>88.001434326171875</v>
      </c>
      <c r="L72" s="11">
        <v>78.971290588378906</v>
      </c>
      <c r="M72" s="11">
        <v>60.708827972412109</v>
      </c>
      <c r="N72" s="11">
        <v>72.505302429199219</v>
      </c>
      <c r="O72" s="11">
        <v>91.78021240234375</v>
      </c>
      <c r="P72" s="11">
        <v>56.747756958007813</v>
      </c>
      <c r="Q72" s="11">
        <v>75.682723999023438</v>
      </c>
      <c r="R72" s="11">
        <v>47.563304901123047</v>
      </c>
      <c r="S72" s="11">
        <v>78.173255920410156</v>
      </c>
      <c r="T72" s="11">
        <v>59.840625762939453</v>
      </c>
      <c r="U72" s="11">
        <v>65.708076477050781</v>
      </c>
    </row>
    <row r="73" spans="1:21" x14ac:dyDescent="0.2">
      <c r="A73" t="s">
        <v>183</v>
      </c>
      <c r="B73" t="s">
        <v>184</v>
      </c>
      <c r="C73" s="11">
        <v>66.570106506347656</v>
      </c>
      <c r="D73" s="3">
        <v>74</v>
      </c>
      <c r="E73" s="11">
        <v>99.242607116699219</v>
      </c>
      <c r="F73" s="11">
        <v>47.283596038818359</v>
      </c>
      <c r="G73" s="11">
        <v>82.784408569335938</v>
      </c>
      <c r="H73" s="11">
        <v>80.237831115722656</v>
      </c>
      <c r="I73" s="11">
        <v>71.784927368164063</v>
      </c>
      <c r="J73" s="11">
        <v>87.437355041503906</v>
      </c>
      <c r="K73" s="11">
        <v>76.29632568359375</v>
      </c>
      <c r="L73" s="11">
        <v>61.848472595214844</v>
      </c>
      <c r="M73" s="11">
        <v>24.408016204833984</v>
      </c>
      <c r="N73" s="11">
        <v>42.987331390380859</v>
      </c>
      <c r="O73" s="11">
        <v>88.395751953125</v>
      </c>
      <c r="P73" s="11">
        <v>76.8265380859375</v>
      </c>
      <c r="Q73" s="11">
        <v>78.005653381347656</v>
      </c>
      <c r="R73" s="11">
        <v>33.202381134033203</v>
      </c>
      <c r="S73" s="11">
        <v>48.853469848632813</v>
      </c>
      <c r="T73" s="11">
        <v>56.246994018554688</v>
      </c>
      <c r="U73" s="11">
        <v>75.85015869140625</v>
      </c>
    </row>
    <row r="74" spans="1:21" x14ac:dyDescent="0.2">
      <c r="A74" t="s">
        <v>173</v>
      </c>
      <c r="B74" t="s">
        <v>174</v>
      </c>
      <c r="C74" s="11">
        <v>65.960952758789063</v>
      </c>
      <c r="D74" s="3">
        <v>80</v>
      </c>
      <c r="E74" s="11">
        <v>99.965446472167969</v>
      </c>
      <c r="F74" s="11">
        <v>47.723148345947266</v>
      </c>
      <c r="G74" s="11">
        <v>77.721748352050781</v>
      </c>
      <c r="H74" s="11">
        <v>87.489501953125</v>
      </c>
      <c r="I74" s="11">
        <v>42.021240234375</v>
      </c>
      <c r="J74" s="11">
        <v>65.504043579101563</v>
      </c>
      <c r="K74" s="11">
        <v>85.78814697265625</v>
      </c>
      <c r="L74" s="11">
        <v>56.939994812011719</v>
      </c>
      <c r="M74" s="11">
        <v>31.482135772705078</v>
      </c>
      <c r="N74" s="11">
        <v>65.5126953125</v>
      </c>
      <c r="O74" s="11">
        <v>76.742225646972656</v>
      </c>
      <c r="P74" s="11">
        <v>75.480087280273438</v>
      </c>
      <c r="Q74" s="11">
        <v>86.284698486328125</v>
      </c>
      <c r="R74" s="11">
        <v>33.411865234375</v>
      </c>
      <c r="S74" s="11">
        <v>40.233139038085938</v>
      </c>
      <c r="T74" s="11">
        <v>74.758163452148438</v>
      </c>
      <c r="U74" s="11">
        <v>74.27789306640625</v>
      </c>
    </row>
    <row r="75" spans="1:21" x14ac:dyDescent="0.2">
      <c r="A75" t="s">
        <v>61</v>
      </c>
      <c r="B75" t="s">
        <v>62</v>
      </c>
      <c r="C75" s="11">
        <v>80.182380676269531</v>
      </c>
      <c r="D75" s="3">
        <v>11</v>
      </c>
      <c r="E75" s="11">
        <v>99.277542114257813</v>
      </c>
      <c r="F75" s="11">
        <v>74.570213317871094</v>
      </c>
      <c r="G75" s="11">
        <v>94.315315246582031</v>
      </c>
      <c r="H75" s="11">
        <v>96.358871459960938</v>
      </c>
      <c r="I75" s="11">
        <v>60.674476623535156</v>
      </c>
      <c r="J75" s="11">
        <v>94.299949645996094</v>
      </c>
      <c r="K75" s="11">
        <v>87.846572875976563</v>
      </c>
      <c r="L75" s="11">
        <v>92.089874267578125</v>
      </c>
      <c r="M75" s="11">
        <v>87.321243286132813</v>
      </c>
      <c r="N75" s="11">
        <v>81.246063232421875</v>
      </c>
      <c r="O75" s="11">
        <v>95.090469360351563</v>
      </c>
      <c r="P75" s="11">
        <v>55.507480621337891</v>
      </c>
      <c r="Q75" s="11">
        <v>79.950263977050781</v>
      </c>
      <c r="R75" s="11">
        <v>59.006992340087891</v>
      </c>
      <c r="S75" s="11">
        <v>64.945892333984375</v>
      </c>
      <c r="T75" s="11">
        <v>88.317863464355469</v>
      </c>
      <c r="U75" s="11">
        <v>52.281402587890625</v>
      </c>
    </row>
    <row r="76" spans="1:21" x14ac:dyDescent="0.2">
      <c r="A76" t="s">
        <v>151</v>
      </c>
      <c r="B76" t="s">
        <v>152</v>
      </c>
      <c r="C76" s="11">
        <v>71.093528747558594</v>
      </c>
      <c r="D76" s="3">
        <v>46</v>
      </c>
      <c r="E76" s="11">
        <v>99.975723266601563</v>
      </c>
      <c r="F76" s="11">
        <v>49.155918121337891</v>
      </c>
      <c r="G76" s="11">
        <v>74.085556030273438</v>
      </c>
      <c r="H76" s="11">
        <v>86.005271911621094</v>
      </c>
      <c r="I76" s="11">
        <v>76.306953430175781</v>
      </c>
      <c r="J76" s="11">
        <v>92.399742126464844</v>
      </c>
      <c r="K76" s="11">
        <v>73.98614501953125</v>
      </c>
      <c r="L76" s="11">
        <v>75.002326965332031</v>
      </c>
      <c r="M76" s="11">
        <v>36.902854919433594</v>
      </c>
      <c r="N76" s="11">
        <v>97.810516357421875</v>
      </c>
      <c r="O76" s="11">
        <v>88.318862915039063</v>
      </c>
      <c r="P76" s="11">
        <v>54.992057800292969</v>
      </c>
      <c r="Q76" s="11">
        <v>75.575569152832031</v>
      </c>
      <c r="R76" s="11" t="s">
        <v>464</v>
      </c>
      <c r="S76" s="11">
        <v>45.687618255615234</v>
      </c>
      <c r="T76" s="11">
        <v>63.179485321044922</v>
      </c>
      <c r="U76" s="11">
        <v>48.111862182617188</v>
      </c>
    </row>
    <row r="77" spans="1:21" x14ac:dyDescent="0.2">
      <c r="A77" t="s">
        <v>265</v>
      </c>
      <c r="B77" t="s">
        <v>266</v>
      </c>
      <c r="C77" s="11">
        <v>54.930751800537109</v>
      </c>
      <c r="D77" s="3">
        <v>125</v>
      </c>
      <c r="E77" s="11">
        <v>76.744308471679688</v>
      </c>
      <c r="F77" s="11">
        <v>48.355484008789063</v>
      </c>
      <c r="G77" s="11">
        <v>45.779933929443359</v>
      </c>
      <c r="H77" s="11">
        <v>59.329685211181641</v>
      </c>
      <c r="I77" s="11">
        <v>64.375144958496094</v>
      </c>
      <c r="J77" s="11">
        <v>53.466350555419922</v>
      </c>
      <c r="K77" s="11">
        <v>34.556526184082031</v>
      </c>
      <c r="L77" s="11">
        <v>57.192615509033203</v>
      </c>
      <c r="M77" s="11">
        <v>25.565950393676758</v>
      </c>
      <c r="N77" s="11">
        <v>34.246574401855469</v>
      </c>
      <c r="O77" s="11">
        <v>64.900726318359375</v>
      </c>
      <c r="P77" s="11">
        <v>80.258934020996094</v>
      </c>
      <c r="Q77" s="11">
        <v>71.965858459472656</v>
      </c>
      <c r="R77" s="11">
        <v>42.005558013916016</v>
      </c>
      <c r="S77" s="11">
        <v>53.466796875</v>
      </c>
      <c r="T77" s="11">
        <v>58.906005859375</v>
      </c>
      <c r="U77" s="11">
        <v>62.706348419189453</v>
      </c>
    </row>
    <row r="78" spans="1:21" x14ac:dyDescent="0.2">
      <c r="A78" t="s">
        <v>109</v>
      </c>
      <c r="B78" t="s">
        <v>110</v>
      </c>
      <c r="C78" s="11">
        <v>70.669357299804688</v>
      </c>
      <c r="D78" s="3">
        <v>49</v>
      </c>
      <c r="E78" s="11">
        <v>99.348625183105469</v>
      </c>
      <c r="F78" s="11">
        <v>59.932872772216797</v>
      </c>
      <c r="G78" s="11">
        <v>72.574417114257813</v>
      </c>
      <c r="H78" s="11">
        <v>84.942695617675781</v>
      </c>
      <c r="I78" s="11">
        <v>64.592636108398438</v>
      </c>
      <c r="J78" s="11">
        <v>86.343765258789063</v>
      </c>
      <c r="K78" s="11">
        <v>84.817405700683594</v>
      </c>
      <c r="L78" s="11">
        <v>38.312465667724609</v>
      </c>
      <c r="M78" s="11">
        <v>13.573533058166504</v>
      </c>
      <c r="N78" s="11">
        <v>96.406257629394531</v>
      </c>
      <c r="O78" s="11">
        <v>87.396682739257813</v>
      </c>
      <c r="P78" s="11">
        <v>74.249763488769531</v>
      </c>
      <c r="Q78" s="11">
        <v>83.116523742675781</v>
      </c>
      <c r="R78" s="11" t="s">
        <v>464</v>
      </c>
      <c r="S78" s="11">
        <v>58.557193756103516</v>
      </c>
      <c r="T78" s="11">
        <v>56.944732666015625</v>
      </c>
      <c r="U78" s="11">
        <v>69.600135803222656</v>
      </c>
    </row>
    <row r="79" spans="1:21" x14ac:dyDescent="0.2">
      <c r="A79" t="s">
        <v>225</v>
      </c>
      <c r="B79" t="s">
        <v>226</v>
      </c>
      <c r="C79" s="11">
        <v>58.173931121826172</v>
      </c>
      <c r="D79" s="3">
        <v>114</v>
      </c>
      <c r="E79" s="11">
        <v>99.842437744140625</v>
      </c>
      <c r="F79" s="11">
        <v>49.726593017578125</v>
      </c>
      <c r="G79" s="11">
        <v>62.11962890625</v>
      </c>
      <c r="H79" s="11">
        <v>60.405696868896484</v>
      </c>
      <c r="I79" s="11">
        <v>55.389511108398438</v>
      </c>
      <c r="J79" s="11">
        <v>71.168540954589844</v>
      </c>
      <c r="K79" s="11">
        <v>33.402381896972656</v>
      </c>
      <c r="L79" s="11">
        <v>52.175670623779297</v>
      </c>
      <c r="M79" s="11">
        <v>16.752288818359375</v>
      </c>
      <c r="N79" s="11">
        <v>85.114921569824219</v>
      </c>
      <c r="O79" s="11">
        <v>75.924430847167969</v>
      </c>
      <c r="P79" s="11">
        <v>80.83868408203125</v>
      </c>
      <c r="Q79" s="11">
        <v>64.401611328125</v>
      </c>
      <c r="R79" s="11">
        <v>29.256141662597656</v>
      </c>
      <c r="S79" s="11">
        <v>43.740550994873047</v>
      </c>
      <c r="T79" s="11">
        <v>54.593021392822266</v>
      </c>
      <c r="U79" s="11">
        <v>54.104732513427734</v>
      </c>
    </row>
    <row r="80" spans="1:21" x14ac:dyDescent="0.2">
      <c r="A80" t="s">
        <v>81</v>
      </c>
      <c r="B80" t="s">
        <v>82</v>
      </c>
      <c r="C80" s="11">
        <v>75.479362487792969</v>
      </c>
      <c r="D80" s="3">
        <v>31</v>
      </c>
      <c r="E80" s="11">
        <v>97.663604736328125</v>
      </c>
      <c r="F80" s="11">
        <v>76.493354797363281</v>
      </c>
      <c r="G80" s="11">
        <v>92.105255126953125</v>
      </c>
      <c r="H80" s="11">
        <v>91.117691040039063</v>
      </c>
      <c r="I80" s="11">
        <v>63.503501892089844</v>
      </c>
      <c r="J80" s="11">
        <v>84.121475219726563</v>
      </c>
      <c r="K80" s="11">
        <v>88.905723571777344</v>
      </c>
      <c r="L80" s="11">
        <v>78.625869750976563</v>
      </c>
      <c r="M80" s="11">
        <v>84.932319641113281</v>
      </c>
      <c r="N80" s="11" t="s">
        <v>464</v>
      </c>
      <c r="O80" s="11">
        <v>86.060226440429688</v>
      </c>
      <c r="P80" s="11">
        <v>64.763633728027344</v>
      </c>
      <c r="Q80" s="11">
        <v>79.790443420410156</v>
      </c>
      <c r="R80" s="11">
        <v>49.680862426757813</v>
      </c>
      <c r="S80" s="11">
        <v>48.280143737792969</v>
      </c>
      <c r="T80" s="11">
        <v>65.941795349121094</v>
      </c>
      <c r="U80" s="11">
        <v>55.683891296386719</v>
      </c>
    </row>
    <row r="81" spans="1:21" x14ac:dyDescent="0.2">
      <c r="A81" t="s">
        <v>235</v>
      </c>
      <c r="B81" t="s">
        <v>236</v>
      </c>
      <c r="C81" s="11">
        <v>62.398468017578125</v>
      </c>
      <c r="D81" s="3">
        <v>102</v>
      </c>
      <c r="E81" s="11">
        <v>99.463706970214844</v>
      </c>
      <c r="F81" s="11">
        <v>64.209861755371094</v>
      </c>
      <c r="G81" s="11">
        <v>85.970413208007813</v>
      </c>
      <c r="H81" s="11">
        <v>76.281219482421875</v>
      </c>
      <c r="I81" s="11">
        <v>48.931182861328125</v>
      </c>
      <c r="J81" s="11">
        <v>49.491870880126953</v>
      </c>
      <c r="K81" s="11">
        <v>85.860084533691406</v>
      </c>
      <c r="L81" s="11">
        <v>91.731407165527344</v>
      </c>
      <c r="M81" s="11">
        <v>43.838886260986328</v>
      </c>
      <c r="N81" s="11" t="s">
        <v>464</v>
      </c>
      <c r="O81" s="11">
        <v>26.394050598144531</v>
      </c>
      <c r="P81" s="11">
        <v>24.305517196655273</v>
      </c>
      <c r="Q81" s="11">
        <v>58.558559417724609</v>
      </c>
      <c r="R81" s="11">
        <v>36.448379516601563</v>
      </c>
      <c r="S81" s="11">
        <v>40.366233825683594</v>
      </c>
      <c r="T81" s="11">
        <v>66.524131774902344</v>
      </c>
      <c r="U81" s="11">
        <v>100</v>
      </c>
    </row>
    <row r="82" spans="1:21" x14ac:dyDescent="0.2">
      <c r="A82" t="s">
        <v>249</v>
      </c>
      <c r="B82" t="s">
        <v>250</v>
      </c>
      <c r="C82" s="11">
        <v>61.374114990234375</v>
      </c>
      <c r="D82" s="3">
        <v>107</v>
      </c>
      <c r="E82" s="11">
        <v>86.092529296875</v>
      </c>
      <c r="F82" s="11">
        <v>51.434421539306641</v>
      </c>
      <c r="G82" s="11">
        <v>55.808006286621094</v>
      </c>
      <c r="H82" s="11">
        <v>64.200408935546875</v>
      </c>
      <c r="I82" s="11">
        <v>68.276565551757813</v>
      </c>
      <c r="J82" s="11">
        <v>79.282669067382813</v>
      </c>
      <c r="K82" s="11">
        <v>38.141223907470703</v>
      </c>
      <c r="L82" s="11">
        <v>65.958778381347656</v>
      </c>
      <c r="M82" s="11">
        <v>12.935364723205566</v>
      </c>
      <c r="N82" s="11">
        <v>64.681610107421875</v>
      </c>
      <c r="O82" s="11">
        <v>67.398391723632813</v>
      </c>
      <c r="P82" s="11">
        <v>78.793655395507813</v>
      </c>
      <c r="Q82" s="11">
        <v>81.789253234863281</v>
      </c>
      <c r="R82" s="11" t="s">
        <v>464</v>
      </c>
      <c r="S82" s="11">
        <v>51.307704925537109</v>
      </c>
      <c r="T82" s="11">
        <v>63.578239440917969</v>
      </c>
      <c r="U82" s="11">
        <v>52.307025909423828</v>
      </c>
    </row>
    <row r="83" spans="1:21" x14ac:dyDescent="0.2">
      <c r="A83" t="s">
        <v>209</v>
      </c>
      <c r="B83" t="s">
        <v>210</v>
      </c>
      <c r="C83" s="11">
        <v>64.928535461425781</v>
      </c>
      <c r="D83" s="3">
        <v>86</v>
      </c>
      <c r="E83" s="11">
        <v>95.532852172851563</v>
      </c>
      <c r="F83" s="11">
        <v>44.476360321044922</v>
      </c>
      <c r="G83" s="11">
        <v>80.468620300292969</v>
      </c>
      <c r="H83" s="11">
        <v>72.128669738769531</v>
      </c>
      <c r="I83" s="11">
        <v>39.063472747802734</v>
      </c>
      <c r="J83" s="11">
        <v>80.536277770996094</v>
      </c>
      <c r="K83" s="11">
        <v>87.544425964355469</v>
      </c>
      <c r="L83" s="11">
        <v>75.55718994140625</v>
      </c>
      <c r="M83" s="11">
        <v>35.405422210693359</v>
      </c>
      <c r="N83" s="11">
        <v>67.232185363769531</v>
      </c>
      <c r="O83" s="11">
        <v>72.016754150390625</v>
      </c>
      <c r="P83" s="11">
        <v>73.440238952636719</v>
      </c>
      <c r="Q83" s="11">
        <v>77.681427001953125</v>
      </c>
      <c r="R83" s="11">
        <v>36.556545257568359</v>
      </c>
      <c r="S83" s="11">
        <v>50.681430816650391</v>
      </c>
      <c r="T83" s="11">
        <v>58.965755462646484</v>
      </c>
      <c r="U83" s="11">
        <v>56.497459411621094</v>
      </c>
    </row>
    <row r="84" spans="1:21" x14ac:dyDescent="0.2">
      <c r="A84" t="s">
        <v>333</v>
      </c>
      <c r="B84" t="s">
        <v>334</v>
      </c>
      <c r="C84" s="11">
        <v>42.820667266845703</v>
      </c>
      <c r="D84" s="3">
        <v>154</v>
      </c>
      <c r="E84" s="11">
        <v>9.8144893646240234</v>
      </c>
      <c r="F84" s="11">
        <v>43.573169708251953</v>
      </c>
      <c r="G84" s="11">
        <v>31.017829895019531</v>
      </c>
      <c r="H84" s="11">
        <v>12.05637264251709</v>
      </c>
      <c r="I84" s="11">
        <v>37.368942260742188</v>
      </c>
      <c r="J84" s="11">
        <v>59.573749542236328</v>
      </c>
      <c r="K84" s="11">
        <v>1.6766632637940822E-14</v>
      </c>
      <c r="L84" s="11">
        <v>47.406871795654297</v>
      </c>
      <c r="M84" s="11">
        <v>8.7637290954589844</v>
      </c>
      <c r="N84" s="11">
        <v>68.722412109375</v>
      </c>
      <c r="O84" s="11">
        <v>49.318462371826172</v>
      </c>
      <c r="P84" s="11">
        <v>82.8680419921875</v>
      </c>
      <c r="Q84" s="11">
        <v>74.461036682128906</v>
      </c>
      <c r="R84" s="11">
        <v>44.755393981933594</v>
      </c>
      <c r="S84" s="11">
        <v>55.866058349609375</v>
      </c>
      <c r="T84" s="11">
        <v>52.632968902587891</v>
      </c>
      <c r="U84" s="11">
        <v>49.751819610595703</v>
      </c>
    </row>
    <row r="85" spans="1:21" x14ac:dyDescent="0.2">
      <c r="A85" t="s">
        <v>185</v>
      </c>
      <c r="B85" t="s">
        <v>186</v>
      </c>
      <c r="C85" s="11">
        <v>65.910682678222656</v>
      </c>
      <c r="D85" s="3">
        <v>81</v>
      </c>
      <c r="E85" s="11">
        <v>99.620010375976563</v>
      </c>
      <c r="F85" s="11">
        <v>41.165939331054688</v>
      </c>
      <c r="G85" s="11">
        <v>86.234405517578125</v>
      </c>
      <c r="H85" s="11">
        <v>90.092369079589844</v>
      </c>
      <c r="I85" s="11">
        <v>47.629158020019531</v>
      </c>
      <c r="J85" s="11">
        <v>86.193649291992188</v>
      </c>
      <c r="K85" s="11">
        <v>57.963207244873047</v>
      </c>
      <c r="L85" s="11">
        <v>80.222900390625</v>
      </c>
      <c r="M85" s="11">
        <v>17.917217254638672</v>
      </c>
      <c r="N85" s="11">
        <v>61.042011260986328</v>
      </c>
      <c r="O85" s="11">
        <v>73.093490600585938</v>
      </c>
      <c r="P85" s="11">
        <v>66.978889465332031</v>
      </c>
      <c r="Q85" s="11">
        <v>83.682060241699219</v>
      </c>
      <c r="R85" s="11">
        <v>54.504829406738281</v>
      </c>
      <c r="S85" s="11">
        <v>60.680572509765625</v>
      </c>
      <c r="T85" s="11">
        <v>70.003440856933594</v>
      </c>
      <c r="U85" s="11">
        <v>43.457462310791016</v>
      </c>
    </row>
    <row r="86" spans="1:21" x14ac:dyDescent="0.2">
      <c r="A86" t="s">
        <v>305</v>
      </c>
      <c r="B86" t="s">
        <v>306</v>
      </c>
      <c r="C86" s="11">
        <v>52.966930389404297</v>
      </c>
      <c r="D86" s="3">
        <v>128</v>
      </c>
      <c r="E86" s="11">
        <v>31.627462387084961</v>
      </c>
      <c r="F86" s="11">
        <v>51.164150238037109</v>
      </c>
      <c r="G86" s="11">
        <v>34.288810729980469</v>
      </c>
      <c r="H86" s="11">
        <v>54.868251800537109</v>
      </c>
      <c r="I86" s="11">
        <v>73.7900390625</v>
      </c>
      <c r="J86" s="11">
        <v>70.950897216796875</v>
      </c>
      <c r="K86" s="11">
        <v>28.647037506103516</v>
      </c>
      <c r="L86" s="11">
        <v>27.521949768066406</v>
      </c>
      <c r="M86" s="11">
        <v>15.95068359375</v>
      </c>
      <c r="N86" s="11">
        <v>17.99736213684082</v>
      </c>
      <c r="O86" s="11">
        <v>76.407424926757813</v>
      </c>
      <c r="P86" s="11">
        <v>79.154953002929688</v>
      </c>
      <c r="Q86" s="11">
        <v>73.018661499023438</v>
      </c>
      <c r="R86" s="11" t="s">
        <v>464</v>
      </c>
      <c r="S86" s="11">
        <v>67.147994995117188</v>
      </c>
      <c r="T86" s="11">
        <v>44.935188293457031</v>
      </c>
      <c r="U86" s="11">
        <v>100</v>
      </c>
    </row>
    <row r="87" spans="1:21" x14ac:dyDescent="0.2">
      <c r="A87" t="s">
        <v>93</v>
      </c>
      <c r="B87" t="s">
        <v>94</v>
      </c>
      <c r="C87" s="11">
        <v>73.626411437988281</v>
      </c>
      <c r="D87" s="3">
        <v>36</v>
      </c>
      <c r="E87" s="11">
        <v>99.115058898925781</v>
      </c>
      <c r="F87" s="11">
        <v>65.257278442382813</v>
      </c>
      <c r="G87" s="11">
        <v>83.746292114257813</v>
      </c>
      <c r="H87" s="11">
        <v>96.750358581542969</v>
      </c>
      <c r="I87" s="11">
        <v>70.843559265136719</v>
      </c>
      <c r="J87" s="11">
        <v>92.410812377929688</v>
      </c>
      <c r="K87" s="11">
        <v>66.666664123535156</v>
      </c>
      <c r="L87" s="11">
        <v>78.889579772949219</v>
      </c>
      <c r="M87" s="11">
        <v>51.630657196044922</v>
      </c>
      <c r="N87" s="11">
        <v>72.533958435058594</v>
      </c>
      <c r="O87" s="11">
        <v>92.028274536132813</v>
      </c>
      <c r="P87" s="11">
        <v>65.810333251953125</v>
      </c>
      <c r="Q87" s="11">
        <v>76.640953063964844</v>
      </c>
      <c r="R87" s="11">
        <v>43.822837829589844</v>
      </c>
      <c r="S87" s="11">
        <v>82.85858154296875</v>
      </c>
      <c r="T87" s="11">
        <v>63.656261444091797</v>
      </c>
      <c r="U87" s="11">
        <v>48.987529754638672</v>
      </c>
    </row>
    <row r="88" spans="1:21" x14ac:dyDescent="0.2">
      <c r="A88" t="s">
        <v>85</v>
      </c>
      <c r="B88" t="s">
        <v>86</v>
      </c>
      <c r="C88" s="11">
        <v>74.997245788574219</v>
      </c>
      <c r="D88" s="3">
        <v>33</v>
      </c>
      <c r="E88" s="11">
        <v>99.603439331054688</v>
      </c>
      <c r="F88" s="11">
        <v>66.940010070800781</v>
      </c>
      <c r="G88" s="11">
        <v>93.893379211425781</v>
      </c>
      <c r="H88" s="11">
        <v>86.453033447265625</v>
      </c>
      <c r="I88" s="11">
        <v>72.696807861328125</v>
      </c>
      <c r="J88" s="11">
        <v>88.091194152832031</v>
      </c>
      <c r="K88" s="11">
        <v>66.666664123535156</v>
      </c>
      <c r="L88" s="11">
        <v>92.457489013671875</v>
      </c>
      <c r="M88" s="11">
        <v>64.640533447265625</v>
      </c>
      <c r="N88" s="11">
        <v>73.565658569335938</v>
      </c>
      <c r="O88" s="11">
        <v>93.866172790527344</v>
      </c>
      <c r="P88" s="11">
        <v>34.268917083740234</v>
      </c>
      <c r="Q88" s="11">
        <v>72.777664184570313</v>
      </c>
      <c r="R88" s="11" t="s">
        <v>464</v>
      </c>
      <c r="S88" s="11">
        <v>50.93353271484375</v>
      </c>
      <c r="T88" s="11">
        <v>91.800727844238281</v>
      </c>
      <c r="U88" s="11">
        <v>51.300735473632813</v>
      </c>
    </row>
    <row r="89" spans="1:21" x14ac:dyDescent="0.2">
      <c r="A89" t="s">
        <v>47</v>
      </c>
      <c r="B89" t="s">
        <v>48</v>
      </c>
      <c r="C89" s="11">
        <v>75.227745056152344</v>
      </c>
      <c r="D89" s="3">
        <v>32</v>
      </c>
      <c r="E89" s="11">
        <v>98.909439086914063</v>
      </c>
      <c r="F89" s="11">
        <v>63.536281585693359</v>
      </c>
      <c r="G89" s="11">
        <v>82.305625915527344</v>
      </c>
      <c r="H89" s="11">
        <v>92.660690307617188</v>
      </c>
      <c r="I89" s="11">
        <v>70.437545776367188</v>
      </c>
      <c r="J89" s="11">
        <v>92.201957702636719</v>
      </c>
      <c r="K89" s="11">
        <v>84.57501220703125</v>
      </c>
      <c r="L89" s="11">
        <v>85.287063598632813</v>
      </c>
      <c r="M89" s="11">
        <v>42.773845672607422</v>
      </c>
      <c r="N89" s="11">
        <v>71.588233947753906</v>
      </c>
      <c r="O89" s="11">
        <v>90.018074035644531</v>
      </c>
      <c r="P89" s="11">
        <v>71.960250854492188</v>
      </c>
      <c r="Q89" s="11">
        <v>78.781440734863281</v>
      </c>
      <c r="R89" s="11">
        <v>57.154228210449219</v>
      </c>
      <c r="S89" s="11">
        <v>78.323562622070313</v>
      </c>
      <c r="T89" s="11">
        <v>66.203964233398438</v>
      </c>
      <c r="U89" s="11">
        <v>52.154476165771484</v>
      </c>
    </row>
    <row r="90" spans="1:21" x14ac:dyDescent="0.2">
      <c r="A90" t="s">
        <v>159</v>
      </c>
      <c r="B90" t="s">
        <v>160</v>
      </c>
      <c r="C90" s="11">
        <v>66.661727905273438</v>
      </c>
      <c r="D90" s="3">
        <v>73</v>
      </c>
      <c r="E90" s="11">
        <v>99.6373291015625</v>
      </c>
      <c r="F90" s="11">
        <v>52.453468322753906</v>
      </c>
      <c r="G90" s="11">
        <v>71.515975952148438</v>
      </c>
      <c r="H90" s="11">
        <v>70.790802001953125</v>
      </c>
      <c r="I90" s="11">
        <v>39.599288940429688</v>
      </c>
      <c r="J90" s="11">
        <v>77.63232421875</v>
      </c>
      <c r="K90" s="11">
        <v>76.222526550292969</v>
      </c>
      <c r="L90" s="11">
        <v>59.337879180908203</v>
      </c>
      <c r="M90" s="11">
        <v>30.675399780273438</v>
      </c>
      <c r="N90" s="11">
        <v>56.571327209472656</v>
      </c>
      <c r="O90" s="11">
        <v>85.236282348632813</v>
      </c>
      <c r="P90" s="11">
        <v>67.141647338867188</v>
      </c>
      <c r="Q90" s="11">
        <v>84.090324401855469</v>
      </c>
      <c r="R90" s="11">
        <v>51.825447082519531</v>
      </c>
      <c r="S90" s="11">
        <v>70.2596435546875</v>
      </c>
      <c r="T90" s="11">
        <v>68.758895874023438</v>
      </c>
      <c r="U90" s="11">
        <v>71.500755310058594</v>
      </c>
    </row>
    <row r="91" spans="1:21" x14ac:dyDescent="0.2">
      <c r="A91" t="s">
        <v>69</v>
      </c>
      <c r="B91" t="s">
        <v>70</v>
      </c>
      <c r="C91" s="11">
        <v>74.216323852539063</v>
      </c>
      <c r="D91" s="3">
        <v>34</v>
      </c>
      <c r="E91" s="11">
        <v>99.98443603515625</v>
      </c>
      <c r="F91" s="11">
        <v>59.069747924804688</v>
      </c>
      <c r="G91" s="11">
        <v>74.42340087890625</v>
      </c>
      <c r="H91" s="11">
        <v>86.030693054199219</v>
      </c>
      <c r="I91" s="11">
        <v>68.748649597167969</v>
      </c>
      <c r="J91" s="11">
        <v>86.343154907226563</v>
      </c>
      <c r="K91" s="11">
        <v>80.189468383789063</v>
      </c>
      <c r="L91" s="11">
        <v>54.727249145507813</v>
      </c>
      <c r="M91" s="11">
        <v>23.331558227539063</v>
      </c>
      <c r="N91" s="11">
        <v>96.377601623535156</v>
      </c>
      <c r="O91" s="11">
        <v>85.963966369628906</v>
      </c>
      <c r="P91" s="11">
        <v>80.406036376953125</v>
      </c>
      <c r="Q91" s="11">
        <v>94.355300903320313</v>
      </c>
      <c r="R91" s="11" t="s">
        <v>464</v>
      </c>
      <c r="S91" s="11">
        <v>62.412982940673828</v>
      </c>
      <c r="T91" s="11">
        <v>53.366420745849609</v>
      </c>
      <c r="U91" s="11">
        <v>81.730575561523438</v>
      </c>
    </row>
    <row r="92" spans="1:21" x14ac:dyDescent="0.2">
      <c r="A92" t="s">
        <v>331</v>
      </c>
      <c r="B92" t="s">
        <v>332</v>
      </c>
      <c r="C92" s="11">
        <v>43.498912811279297</v>
      </c>
      <c r="D92" s="3">
        <v>153</v>
      </c>
      <c r="E92" s="11">
        <v>0</v>
      </c>
      <c r="F92" s="11">
        <v>28.159805297851563</v>
      </c>
      <c r="G92" s="11">
        <v>42.053489685058594</v>
      </c>
      <c r="H92" s="11">
        <v>35.568912506103516</v>
      </c>
      <c r="I92" s="11">
        <v>71.041366577148438</v>
      </c>
      <c r="J92" s="11">
        <v>44.355400085449219</v>
      </c>
      <c r="K92" s="11">
        <v>4.2254018783569336</v>
      </c>
      <c r="L92" s="11">
        <v>42.830589294433594</v>
      </c>
      <c r="M92" s="11">
        <v>6.2887301445007324</v>
      </c>
      <c r="N92" s="11">
        <v>51.040290832519531</v>
      </c>
      <c r="O92" s="11">
        <v>47.532302856445313</v>
      </c>
      <c r="P92" s="11">
        <v>75.996269226074219</v>
      </c>
      <c r="Q92" s="11">
        <v>87.985633850097656</v>
      </c>
      <c r="R92" s="11">
        <v>49.264003753662109</v>
      </c>
      <c r="S92" s="11">
        <v>55.500587463378906</v>
      </c>
      <c r="T92" s="11">
        <v>54.358131408691406</v>
      </c>
      <c r="U92" s="11">
        <v>43.280612945556641</v>
      </c>
    </row>
    <row r="93" spans="1:21" x14ac:dyDescent="0.2">
      <c r="A93" t="s">
        <v>179</v>
      </c>
      <c r="B93" t="s">
        <v>180</v>
      </c>
      <c r="C93" s="11">
        <v>69.132667541503906</v>
      </c>
      <c r="D93" s="3">
        <v>58</v>
      </c>
      <c r="E93" s="11">
        <v>97.894683837890625</v>
      </c>
      <c r="F93" s="11">
        <v>53.569183349609375</v>
      </c>
      <c r="G93" s="11">
        <v>83.680183410644531</v>
      </c>
      <c r="H93" s="11">
        <v>81.337059020996094</v>
      </c>
      <c r="I93" s="11">
        <v>74.860885620117188</v>
      </c>
      <c r="J93" s="11">
        <v>87.494529724121094</v>
      </c>
      <c r="K93" s="11">
        <v>79.446792602539063</v>
      </c>
      <c r="L93" s="11">
        <v>70.307243347167969</v>
      </c>
      <c r="M93" s="11">
        <v>38.530418395996094</v>
      </c>
      <c r="N93" s="11">
        <v>35.106319427490234</v>
      </c>
      <c r="O93" s="11">
        <v>89.48992919921875</v>
      </c>
      <c r="P93" s="11">
        <v>73.314796447753906</v>
      </c>
      <c r="Q93" s="11">
        <v>84.980430603027344</v>
      </c>
      <c r="R93" s="11">
        <v>61.085418701171875</v>
      </c>
      <c r="S93" s="11">
        <v>41.978298187255859</v>
      </c>
      <c r="T93" s="11">
        <v>52.212734222412109</v>
      </c>
      <c r="U93" s="11">
        <v>69.966445922851563</v>
      </c>
    </row>
    <row r="94" spans="1:21" x14ac:dyDescent="0.2">
      <c r="A94" t="s">
        <v>465</v>
      </c>
      <c r="B94" t="s">
        <v>140</v>
      </c>
      <c r="C94" s="11">
        <v>69.355644226074219</v>
      </c>
      <c r="D94" s="3">
        <v>57</v>
      </c>
      <c r="E94" s="11">
        <v>99.465782165527344</v>
      </c>
      <c r="F94" s="11">
        <v>56.001548767089844</v>
      </c>
      <c r="G94" s="11">
        <v>80.855064392089844</v>
      </c>
      <c r="H94" s="11">
        <v>79.07080078125</v>
      </c>
      <c r="I94" s="11">
        <v>53.915294647216797</v>
      </c>
      <c r="J94" s="11">
        <v>93.829689025878906</v>
      </c>
      <c r="K94" s="11">
        <v>72.406967163085938</v>
      </c>
      <c r="L94" s="11">
        <v>49.194358825683594</v>
      </c>
      <c r="M94" s="11">
        <v>32.193733215332031</v>
      </c>
      <c r="N94" s="11">
        <v>47.028141021728516</v>
      </c>
      <c r="O94" s="11">
        <v>78.776199340820313</v>
      </c>
      <c r="P94" s="11">
        <v>66.945777893066406</v>
      </c>
      <c r="Q94" s="11">
        <v>85.436248779296875</v>
      </c>
      <c r="R94" s="11" t="s">
        <v>464</v>
      </c>
      <c r="S94" s="11">
        <v>70.446723937988281</v>
      </c>
      <c r="T94" s="11">
        <v>68.066497802734375</v>
      </c>
      <c r="U94" s="11">
        <v>76.057525634765625</v>
      </c>
    </row>
    <row r="95" spans="1:21" x14ac:dyDescent="0.2">
      <c r="A95" t="s">
        <v>281</v>
      </c>
      <c r="B95" t="s">
        <v>282</v>
      </c>
      <c r="C95" s="11">
        <v>48.542793273925781</v>
      </c>
      <c r="D95" s="3">
        <v>146</v>
      </c>
      <c r="E95" s="11">
        <v>66.4127197265625</v>
      </c>
      <c r="F95" s="11">
        <v>39.702075958251953</v>
      </c>
      <c r="G95" s="11">
        <v>30.391349792480469</v>
      </c>
      <c r="H95" s="11">
        <v>3.9077746868133545</v>
      </c>
      <c r="I95" s="11">
        <v>27.935834884643555</v>
      </c>
      <c r="J95" s="11">
        <v>66.701286315917969</v>
      </c>
      <c r="K95" s="11">
        <v>9.9893417358398438</v>
      </c>
      <c r="L95" s="11">
        <v>44.598838806152344</v>
      </c>
      <c r="M95" s="11">
        <v>10.112866401672363</v>
      </c>
      <c r="N95" s="11">
        <v>78.580841064453125</v>
      </c>
      <c r="O95" s="11">
        <v>47.136585235595703</v>
      </c>
      <c r="P95" s="11">
        <v>76.207275390625</v>
      </c>
      <c r="Q95" s="11">
        <v>84.679847717285156</v>
      </c>
      <c r="R95" s="11" t="s">
        <v>464</v>
      </c>
      <c r="S95" s="11">
        <v>66.943756103515625</v>
      </c>
      <c r="T95" s="11">
        <v>63.016178131103516</v>
      </c>
      <c r="U95" s="11">
        <v>60.368133544921875</v>
      </c>
    </row>
    <row r="96" spans="1:21" x14ac:dyDescent="0.2">
      <c r="A96" t="s">
        <v>101</v>
      </c>
      <c r="B96" t="s">
        <v>102</v>
      </c>
      <c r="C96" s="11">
        <v>77.0203857421875</v>
      </c>
      <c r="D96" s="3">
        <v>22</v>
      </c>
      <c r="E96" s="11">
        <v>99.923568725585938</v>
      </c>
      <c r="F96" s="11">
        <v>62.290981292724609</v>
      </c>
      <c r="G96" s="11">
        <v>91.145187377929688</v>
      </c>
      <c r="H96" s="11">
        <v>92.267166137695313</v>
      </c>
      <c r="I96" s="11">
        <v>55.912216186523438</v>
      </c>
      <c r="J96" s="11">
        <v>76.501022338867188</v>
      </c>
      <c r="K96" s="11">
        <v>89.17840576171875</v>
      </c>
      <c r="L96" s="11">
        <v>93.052497863769531</v>
      </c>
      <c r="M96" s="11">
        <v>41.418998718261719</v>
      </c>
      <c r="N96" s="11">
        <v>92.738006591796875</v>
      </c>
      <c r="O96" s="11">
        <v>94.361831665039063</v>
      </c>
      <c r="P96" s="11">
        <v>51.836116790771484</v>
      </c>
      <c r="Q96" s="11">
        <v>88.936737060546875</v>
      </c>
      <c r="R96" s="11">
        <v>63.903194427490234</v>
      </c>
      <c r="S96" s="11">
        <v>78.440032958984375</v>
      </c>
      <c r="T96" s="11">
        <v>76.334083557128906</v>
      </c>
      <c r="U96" s="11">
        <v>61.106460571289063</v>
      </c>
    </row>
    <row r="97" spans="1:21" x14ac:dyDescent="0.2">
      <c r="A97" t="s">
        <v>269</v>
      </c>
      <c r="B97" t="s">
        <v>270</v>
      </c>
      <c r="C97" s="11">
        <v>59.535346984863281</v>
      </c>
      <c r="D97" s="3">
        <v>110</v>
      </c>
      <c r="E97" s="11">
        <v>87.540168762207031</v>
      </c>
      <c r="F97" s="11">
        <v>52.244808197021484</v>
      </c>
      <c r="G97" s="11">
        <v>56.729022979736328</v>
      </c>
      <c r="H97" s="11">
        <v>67.850112915039063</v>
      </c>
      <c r="I97" s="11">
        <v>67.834999084472656</v>
      </c>
      <c r="J97" s="11">
        <v>84.346817016601563</v>
      </c>
      <c r="K97" s="11">
        <v>36.869129180908203</v>
      </c>
      <c r="L97" s="11">
        <v>51.526790618896484</v>
      </c>
      <c r="M97" s="11">
        <v>13.340433120727539</v>
      </c>
      <c r="N97" s="11" t="s">
        <v>464</v>
      </c>
      <c r="O97" s="11">
        <v>27.735618591308594</v>
      </c>
      <c r="P97" s="11">
        <v>77.610801696777344</v>
      </c>
      <c r="Q97" s="11">
        <v>81.647171020507813</v>
      </c>
      <c r="R97" s="11">
        <v>38.392890930175781</v>
      </c>
      <c r="S97" s="11">
        <v>51.29510498046875</v>
      </c>
      <c r="T97" s="11">
        <v>57.601680755615234</v>
      </c>
      <c r="U97" s="11">
        <v>100</v>
      </c>
    </row>
    <row r="98" spans="1:21" x14ac:dyDescent="0.2">
      <c r="A98" t="s">
        <v>153</v>
      </c>
      <c r="B98" t="s">
        <v>154</v>
      </c>
      <c r="C98" s="11">
        <v>67.293228149414063</v>
      </c>
      <c r="D98" s="3">
        <v>69</v>
      </c>
      <c r="E98" s="11">
        <v>99.9814453125</v>
      </c>
      <c r="F98" s="11">
        <v>47.571002960205078</v>
      </c>
      <c r="G98" s="11">
        <v>77.914138793945313</v>
      </c>
      <c r="H98" s="11">
        <v>88.374221801757813</v>
      </c>
      <c r="I98" s="11">
        <v>49.610813140869141</v>
      </c>
      <c r="J98" s="11">
        <v>94.177383422851563</v>
      </c>
      <c r="K98" s="11">
        <v>79.842658996582031</v>
      </c>
      <c r="L98" s="11">
        <v>55.333530426025391</v>
      </c>
      <c r="M98" s="11">
        <v>26.374668121337891</v>
      </c>
      <c r="N98" s="11">
        <v>81.761909484863281</v>
      </c>
      <c r="O98" s="11">
        <v>86.771591186523438</v>
      </c>
      <c r="P98" s="11">
        <v>50.234424591064453</v>
      </c>
      <c r="Q98" s="11">
        <v>66.184104919433594</v>
      </c>
      <c r="R98" s="11">
        <v>33.619682312011719</v>
      </c>
      <c r="S98" s="11">
        <v>35.147541046142578</v>
      </c>
      <c r="T98" s="11">
        <v>71.085777282714844</v>
      </c>
      <c r="U98" s="11">
        <v>100</v>
      </c>
    </row>
    <row r="99" spans="1:21" x14ac:dyDescent="0.2">
      <c r="A99" t="s">
        <v>231</v>
      </c>
      <c r="B99" t="s">
        <v>232</v>
      </c>
      <c r="C99" s="11">
        <v>64.180450439453125</v>
      </c>
      <c r="D99" s="3">
        <v>95</v>
      </c>
      <c r="E99" s="11">
        <v>99.795150756835938</v>
      </c>
      <c r="F99" s="11">
        <v>49.642768859863281</v>
      </c>
      <c r="G99" s="11">
        <v>67.382347106933594</v>
      </c>
      <c r="H99" s="11">
        <v>85.896537780761719</v>
      </c>
      <c r="I99" s="11">
        <v>68.981513977050781</v>
      </c>
      <c r="J99" s="11">
        <v>69.715087890625</v>
      </c>
      <c r="K99" s="11">
        <v>39.810932159423828</v>
      </c>
      <c r="L99" s="11">
        <v>73.470794677734375</v>
      </c>
      <c r="M99" s="11">
        <v>20.864080429077148</v>
      </c>
      <c r="N99" s="11">
        <v>81.446662902832031</v>
      </c>
      <c r="O99" s="11">
        <v>54.056106567382813</v>
      </c>
      <c r="P99" s="11">
        <v>71.658401489257813</v>
      </c>
      <c r="Q99" s="11">
        <v>67.231651306152344</v>
      </c>
      <c r="R99" s="11" t="s">
        <v>464</v>
      </c>
      <c r="S99" s="11">
        <v>60.807933807373047</v>
      </c>
      <c r="T99" s="11">
        <v>57.173919677734375</v>
      </c>
      <c r="U99" s="11">
        <v>58.953273773193359</v>
      </c>
    </row>
    <row r="100" spans="1:21" x14ac:dyDescent="0.2">
      <c r="A100" t="s">
        <v>317</v>
      </c>
      <c r="B100" t="s">
        <v>318</v>
      </c>
      <c r="C100" s="11">
        <v>49.238529205322266</v>
      </c>
      <c r="D100" s="3">
        <v>143</v>
      </c>
      <c r="E100" s="11">
        <v>23.501163482666016</v>
      </c>
      <c r="F100" s="11">
        <v>38.264518737792969</v>
      </c>
      <c r="G100" s="11">
        <v>30.935647964477539</v>
      </c>
      <c r="H100" s="11">
        <v>48.237117767333984</v>
      </c>
      <c r="I100" s="11">
        <v>56.287845611572266</v>
      </c>
      <c r="J100" s="11">
        <v>46.940635681152344</v>
      </c>
      <c r="K100" s="11">
        <v>36.092998504638672</v>
      </c>
      <c r="L100" s="11">
        <v>30.680580139160156</v>
      </c>
      <c r="M100" s="11">
        <v>7.9734721183776855</v>
      </c>
      <c r="N100" s="11">
        <v>42.6434326171875</v>
      </c>
      <c r="O100" s="11">
        <v>53.557731628417969</v>
      </c>
      <c r="P100" s="11">
        <v>84.731773376464844</v>
      </c>
      <c r="Q100" s="11">
        <v>77.98236083984375</v>
      </c>
      <c r="R100" s="11">
        <v>64.70916748046875</v>
      </c>
      <c r="S100" s="11">
        <v>63.194656372070313</v>
      </c>
      <c r="T100" s="11">
        <v>55.124164581298828</v>
      </c>
      <c r="U100" s="11">
        <v>76.197761535644531</v>
      </c>
    </row>
    <row r="101" spans="1:21" x14ac:dyDescent="0.2">
      <c r="A101" t="s">
        <v>285</v>
      </c>
      <c r="B101" t="s">
        <v>286</v>
      </c>
      <c r="C101" s="11">
        <v>51.14337158203125</v>
      </c>
      <c r="D101" s="3">
        <v>133</v>
      </c>
      <c r="E101" s="11">
        <v>94.4139404296875</v>
      </c>
      <c r="F101" s="11">
        <v>50.9498291015625</v>
      </c>
      <c r="G101" s="11">
        <v>47.478256225585938</v>
      </c>
      <c r="H101" s="11">
        <v>34.827919006347656</v>
      </c>
      <c r="I101" s="11">
        <v>29.037130355834961</v>
      </c>
      <c r="J101" s="11">
        <v>58.412437438964844</v>
      </c>
      <c r="K101" s="11">
        <v>36.754493713378906</v>
      </c>
      <c r="L101" s="11">
        <v>39.802207946777344</v>
      </c>
      <c r="M101" s="11">
        <v>6.3943696022033691</v>
      </c>
      <c r="N101" s="11">
        <v>80.357650756835938</v>
      </c>
      <c r="O101" s="11">
        <v>29.708700180053711</v>
      </c>
      <c r="P101" s="11">
        <v>80.711868286132813</v>
      </c>
      <c r="Q101" s="11">
        <v>75.181167602539063</v>
      </c>
      <c r="R101" s="11">
        <v>40.810401916503906</v>
      </c>
      <c r="S101" s="11">
        <v>63.054710388183594</v>
      </c>
      <c r="T101" s="11">
        <v>45.346138000488281</v>
      </c>
      <c r="U101" s="11">
        <v>56.196063995361328</v>
      </c>
    </row>
    <row r="102" spans="1:21" x14ac:dyDescent="0.2">
      <c r="A102" t="s">
        <v>205</v>
      </c>
      <c r="B102" t="s">
        <v>206</v>
      </c>
      <c r="C102" s="11">
        <v>62.124820709228516</v>
      </c>
      <c r="D102" s="3">
        <v>103</v>
      </c>
      <c r="E102" s="11">
        <v>99.760894775390625</v>
      </c>
      <c r="F102" s="11">
        <v>41.347579956054688</v>
      </c>
      <c r="G102" s="11">
        <v>79.477073669433594</v>
      </c>
      <c r="H102" s="11">
        <v>83.75653076171875</v>
      </c>
      <c r="I102" s="11">
        <v>54.194408416748047</v>
      </c>
      <c r="J102" s="11">
        <v>69.103874206542969</v>
      </c>
      <c r="K102" s="11">
        <v>85.275917053222656</v>
      </c>
      <c r="L102" s="11">
        <v>71.337882995605469</v>
      </c>
      <c r="M102" s="11">
        <v>26.113208770751953</v>
      </c>
      <c r="N102" s="11">
        <v>70.556541442871094</v>
      </c>
      <c r="O102" s="11">
        <v>94.936767578125</v>
      </c>
      <c r="P102" s="11">
        <v>52.768947601318359</v>
      </c>
      <c r="Q102" s="11">
        <v>43.750579833984375</v>
      </c>
      <c r="R102" s="11">
        <v>42.352203369140625</v>
      </c>
      <c r="S102" s="11">
        <v>11.075340270996094</v>
      </c>
      <c r="T102" s="11">
        <v>67.462486267089844</v>
      </c>
      <c r="U102" s="11">
        <v>62.851715087890625</v>
      </c>
    </row>
    <row r="103" spans="1:21" x14ac:dyDescent="0.2">
      <c r="A103" t="s">
        <v>289</v>
      </c>
      <c r="B103" t="s">
        <v>290</v>
      </c>
      <c r="C103" s="11">
        <v>48.022632598876953</v>
      </c>
      <c r="D103" s="3">
        <v>147</v>
      </c>
      <c r="E103" s="11">
        <v>16.983957290649414</v>
      </c>
      <c r="F103" s="11">
        <v>45.834842681884766</v>
      </c>
      <c r="G103" s="11">
        <v>42.417522430419922</v>
      </c>
      <c r="H103" s="11">
        <v>36.718803405761719</v>
      </c>
      <c r="I103" s="11">
        <v>64.447219848632813</v>
      </c>
      <c r="J103" s="11">
        <v>78.194190979003906</v>
      </c>
      <c r="K103" s="11">
        <v>2.0728230476379395</v>
      </c>
      <c r="L103" s="11">
        <v>32.730533599853516</v>
      </c>
      <c r="M103" s="11">
        <v>12.04289722442627</v>
      </c>
      <c r="N103" s="11">
        <v>41.095890045166016</v>
      </c>
      <c r="O103" s="11">
        <v>55.076728820800781</v>
      </c>
      <c r="P103" s="11">
        <v>83.912063598632813</v>
      </c>
      <c r="Q103" s="11">
        <v>65.436882019042969</v>
      </c>
      <c r="R103" s="11" t="s">
        <v>464</v>
      </c>
      <c r="S103" s="11">
        <v>65.039512634277344</v>
      </c>
      <c r="T103" s="11">
        <v>48.977531433105469</v>
      </c>
      <c r="U103" s="11">
        <v>77.380744934082031</v>
      </c>
    </row>
    <row r="104" spans="1:21" x14ac:dyDescent="0.2">
      <c r="A104" t="s">
        <v>175</v>
      </c>
      <c r="B104" t="s">
        <v>176</v>
      </c>
      <c r="C104" s="11">
        <v>69.678817749023438</v>
      </c>
      <c r="D104" s="3">
        <v>54</v>
      </c>
      <c r="E104" s="11">
        <v>98.226387023925781</v>
      </c>
      <c r="F104" s="11">
        <v>54.087390899658203</v>
      </c>
      <c r="G104" s="11">
        <v>83.132369995117188</v>
      </c>
      <c r="H104" s="11">
        <v>88.082138061523438</v>
      </c>
      <c r="I104" s="11">
        <v>51.193824768066406</v>
      </c>
      <c r="J104" s="11">
        <v>90.048019409179688</v>
      </c>
      <c r="K104" s="11">
        <v>84.099937438964844</v>
      </c>
      <c r="L104" s="11">
        <v>71.163993835449219</v>
      </c>
      <c r="M104" s="11">
        <v>60.754940032958984</v>
      </c>
      <c r="N104" s="11">
        <v>40.694675445556641</v>
      </c>
      <c r="O104" s="11">
        <v>94.547706604003906</v>
      </c>
      <c r="P104" s="11">
        <v>69.714378356933594</v>
      </c>
      <c r="Q104" s="11">
        <v>82.396034240722656</v>
      </c>
      <c r="R104" s="11">
        <v>45.863285064697266</v>
      </c>
      <c r="S104" s="11">
        <v>31.609563827514648</v>
      </c>
      <c r="T104" s="11">
        <v>79.013442993164063</v>
      </c>
      <c r="U104" s="11">
        <v>59.911808013916016</v>
      </c>
    </row>
    <row r="105" spans="1:21" x14ac:dyDescent="0.2">
      <c r="A105" t="s">
        <v>237</v>
      </c>
      <c r="B105" t="s">
        <v>238</v>
      </c>
      <c r="C105" s="11">
        <v>59.272232055664063</v>
      </c>
      <c r="D105" s="3">
        <v>111</v>
      </c>
      <c r="E105" s="11">
        <v>75.528823852539063</v>
      </c>
      <c r="F105" s="11">
        <v>28.019527435302734</v>
      </c>
      <c r="G105" s="11">
        <v>55.879768371582031</v>
      </c>
      <c r="H105" s="11">
        <v>69.417922973632813</v>
      </c>
      <c r="I105" s="11">
        <v>84.147079467773438</v>
      </c>
      <c r="J105" s="11">
        <v>76.1539306640625</v>
      </c>
      <c r="K105" s="11">
        <v>38.785289764404297</v>
      </c>
      <c r="L105" s="11">
        <v>37.974822998046875</v>
      </c>
      <c r="M105" s="11">
        <v>25.684698104858398</v>
      </c>
      <c r="N105" s="11">
        <v>0</v>
      </c>
      <c r="O105" s="11">
        <v>76.00787353515625</v>
      </c>
      <c r="P105" s="11">
        <v>69.7164306640625</v>
      </c>
      <c r="Q105" s="11">
        <v>54.50946044921875</v>
      </c>
      <c r="R105" s="11">
        <v>63.909339904785156</v>
      </c>
      <c r="S105" s="11">
        <v>89.28704833984375</v>
      </c>
      <c r="T105" s="11">
        <v>69.93048095703125</v>
      </c>
      <c r="U105" s="11">
        <v>92.675445556640625</v>
      </c>
    </row>
    <row r="106" spans="1:21" x14ac:dyDescent="0.2">
      <c r="A106" t="s">
        <v>341</v>
      </c>
      <c r="B106" t="s">
        <v>342</v>
      </c>
      <c r="C106" s="11">
        <v>44.797267913818359</v>
      </c>
      <c r="D106" s="3">
        <v>151</v>
      </c>
      <c r="E106" s="11">
        <v>50.692031860351563</v>
      </c>
      <c r="F106" s="11">
        <v>34.03564453125</v>
      </c>
      <c r="G106" s="11">
        <v>34.301811218261719</v>
      </c>
      <c r="H106" s="11">
        <v>6.2205977439880371</v>
      </c>
      <c r="I106" s="11">
        <v>21.081438064575195</v>
      </c>
      <c r="J106" s="11">
        <v>50.966884613037109</v>
      </c>
      <c r="K106" s="11">
        <v>2.8352880477905273</v>
      </c>
      <c r="L106" s="11">
        <v>42.635772705078125</v>
      </c>
      <c r="M106" s="11">
        <v>2.6013877391815186</v>
      </c>
      <c r="N106" s="11">
        <v>75.858314514160156</v>
      </c>
      <c r="O106" s="11">
        <v>39.833641052246094</v>
      </c>
      <c r="P106" s="11">
        <v>78.389778137207031</v>
      </c>
      <c r="Q106" s="11">
        <v>65.885635375976563</v>
      </c>
      <c r="R106" s="11" t="s">
        <v>464</v>
      </c>
      <c r="S106" s="11">
        <v>66.30010986328125</v>
      </c>
      <c r="T106" s="11">
        <v>71.114540100097656</v>
      </c>
      <c r="U106" s="11">
        <v>74.003402709960938</v>
      </c>
    </row>
    <row r="107" spans="1:21" x14ac:dyDescent="0.2">
      <c r="A107" t="s">
        <v>311</v>
      </c>
      <c r="B107" t="s">
        <v>312</v>
      </c>
      <c r="C107" s="11">
        <v>48.648014068603516</v>
      </c>
      <c r="D107" s="3">
        <v>145</v>
      </c>
      <c r="E107" s="11">
        <v>49.325614929199219</v>
      </c>
      <c r="F107" s="11">
        <v>46.487155914306641</v>
      </c>
      <c r="G107" s="11">
        <v>27.561077117919922</v>
      </c>
      <c r="H107" s="11">
        <v>41.950977325439453</v>
      </c>
      <c r="I107" s="11">
        <v>35.542755126953125</v>
      </c>
      <c r="J107" s="11">
        <v>62.973716735839844</v>
      </c>
      <c r="K107" s="11">
        <v>38.113487243652344</v>
      </c>
      <c r="L107" s="11">
        <v>49.241348266601563</v>
      </c>
      <c r="M107" s="11">
        <v>15.23066520690918</v>
      </c>
      <c r="N107" s="11">
        <v>50.123226165771484</v>
      </c>
      <c r="O107" s="11">
        <v>31.040891647338867</v>
      </c>
      <c r="P107" s="11">
        <v>76.251144409179688</v>
      </c>
      <c r="Q107" s="11">
        <v>89.51568603515625</v>
      </c>
      <c r="R107" s="11">
        <v>36.505893707275391</v>
      </c>
      <c r="S107" s="11">
        <v>75.303482055664063</v>
      </c>
      <c r="T107" s="11">
        <v>51.361991882324219</v>
      </c>
      <c r="U107" s="11">
        <v>50.487140655517578</v>
      </c>
    </row>
    <row r="108" spans="1:21" x14ac:dyDescent="0.2">
      <c r="A108" t="s">
        <v>227</v>
      </c>
      <c r="B108" t="s">
        <v>228</v>
      </c>
      <c r="C108" s="11">
        <v>63.108993530273438</v>
      </c>
      <c r="D108" s="3">
        <v>97</v>
      </c>
      <c r="E108" s="11">
        <v>93.350433349609375</v>
      </c>
      <c r="F108" s="11">
        <v>47.0457763671875</v>
      </c>
      <c r="G108" s="11">
        <v>74.618583679199219</v>
      </c>
      <c r="H108" s="11">
        <v>61.596916198730469</v>
      </c>
      <c r="I108" s="11">
        <v>78.80804443359375</v>
      </c>
      <c r="J108" s="11">
        <v>81.75189208984375</v>
      </c>
      <c r="K108" s="11">
        <v>64.788681030273438</v>
      </c>
      <c r="L108" s="11">
        <v>46.798568725585938</v>
      </c>
      <c r="M108" s="11">
        <v>10.931525230407715</v>
      </c>
      <c r="N108" s="11">
        <v>38.430671691894531</v>
      </c>
      <c r="O108" s="11">
        <v>85.050384521484375</v>
      </c>
      <c r="P108" s="11">
        <v>77.757118225097656</v>
      </c>
      <c r="Q108" s="11">
        <v>87.843765258789063</v>
      </c>
      <c r="R108" s="11">
        <v>40.692119598388672</v>
      </c>
      <c r="S108" s="11">
        <v>64.644332885742188</v>
      </c>
      <c r="T108" s="11">
        <v>50.893512725830078</v>
      </c>
      <c r="U108" s="11">
        <v>67.850540161132813</v>
      </c>
    </row>
    <row r="109" spans="1:21" x14ac:dyDescent="0.2">
      <c r="A109" t="s">
        <v>59</v>
      </c>
      <c r="B109" t="s">
        <v>60</v>
      </c>
      <c r="C109" s="11">
        <v>79.938552856445313</v>
      </c>
      <c r="D109" s="3">
        <v>13</v>
      </c>
      <c r="E109" s="11">
        <v>99.54827880859375</v>
      </c>
      <c r="F109" s="11">
        <v>72.459152221679688</v>
      </c>
      <c r="G109" s="11">
        <v>95.808830261230469</v>
      </c>
      <c r="H109" s="11">
        <v>93.446151733398438</v>
      </c>
      <c r="I109" s="11">
        <v>81.20172119140625</v>
      </c>
      <c r="J109" s="11">
        <v>93.481094360351563</v>
      </c>
      <c r="K109" s="11">
        <v>84.832649230957031</v>
      </c>
      <c r="L109" s="11">
        <v>87.7572021484375</v>
      </c>
      <c r="M109" s="11">
        <v>82.955520629882813</v>
      </c>
      <c r="N109" s="11">
        <v>93.053245544433594</v>
      </c>
      <c r="O109" s="11">
        <v>95.043365478515625</v>
      </c>
      <c r="P109" s="11">
        <v>52.074840545654297</v>
      </c>
      <c r="Q109" s="11">
        <v>65.943611145019531</v>
      </c>
      <c r="R109" s="11">
        <v>49.510971069335938</v>
      </c>
      <c r="S109" s="11">
        <v>74.5841064453125</v>
      </c>
      <c r="T109" s="11">
        <v>81.4683837890625</v>
      </c>
      <c r="U109" s="11">
        <v>55.786216735839844</v>
      </c>
    </row>
    <row r="110" spans="1:21" x14ac:dyDescent="0.2">
      <c r="A110" t="s">
        <v>33</v>
      </c>
      <c r="B110" t="s">
        <v>34</v>
      </c>
      <c r="C110" s="11">
        <v>83.9368896484375</v>
      </c>
      <c r="D110" s="3">
        <v>4</v>
      </c>
      <c r="E110" s="11">
        <v>99.62481689453125</v>
      </c>
      <c r="F110" s="11">
        <v>62.500762939453125</v>
      </c>
      <c r="G110" s="11">
        <v>96.670616149902344</v>
      </c>
      <c r="H110" s="11">
        <v>97.47381591796875</v>
      </c>
      <c r="I110" s="11">
        <v>86.802413940429688</v>
      </c>
      <c r="J110" s="11">
        <v>91.859939575195313</v>
      </c>
      <c r="K110" s="11">
        <v>97.50830078125</v>
      </c>
      <c r="L110" s="11">
        <v>95.758804321289063</v>
      </c>
      <c r="M110" s="11">
        <v>77.631256103515625</v>
      </c>
      <c r="N110" s="11">
        <v>99.042816162109375</v>
      </c>
      <c r="O110" s="11">
        <v>98.38909912109375</v>
      </c>
      <c r="P110" s="11">
        <v>38.10052490234375</v>
      </c>
      <c r="Q110" s="11">
        <v>79.871833801269531</v>
      </c>
      <c r="R110" s="11">
        <v>65.560523986816406</v>
      </c>
      <c r="S110" s="11">
        <v>66.969993591308594</v>
      </c>
      <c r="T110" s="11">
        <v>82.539398193359375</v>
      </c>
      <c r="U110" s="11">
        <v>90.622146606445313</v>
      </c>
    </row>
    <row r="111" spans="1:21" x14ac:dyDescent="0.2">
      <c r="A111" t="s">
        <v>217</v>
      </c>
      <c r="B111" t="s">
        <v>218</v>
      </c>
      <c r="C111" s="11">
        <v>61.566909790039063</v>
      </c>
      <c r="D111" s="3">
        <v>105</v>
      </c>
      <c r="E111" s="11">
        <v>94.706878662109375</v>
      </c>
      <c r="F111" s="11">
        <v>47.124168395996094</v>
      </c>
      <c r="G111" s="11">
        <v>60.259777069091797</v>
      </c>
      <c r="H111" s="11">
        <v>63.654926300048828</v>
      </c>
      <c r="I111" s="11">
        <v>61.111419677734375</v>
      </c>
      <c r="J111" s="11">
        <v>79.026023864746094</v>
      </c>
      <c r="K111" s="11">
        <v>51.778762817382813</v>
      </c>
      <c r="L111" s="11">
        <v>43.701713562011719</v>
      </c>
      <c r="M111" s="11">
        <v>10.518770217895508</v>
      </c>
      <c r="N111" s="11">
        <v>79.154006958007813</v>
      </c>
      <c r="O111" s="11">
        <v>33.277267456054688</v>
      </c>
      <c r="P111" s="11">
        <v>84.478263854980469</v>
      </c>
      <c r="Q111" s="11">
        <v>89.872238159179688</v>
      </c>
      <c r="R111" s="11" t="s">
        <v>464</v>
      </c>
      <c r="S111" s="11">
        <v>66.225372314453125</v>
      </c>
      <c r="T111" s="11">
        <v>57.645778656005859</v>
      </c>
      <c r="U111" s="11">
        <v>62.535205841064453</v>
      </c>
    </row>
    <row r="112" spans="1:21" x14ac:dyDescent="0.2">
      <c r="A112" t="s">
        <v>73</v>
      </c>
      <c r="B112" t="s">
        <v>74</v>
      </c>
      <c r="C112" s="11">
        <v>77.618667602539063</v>
      </c>
      <c r="D112" s="3">
        <v>20</v>
      </c>
      <c r="E112" s="11">
        <v>99.97564697265625</v>
      </c>
      <c r="F112" s="11">
        <v>64.278770446777344</v>
      </c>
      <c r="G112" s="11">
        <v>93.447189331054688</v>
      </c>
      <c r="H112" s="11">
        <v>94.891914367675781</v>
      </c>
      <c r="I112" s="11">
        <v>80.648910522460938</v>
      </c>
      <c r="J112" s="11">
        <v>94.51446533203125</v>
      </c>
      <c r="K112" s="11">
        <v>92.720390319824219</v>
      </c>
      <c r="L112" s="11">
        <v>78.3280029296875</v>
      </c>
      <c r="M112" s="11">
        <v>71.138442993164063</v>
      </c>
      <c r="N112" s="11" t="s">
        <v>464</v>
      </c>
      <c r="O112" s="11">
        <v>100</v>
      </c>
      <c r="P112" s="11">
        <v>54.777015686035156</v>
      </c>
      <c r="Q112" s="11">
        <v>83.834144592285156</v>
      </c>
      <c r="R112" s="11">
        <v>51.8106689453125</v>
      </c>
      <c r="S112" s="11">
        <v>28.597066879272461</v>
      </c>
      <c r="T112" s="11">
        <v>86.60711669921875</v>
      </c>
      <c r="U112" s="11">
        <v>66.328956604003906</v>
      </c>
    </row>
    <row r="113" spans="1:21" x14ac:dyDescent="0.2">
      <c r="A113" t="s">
        <v>199</v>
      </c>
      <c r="B113" t="s">
        <v>200</v>
      </c>
      <c r="C113" s="11">
        <v>64.305923461914063</v>
      </c>
      <c r="D113" s="3">
        <v>94</v>
      </c>
      <c r="E113" s="11">
        <v>98.653831481933594</v>
      </c>
      <c r="F113" s="11">
        <v>53.909446716308594</v>
      </c>
      <c r="G113" s="11">
        <v>85.105369567871094</v>
      </c>
      <c r="H113" s="11">
        <v>79.795570373535156</v>
      </c>
      <c r="I113" s="11">
        <v>32.198654174804688</v>
      </c>
      <c r="J113" s="11">
        <v>50.080268859863281</v>
      </c>
      <c r="K113" s="11">
        <v>78.564842224121094</v>
      </c>
      <c r="L113" s="11">
        <v>73.031822204589844</v>
      </c>
      <c r="M113" s="11">
        <v>42.504222869873047</v>
      </c>
      <c r="N113" s="11" t="s">
        <v>464</v>
      </c>
      <c r="O113" s="11">
        <v>66.7271728515625</v>
      </c>
      <c r="P113" s="11">
        <v>61.283660888671875</v>
      </c>
      <c r="Q113" s="11">
        <v>74.354278564453125</v>
      </c>
      <c r="R113" s="11">
        <v>55.362869262695313</v>
      </c>
      <c r="S113" s="11">
        <v>37.471576690673828</v>
      </c>
      <c r="T113" s="11">
        <v>78.797904968261719</v>
      </c>
      <c r="U113" s="11">
        <v>61.053310394287109</v>
      </c>
    </row>
    <row r="114" spans="1:21" x14ac:dyDescent="0.2">
      <c r="A114" t="s">
        <v>275</v>
      </c>
      <c r="B114" t="s">
        <v>276</v>
      </c>
      <c r="C114" s="11">
        <v>55.629737854003906</v>
      </c>
      <c r="D114" s="3">
        <v>122</v>
      </c>
      <c r="E114" s="11">
        <v>97.034576416015625</v>
      </c>
      <c r="F114" s="11">
        <v>36.007221221923828</v>
      </c>
      <c r="G114" s="11">
        <v>51.608436584472656</v>
      </c>
      <c r="H114" s="11">
        <v>40.219821929931641</v>
      </c>
      <c r="I114" s="11">
        <v>28.673994064331055</v>
      </c>
      <c r="J114" s="11">
        <v>66.810798645019531</v>
      </c>
      <c r="K114" s="11">
        <v>65.244064331054688</v>
      </c>
      <c r="L114" s="11">
        <v>45.606372833251953</v>
      </c>
      <c r="M114" s="11">
        <v>18.750083923339844</v>
      </c>
      <c r="N114" s="11">
        <v>85.315528869628906</v>
      </c>
      <c r="O114" s="11">
        <v>44.034664154052734</v>
      </c>
      <c r="P114" s="11">
        <v>79.19635009765625</v>
      </c>
      <c r="Q114" s="11">
        <v>87.997817993164063</v>
      </c>
      <c r="R114" s="11">
        <v>46.017932891845703</v>
      </c>
      <c r="S114" s="11">
        <v>57.864269256591797</v>
      </c>
      <c r="T114" s="11">
        <v>51.956344604492188</v>
      </c>
      <c r="U114" s="11">
        <v>43.367282867431641</v>
      </c>
    </row>
    <row r="115" spans="1:21" x14ac:dyDescent="0.2">
      <c r="A115" t="s">
        <v>213</v>
      </c>
      <c r="B115" t="s">
        <v>214</v>
      </c>
      <c r="C115" s="11">
        <v>63.937885284423828</v>
      </c>
      <c r="D115" s="3">
        <v>96</v>
      </c>
      <c r="E115" s="11">
        <v>97.967094421386719</v>
      </c>
      <c r="F115" s="11">
        <v>46.895889282226563</v>
      </c>
      <c r="G115" s="11">
        <v>77.978187561035156</v>
      </c>
      <c r="H115" s="11">
        <v>85.538017272949219</v>
      </c>
      <c r="I115" s="11">
        <v>63.754058837890625</v>
      </c>
      <c r="J115" s="11">
        <v>85.1451416015625</v>
      </c>
      <c r="K115" s="11">
        <v>80.05682373046875</v>
      </c>
      <c r="L115" s="11">
        <v>71.37286376953125</v>
      </c>
      <c r="M115" s="11">
        <v>28.800025939941406</v>
      </c>
      <c r="N115" s="11">
        <v>27.970424652099609</v>
      </c>
      <c r="O115" s="11">
        <v>94.387519836425781</v>
      </c>
      <c r="P115" s="11">
        <v>70.609146118164063</v>
      </c>
      <c r="Q115" s="11">
        <v>82.454750061035156</v>
      </c>
      <c r="R115" s="11">
        <v>38.636821746826172</v>
      </c>
      <c r="S115" s="11">
        <v>53.458274841308594</v>
      </c>
      <c r="T115" s="11">
        <v>52.022079467773438</v>
      </c>
      <c r="U115" s="11">
        <v>29.896940231323242</v>
      </c>
    </row>
    <row r="116" spans="1:21" x14ac:dyDescent="0.2">
      <c r="A116" t="s">
        <v>149</v>
      </c>
      <c r="B116" t="s">
        <v>150</v>
      </c>
      <c r="C116" s="11">
        <v>65.967338562011719</v>
      </c>
      <c r="D116" s="3">
        <v>79</v>
      </c>
      <c r="E116" s="11">
        <v>97.7901611328125</v>
      </c>
      <c r="F116" s="11">
        <v>56.840648651123047</v>
      </c>
      <c r="G116" s="11">
        <v>79.77386474609375</v>
      </c>
      <c r="H116" s="11">
        <v>82.151908874511719</v>
      </c>
      <c r="I116" s="11">
        <v>67.036430358886719</v>
      </c>
      <c r="J116" s="11">
        <v>84.64447021484375</v>
      </c>
      <c r="K116" s="11">
        <v>74.643447875976563</v>
      </c>
      <c r="L116" s="11">
        <v>52.183647155761719</v>
      </c>
      <c r="M116" s="11">
        <v>23.276409149169922</v>
      </c>
      <c r="N116" s="11">
        <v>46.770217895507813</v>
      </c>
      <c r="O116" s="11">
        <v>79.894950866699219</v>
      </c>
      <c r="P116" s="11">
        <v>73.237152099609375</v>
      </c>
      <c r="Q116" s="11">
        <v>84.076766967773438</v>
      </c>
      <c r="R116" s="11">
        <v>49.391593933105469</v>
      </c>
      <c r="S116" s="11">
        <v>58.697006225585938</v>
      </c>
      <c r="T116" s="11">
        <v>53.391532897949219</v>
      </c>
      <c r="U116" s="11">
        <v>57.644504547119141</v>
      </c>
    </row>
    <row r="117" spans="1:21" x14ac:dyDescent="0.2">
      <c r="A117" t="s">
        <v>215</v>
      </c>
      <c r="B117" t="s">
        <v>216</v>
      </c>
      <c r="C117" s="11">
        <v>64.330307006835938</v>
      </c>
      <c r="D117" s="3">
        <v>93</v>
      </c>
      <c r="E117" s="11">
        <v>92.526092529296875</v>
      </c>
      <c r="F117" s="11">
        <v>50.238185882568359</v>
      </c>
      <c r="G117" s="11">
        <v>61.129329681396484</v>
      </c>
      <c r="H117" s="11">
        <v>84.049537658691406</v>
      </c>
      <c r="I117" s="11">
        <v>64.537994384765625</v>
      </c>
      <c r="J117" s="11">
        <v>85.505859375</v>
      </c>
      <c r="K117" s="11">
        <v>64.642631530761719</v>
      </c>
      <c r="L117" s="11">
        <v>60.759021759033203</v>
      </c>
      <c r="M117" s="11">
        <v>24.519983291625977</v>
      </c>
      <c r="N117" s="11">
        <v>49.922622680664063</v>
      </c>
      <c r="O117" s="11">
        <v>67.963935852050781</v>
      </c>
      <c r="P117" s="11">
        <v>82.171600341796875</v>
      </c>
      <c r="Q117" s="11">
        <v>88.453765869140625</v>
      </c>
      <c r="R117" s="11">
        <v>50.6912841796875</v>
      </c>
      <c r="S117" s="11">
        <v>51.532238006591797</v>
      </c>
      <c r="T117" s="11">
        <v>61.065719604492188</v>
      </c>
      <c r="U117" s="11">
        <v>53.905406951904297</v>
      </c>
    </row>
    <row r="118" spans="1:21" x14ac:dyDescent="0.2">
      <c r="A118" t="s">
        <v>37</v>
      </c>
      <c r="B118" t="s">
        <v>38</v>
      </c>
      <c r="C118" s="11">
        <v>75.783355712890625</v>
      </c>
      <c r="D118" s="3">
        <v>27</v>
      </c>
      <c r="E118" s="11">
        <v>99.954452514648438</v>
      </c>
      <c r="F118" s="11">
        <v>63.447006225585938</v>
      </c>
      <c r="G118" s="11">
        <v>85.657302856445313</v>
      </c>
      <c r="H118" s="11">
        <v>93.690696716308594</v>
      </c>
      <c r="I118" s="11">
        <v>68.611061096191406</v>
      </c>
      <c r="J118" s="11">
        <v>95.213409423828125</v>
      </c>
      <c r="K118" s="11">
        <v>81.359367370605469</v>
      </c>
      <c r="L118" s="11">
        <v>86.311378479003906</v>
      </c>
      <c r="M118" s="11">
        <v>46.653774261474609</v>
      </c>
      <c r="N118" s="11">
        <v>81.33203125</v>
      </c>
      <c r="O118" s="11">
        <v>88.673080444335938</v>
      </c>
      <c r="P118" s="11">
        <v>72.593833923339844</v>
      </c>
      <c r="Q118" s="11">
        <v>82.883842468261719</v>
      </c>
      <c r="R118" s="11">
        <v>31.202455520629883</v>
      </c>
      <c r="S118" s="11">
        <v>83.877861022949219</v>
      </c>
      <c r="T118" s="11">
        <v>68.593704223632813</v>
      </c>
      <c r="U118" s="11">
        <v>58.261768341064453</v>
      </c>
    </row>
    <row r="119" spans="1:21" x14ac:dyDescent="0.2">
      <c r="A119" t="s">
        <v>55</v>
      </c>
      <c r="B119" t="s">
        <v>56</v>
      </c>
      <c r="C119" s="11">
        <v>75.570289611816406</v>
      </c>
      <c r="D119" s="3">
        <v>28</v>
      </c>
      <c r="E119" s="11">
        <v>99.223701477050781</v>
      </c>
      <c r="F119" s="11">
        <v>60.803657531738281</v>
      </c>
      <c r="G119" s="11">
        <v>90.610992431640625</v>
      </c>
      <c r="H119" s="11">
        <v>85.416885375976563</v>
      </c>
      <c r="I119" s="11">
        <v>82.162071228027344</v>
      </c>
      <c r="J119" s="11">
        <v>96.061309814453125</v>
      </c>
      <c r="K119" s="11">
        <v>91.420608520507813</v>
      </c>
      <c r="L119" s="11">
        <v>78.283027648925781</v>
      </c>
      <c r="M119" s="11">
        <v>56.564975738525391</v>
      </c>
      <c r="N119" s="11">
        <v>69.983375549316406</v>
      </c>
      <c r="O119" s="11">
        <v>98.017349243164063</v>
      </c>
      <c r="P119" s="11">
        <v>55.475650787353516</v>
      </c>
      <c r="Q119" s="11">
        <v>86.263275146484375</v>
      </c>
      <c r="R119" s="11">
        <v>50.166919708251953</v>
      </c>
      <c r="S119" s="11">
        <v>48.946067810058594</v>
      </c>
      <c r="T119" s="11">
        <v>71.904090881347656</v>
      </c>
      <c r="U119" s="11">
        <v>63.391006469726563</v>
      </c>
    </row>
    <row r="120" spans="1:21" x14ac:dyDescent="0.2">
      <c r="A120" t="s">
        <v>195</v>
      </c>
      <c r="B120" t="s">
        <v>196</v>
      </c>
      <c r="C120" s="11">
        <v>66.135391235351563</v>
      </c>
      <c r="D120" s="3">
        <v>75</v>
      </c>
      <c r="E120" s="11">
        <v>97.925636291503906</v>
      </c>
      <c r="F120" s="11">
        <v>64.218925476074219</v>
      </c>
      <c r="G120" s="11">
        <v>76.002693176269531</v>
      </c>
      <c r="H120" s="11">
        <v>75.535614013671875</v>
      </c>
      <c r="I120" s="11">
        <v>65.64227294921875</v>
      </c>
      <c r="J120" s="11">
        <v>95.337982177734375</v>
      </c>
      <c r="K120" s="11">
        <v>84.250259399414063</v>
      </c>
      <c r="L120" s="11">
        <v>45.402565002441406</v>
      </c>
      <c r="M120" s="11">
        <v>17.139274597167969</v>
      </c>
      <c r="N120" s="11">
        <v>25.190574645996094</v>
      </c>
      <c r="O120" s="11">
        <v>91.279045104980469</v>
      </c>
      <c r="P120" s="11">
        <v>71.286491394042969</v>
      </c>
      <c r="Q120" s="11">
        <v>83.690155029296875</v>
      </c>
      <c r="R120" s="11" t="s">
        <v>464</v>
      </c>
      <c r="S120" s="11">
        <v>45.449272155761719</v>
      </c>
      <c r="T120" s="11">
        <v>52.644321441650391</v>
      </c>
      <c r="U120" s="11">
        <v>67.171119689941406</v>
      </c>
    </row>
    <row r="121" spans="1:21" x14ac:dyDescent="0.2">
      <c r="A121" t="s">
        <v>219</v>
      </c>
      <c r="B121" t="s">
        <v>220</v>
      </c>
      <c r="C121" s="11">
        <v>63.101627349853516</v>
      </c>
      <c r="D121" s="3">
        <v>98</v>
      </c>
      <c r="E121" s="11">
        <v>99.790855407714844</v>
      </c>
      <c r="F121" s="11">
        <v>57.774246215820313</v>
      </c>
      <c r="G121" s="11">
        <v>89.307296752929688</v>
      </c>
      <c r="H121" s="11">
        <v>81.448898315429688</v>
      </c>
      <c r="I121" s="11">
        <v>48.009452819824219</v>
      </c>
      <c r="J121" s="11">
        <v>49.431816101074219</v>
      </c>
      <c r="K121" s="11">
        <v>78.393707275390625</v>
      </c>
      <c r="L121" s="11">
        <v>80.639663696289063</v>
      </c>
      <c r="M121" s="11">
        <v>50.102027893066406</v>
      </c>
      <c r="N121" s="11">
        <v>57.488395690917969</v>
      </c>
      <c r="O121" s="11">
        <v>46.884983062744141</v>
      </c>
      <c r="P121" s="11">
        <v>56.722789764404297</v>
      </c>
      <c r="Q121" s="11">
        <v>58.558559417724609</v>
      </c>
      <c r="R121" s="11">
        <v>39.225410461425781</v>
      </c>
      <c r="S121" s="11">
        <v>40.074253082275391</v>
      </c>
      <c r="T121" s="11">
        <v>86.888412475585938</v>
      </c>
      <c r="U121" s="11">
        <v>51.986915588378906</v>
      </c>
    </row>
    <row r="122" spans="1:21" x14ac:dyDescent="0.2">
      <c r="A122" t="s">
        <v>89</v>
      </c>
      <c r="B122" t="s">
        <v>90</v>
      </c>
      <c r="C122" s="11">
        <v>74.129852294921875</v>
      </c>
      <c r="D122" s="3">
        <v>35</v>
      </c>
      <c r="E122" s="11">
        <v>99.8515625</v>
      </c>
      <c r="F122" s="11">
        <v>51.857753753662109</v>
      </c>
      <c r="G122" s="11">
        <v>79.252235412597656</v>
      </c>
      <c r="H122" s="11">
        <v>82.631790161132813</v>
      </c>
      <c r="I122" s="11">
        <v>61.545677185058594</v>
      </c>
      <c r="J122" s="11">
        <v>90.892807006835938</v>
      </c>
      <c r="K122" s="11">
        <v>81.841621398925781</v>
      </c>
      <c r="L122" s="11">
        <v>77.745399475097656</v>
      </c>
      <c r="M122" s="11">
        <v>34.667469024658203</v>
      </c>
      <c r="N122" s="11">
        <v>94.600791931152344</v>
      </c>
      <c r="O122" s="11">
        <v>84.014869689941406</v>
      </c>
      <c r="P122" s="11">
        <v>65.417594909667969</v>
      </c>
      <c r="Q122" s="11">
        <v>90.689567565917969</v>
      </c>
      <c r="R122" s="11">
        <v>65.578285217285156</v>
      </c>
      <c r="S122" s="11">
        <v>79.641815185546875</v>
      </c>
      <c r="T122" s="11">
        <v>60.212779998779297</v>
      </c>
      <c r="U122" s="11">
        <v>59.765457153320313</v>
      </c>
    </row>
    <row r="123" spans="1:21" x14ac:dyDescent="0.2">
      <c r="A123" t="s">
        <v>117</v>
      </c>
      <c r="B123" t="s">
        <v>118</v>
      </c>
      <c r="C123" s="11">
        <v>68.929405212402344</v>
      </c>
      <c r="D123" s="3">
        <v>62</v>
      </c>
      <c r="E123" s="11">
        <v>100</v>
      </c>
      <c r="F123" s="11">
        <v>28.859828948974609</v>
      </c>
      <c r="G123" s="11">
        <v>75.965965270996094</v>
      </c>
      <c r="H123" s="11">
        <v>92.619758605957031</v>
      </c>
      <c r="I123" s="11">
        <v>65.465286254882813</v>
      </c>
      <c r="J123" s="11">
        <v>88.2562255859375</v>
      </c>
      <c r="K123" s="11">
        <v>85.931282043457031</v>
      </c>
      <c r="L123" s="11">
        <v>71.857460021972656</v>
      </c>
      <c r="M123" s="11">
        <v>45.303936004638672</v>
      </c>
      <c r="N123" s="11">
        <v>54.078067779541016</v>
      </c>
      <c r="O123" s="11">
        <v>90.851203918457031</v>
      </c>
      <c r="P123" s="11">
        <v>70.510581970214844</v>
      </c>
      <c r="Q123" s="11">
        <v>79.750198364257813</v>
      </c>
      <c r="R123" s="11">
        <v>70.470527648925781</v>
      </c>
      <c r="S123" s="11">
        <v>59.017604827880859</v>
      </c>
      <c r="T123" s="11">
        <v>35.341850280761719</v>
      </c>
      <c r="U123" s="11">
        <v>57.520172119140625</v>
      </c>
    </row>
    <row r="124" spans="1:21" x14ac:dyDescent="0.2">
      <c r="A124" t="s">
        <v>271</v>
      </c>
      <c r="B124" t="s">
        <v>272</v>
      </c>
      <c r="C124" s="11">
        <v>55.005588531494141</v>
      </c>
      <c r="D124" s="3">
        <v>123</v>
      </c>
      <c r="E124" s="11">
        <v>52.027885437011719</v>
      </c>
      <c r="F124" s="11">
        <v>41.929950714111328</v>
      </c>
      <c r="G124" s="11">
        <v>61.603549957275391</v>
      </c>
      <c r="H124" s="11">
        <v>59.310966491699219</v>
      </c>
      <c r="I124" s="11">
        <v>79.174308776855469</v>
      </c>
      <c r="J124" s="11">
        <v>75.663551330566406</v>
      </c>
      <c r="K124" s="11">
        <v>5.8658595085144043</v>
      </c>
      <c r="L124" s="11">
        <v>52.566074371337891</v>
      </c>
      <c r="M124" s="11">
        <v>17.807287216186523</v>
      </c>
      <c r="N124" s="11">
        <v>28.715536117553711</v>
      </c>
      <c r="O124" s="11">
        <v>39.892616271972656</v>
      </c>
      <c r="P124" s="11">
        <v>82.199935913085938</v>
      </c>
      <c r="Q124" s="11">
        <v>81.237831115722656</v>
      </c>
      <c r="R124" s="11" t="s">
        <v>464</v>
      </c>
      <c r="S124" s="11">
        <v>65.315017700195313</v>
      </c>
      <c r="T124" s="11">
        <v>72.906829833984375</v>
      </c>
      <c r="U124" s="11">
        <v>63.872203826904297</v>
      </c>
    </row>
    <row r="125" spans="1:21" x14ac:dyDescent="0.2">
      <c r="A125" t="s">
        <v>207</v>
      </c>
      <c r="B125" t="s">
        <v>208</v>
      </c>
      <c r="C125" s="11">
        <v>62.677078247070313</v>
      </c>
      <c r="D125" s="3">
        <v>101</v>
      </c>
      <c r="E125" s="11">
        <v>99.179450988769531</v>
      </c>
      <c r="F125" s="11">
        <v>41.008472442626953</v>
      </c>
      <c r="G125" s="11">
        <v>82.639717102050781</v>
      </c>
      <c r="H125" s="11">
        <v>86.817329406738281</v>
      </c>
      <c r="I125" s="11">
        <v>42.029857635498047</v>
      </c>
      <c r="J125" s="11">
        <v>57.565990447998047</v>
      </c>
      <c r="K125" s="11">
        <v>82.671638488769531</v>
      </c>
      <c r="L125" s="11">
        <v>74.419731140136719</v>
      </c>
      <c r="M125" s="11">
        <v>51.675125122070313</v>
      </c>
      <c r="N125" s="11" t="s">
        <v>464</v>
      </c>
      <c r="O125" s="11">
        <v>0</v>
      </c>
      <c r="P125" s="11">
        <v>58.578327178955078</v>
      </c>
      <c r="Q125" s="11">
        <v>72.965179443359375</v>
      </c>
      <c r="R125" s="11">
        <v>45.835727691650391</v>
      </c>
      <c r="S125" s="11">
        <v>35.322517395019531</v>
      </c>
      <c r="T125" s="11">
        <v>72.12420654296875</v>
      </c>
      <c r="U125" s="11">
        <v>100</v>
      </c>
    </row>
    <row r="126" spans="1:21" x14ac:dyDescent="0.2">
      <c r="A126" t="s">
        <v>339</v>
      </c>
      <c r="B126" t="s">
        <v>340</v>
      </c>
      <c r="C126" s="11">
        <v>49.871002197265625</v>
      </c>
      <c r="D126" s="3">
        <v>139</v>
      </c>
      <c r="E126" s="11">
        <v>78.054794311523438</v>
      </c>
      <c r="F126" s="11">
        <v>23.857246398925781</v>
      </c>
      <c r="G126" s="11">
        <v>52.549575805664063</v>
      </c>
      <c r="H126" s="11">
        <v>19.229438781738281</v>
      </c>
      <c r="I126" s="11">
        <v>38.922275543212891</v>
      </c>
      <c r="J126" s="11">
        <v>38.591903686523438</v>
      </c>
      <c r="K126" s="11">
        <v>44.122917175292969</v>
      </c>
      <c r="L126" s="11">
        <v>36.842025756835938</v>
      </c>
      <c r="M126" s="11">
        <v>14.145068168640137</v>
      </c>
      <c r="N126" s="11">
        <v>71.846160888671875</v>
      </c>
      <c r="O126" s="11">
        <v>55.390335083007813</v>
      </c>
      <c r="P126" s="11">
        <v>74.92401123046875</v>
      </c>
      <c r="Q126" s="11">
        <v>77.926765441894531</v>
      </c>
      <c r="R126" s="11">
        <v>50.805168151855469</v>
      </c>
      <c r="S126" s="11">
        <v>34.383674621582031</v>
      </c>
      <c r="T126" s="11">
        <v>68.473434448242188</v>
      </c>
      <c r="U126" s="11">
        <v>67.742210388183594</v>
      </c>
    </row>
    <row r="127" spans="1:21" x14ac:dyDescent="0.2">
      <c r="A127" t="s">
        <v>261</v>
      </c>
      <c r="B127" t="s">
        <v>262</v>
      </c>
      <c r="C127" s="11">
        <v>56.238533020019531</v>
      </c>
      <c r="D127" s="3">
        <v>119</v>
      </c>
      <c r="E127" s="11">
        <v>63.297416687011719</v>
      </c>
      <c r="F127" s="11">
        <v>51.084163665771484</v>
      </c>
      <c r="G127" s="11">
        <v>55.788555145263672</v>
      </c>
      <c r="H127" s="11">
        <v>28.967626571655273</v>
      </c>
      <c r="I127" s="11">
        <v>51.789508819580078</v>
      </c>
      <c r="J127" s="11">
        <v>70.97784423828125</v>
      </c>
      <c r="K127" s="11">
        <v>47.047660827636719</v>
      </c>
      <c r="L127" s="11">
        <v>52.955421447753906</v>
      </c>
      <c r="M127" s="11">
        <v>14.282465934753418</v>
      </c>
      <c r="N127" s="11">
        <v>57.803630828857422</v>
      </c>
      <c r="O127" s="11">
        <v>70.936492919921875</v>
      </c>
      <c r="P127" s="11">
        <v>81.716972351074219</v>
      </c>
      <c r="Q127" s="11">
        <v>81.598686218261719</v>
      </c>
      <c r="R127" s="11">
        <v>29.694541931152344</v>
      </c>
      <c r="S127" s="11">
        <v>69.685707092285156</v>
      </c>
      <c r="T127" s="11">
        <v>63.785377502441406</v>
      </c>
      <c r="U127" s="11">
        <v>64.64300537109375</v>
      </c>
    </row>
    <row r="128" spans="1:21" x14ac:dyDescent="0.2">
      <c r="A128" t="s">
        <v>147</v>
      </c>
      <c r="B128" t="s">
        <v>148</v>
      </c>
      <c r="C128" s="11">
        <v>68.973739624023438</v>
      </c>
      <c r="D128" s="3">
        <v>61</v>
      </c>
      <c r="E128" s="11">
        <v>98.62841796875</v>
      </c>
      <c r="F128" s="11">
        <v>71.149246215820313</v>
      </c>
      <c r="G128" s="11">
        <v>93.842720031738281</v>
      </c>
      <c r="H128" s="11">
        <v>92.250167846679688</v>
      </c>
      <c r="I128" s="11">
        <v>68.299049377441406</v>
      </c>
      <c r="J128" s="11">
        <v>88.899185180664063</v>
      </c>
      <c r="K128" s="11">
        <v>90.789520263671875</v>
      </c>
      <c r="L128" s="11">
        <v>95.045478820800781</v>
      </c>
      <c r="M128" s="11">
        <v>85.727882385253906</v>
      </c>
      <c r="N128" s="11">
        <v>37.714218139648438</v>
      </c>
      <c r="O128" s="11">
        <v>92.936798095703125</v>
      </c>
      <c r="P128" s="11">
        <v>43.283699035644531</v>
      </c>
      <c r="Q128" s="11">
        <v>48.081600189208984</v>
      </c>
      <c r="R128" s="11">
        <v>21.21449089050293</v>
      </c>
      <c r="S128" s="11">
        <v>26.186634063720703</v>
      </c>
      <c r="T128" s="11">
        <v>89.807266235351563</v>
      </c>
      <c r="U128" s="11">
        <v>28.697257995605469</v>
      </c>
    </row>
    <row r="129" spans="1:21" x14ac:dyDescent="0.2">
      <c r="A129" t="s">
        <v>293</v>
      </c>
      <c r="B129" t="s">
        <v>294</v>
      </c>
      <c r="C129" s="11">
        <v>47.112384796142578</v>
      </c>
      <c r="D129" s="3">
        <v>149</v>
      </c>
      <c r="E129" s="11">
        <v>28.71759033203125</v>
      </c>
      <c r="F129" s="11">
        <v>41.505477905273438</v>
      </c>
      <c r="G129" s="11">
        <v>28.157602310180664</v>
      </c>
      <c r="H129" s="11">
        <v>49.287803649902344</v>
      </c>
      <c r="I129" s="11">
        <v>43.445880889892578</v>
      </c>
      <c r="J129" s="11">
        <v>46.116504669189453</v>
      </c>
      <c r="K129" s="11">
        <v>2.1771872043609619</v>
      </c>
      <c r="L129" s="11">
        <v>35.900482177734375</v>
      </c>
      <c r="M129" s="11">
        <v>5.8045811653137207</v>
      </c>
      <c r="N129" s="11">
        <v>75.858314514160156</v>
      </c>
      <c r="O129" s="11">
        <v>47.479183197021484</v>
      </c>
      <c r="P129" s="11">
        <v>82.237869262695313</v>
      </c>
      <c r="Q129" s="11">
        <v>81.110641479492188</v>
      </c>
      <c r="R129" s="11">
        <v>39.271774291992188</v>
      </c>
      <c r="S129" s="11">
        <v>75.330665588378906</v>
      </c>
      <c r="T129" s="11">
        <v>58.053577423095703</v>
      </c>
      <c r="U129" s="11">
        <v>60.455417633056641</v>
      </c>
    </row>
    <row r="130" spans="1:21" x14ac:dyDescent="0.2">
      <c r="A130" t="s">
        <v>165</v>
      </c>
      <c r="B130" t="s">
        <v>166</v>
      </c>
      <c r="C130" s="11">
        <v>62.921295166015625</v>
      </c>
      <c r="D130" s="3">
        <v>99</v>
      </c>
      <c r="E130" s="11">
        <v>96.405868530273438</v>
      </c>
      <c r="F130" s="11">
        <v>48.828472137451172</v>
      </c>
      <c r="G130" s="11">
        <v>78.424751281738281</v>
      </c>
      <c r="H130" s="11">
        <v>73.145919799804688</v>
      </c>
      <c r="I130" s="11">
        <v>67.712966918945313</v>
      </c>
      <c r="J130" s="11">
        <v>84.83868408203125</v>
      </c>
      <c r="K130" s="11">
        <v>81.513206481933594</v>
      </c>
      <c r="L130" s="11">
        <v>55.826793670654297</v>
      </c>
      <c r="M130" s="11">
        <v>15.055035591125488</v>
      </c>
      <c r="N130" s="11">
        <v>53.361606597900391</v>
      </c>
      <c r="O130" s="11">
        <v>75.448646545410156</v>
      </c>
      <c r="P130" s="11">
        <v>74.938232421875</v>
      </c>
      <c r="Q130" s="11">
        <v>87.776351928710938</v>
      </c>
      <c r="R130" s="11">
        <v>21.593917846679688</v>
      </c>
      <c r="S130" s="11">
        <v>58.780815124511719</v>
      </c>
      <c r="T130" s="11">
        <v>35.614459991455078</v>
      </c>
      <c r="U130" s="11">
        <v>60.396305084228516</v>
      </c>
    </row>
    <row r="131" spans="1:21" x14ac:dyDescent="0.2">
      <c r="A131" t="s">
        <v>91</v>
      </c>
      <c r="B131" t="s">
        <v>92</v>
      </c>
      <c r="C131" s="11">
        <v>73.576744079589844</v>
      </c>
      <c r="D131" s="3">
        <v>37</v>
      </c>
      <c r="E131" s="11">
        <v>99.790878295898438</v>
      </c>
      <c r="F131" s="11">
        <v>59.240360260009766</v>
      </c>
      <c r="G131" s="11">
        <v>80.679420471191406</v>
      </c>
      <c r="H131" s="11">
        <v>89.002532958984375</v>
      </c>
      <c r="I131" s="11">
        <v>59.005111694335938</v>
      </c>
      <c r="J131" s="11">
        <v>97.737640380859375</v>
      </c>
      <c r="K131" s="11">
        <v>78.230682373046875</v>
      </c>
      <c r="L131" s="11">
        <v>49.259525299072266</v>
      </c>
      <c r="M131" s="11">
        <v>36.276599884033203</v>
      </c>
      <c r="N131" s="11">
        <v>89.98681640625</v>
      </c>
      <c r="O131" s="11">
        <v>89.010063171386719</v>
      </c>
      <c r="P131" s="11">
        <v>64.38140869140625</v>
      </c>
      <c r="Q131" s="11">
        <v>77.713088989257813</v>
      </c>
      <c r="R131" s="11" t="s">
        <v>464</v>
      </c>
      <c r="S131" s="11">
        <v>64.822319030761719</v>
      </c>
      <c r="T131" s="11">
        <v>66.915306091308594</v>
      </c>
      <c r="U131" s="11">
        <v>75.176139831542969</v>
      </c>
    </row>
    <row r="132" spans="1:21" x14ac:dyDescent="0.2">
      <c r="A132" t="s">
        <v>203</v>
      </c>
      <c r="B132" t="s">
        <v>204</v>
      </c>
      <c r="C132" s="11">
        <v>70.351570129394531</v>
      </c>
      <c r="D132" s="3">
        <v>51</v>
      </c>
      <c r="E132" s="11">
        <v>71.619926452636719</v>
      </c>
      <c r="F132" s="11">
        <v>52.542987823486328</v>
      </c>
      <c r="G132" s="11">
        <v>77.974647521972656</v>
      </c>
      <c r="H132" s="11">
        <v>79.497016906738281</v>
      </c>
      <c r="I132" s="11">
        <v>64.656143188476563</v>
      </c>
      <c r="J132" s="11">
        <v>88.561416625976563</v>
      </c>
      <c r="K132" s="11">
        <v>86.609146118164063</v>
      </c>
      <c r="L132" s="11">
        <v>63.164306640625</v>
      </c>
      <c r="M132" s="11">
        <v>32.969425201416016</v>
      </c>
      <c r="N132" s="11" t="s">
        <v>464</v>
      </c>
      <c r="O132" s="11">
        <v>82.207901000976563</v>
      </c>
      <c r="P132" s="11">
        <v>80.879119873046875</v>
      </c>
      <c r="Q132" s="11">
        <v>61.96319580078125</v>
      </c>
      <c r="R132" s="11">
        <v>67.362823486328125</v>
      </c>
      <c r="S132" s="11">
        <v>75.232147216796875</v>
      </c>
      <c r="T132" s="11">
        <v>58.966800689697266</v>
      </c>
      <c r="U132" s="11">
        <v>81.418128967285156</v>
      </c>
    </row>
    <row r="133" spans="1:21" x14ac:dyDescent="0.2">
      <c r="A133" t="s">
        <v>65</v>
      </c>
      <c r="B133" t="s">
        <v>66</v>
      </c>
      <c r="C133" s="11">
        <v>76.934890747070313</v>
      </c>
      <c r="D133" s="3">
        <v>23</v>
      </c>
      <c r="E133" s="11">
        <v>99.34259033203125</v>
      </c>
      <c r="F133" s="11">
        <v>68.156524658203125</v>
      </c>
      <c r="G133" s="11">
        <v>87.083831787109375</v>
      </c>
      <c r="H133" s="11">
        <v>90.65338134765625</v>
      </c>
      <c r="I133" s="11">
        <v>67.774848937988281</v>
      </c>
      <c r="J133" s="11">
        <v>96.436065673828125</v>
      </c>
      <c r="K133" s="11">
        <v>89.197074890136719</v>
      </c>
      <c r="L133" s="11">
        <v>73.250816345214844</v>
      </c>
      <c r="M133" s="11">
        <v>47.003273010253906</v>
      </c>
      <c r="N133" s="11">
        <v>98.412338256835938</v>
      </c>
      <c r="O133" s="11">
        <v>89.25054931640625</v>
      </c>
      <c r="P133" s="11">
        <v>63.999553680419922</v>
      </c>
      <c r="Q133" s="11">
        <v>68.0145263671875</v>
      </c>
      <c r="R133" s="11" t="s">
        <v>464</v>
      </c>
      <c r="S133" s="11">
        <v>77.379074096679688</v>
      </c>
      <c r="T133" s="11">
        <v>63.821273803710938</v>
      </c>
      <c r="U133" s="11">
        <v>51.182571411132813</v>
      </c>
    </row>
    <row r="134" spans="1:21" x14ac:dyDescent="0.2">
      <c r="A134" t="s">
        <v>45</v>
      </c>
      <c r="B134" t="s">
        <v>46</v>
      </c>
      <c r="C134" s="11">
        <v>80.541305541992188</v>
      </c>
      <c r="D134" s="3">
        <v>9</v>
      </c>
      <c r="E134" s="11">
        <v>99.787490844726563</v>
      </c>
      <c r="F134" s="11">
        <v>65.369049072265625</v>
      </c>
      <c r="G134" s="11">
        <v>91.775291442871094</v>
      </c>
      <c r="H134" s="11">
        <v>94.850173950195313</v>
      </c>
      <c r="I134" s="11">
        <v>80.121971130371094</v>
      </c>
      <c r="J134" s="11">
        <v>94.219718933105469</v>
      </c>
      <c r="K134" s="11">
        <v>90.578102111816406</v>
      </c>
      <c r="L134" s="11">
        <v>75.744636535644531</v>
      </c>
      <c r="M134" s="11">
        <v>56.390193939208984</v>
      </c>
      <c r="N134" s="11">
        <v>99.931221008300781</v>
      </c>
      <c r="O134" s="11">
        <v>91.181022644042969</v>
      </c>
      <c r="P134" s="11">
        <v>61.380424499511719</v>
      </c>
      <c r="Q134" s="11">
        <v>88.331329345703125</v>
      </c>
      <c r="R134" s="11">
        <v>54.899879455566406</v>
      </c>
      <c r="S134" s="11">
        <v>80.461380004882813</v>
      </c>
      <c r="T134" s="11">
        <v>77.191474914550781</v>
      </c>
      <c r="U134" s="11">
        <v>66.988868713378906</v>
      </c>
    </row>
    <row r="135" spans="1:21" x14ac:dyDescent="0.2">
      <c r="A135" t="s">
        <v>23</v>
      </c>
      <c r="B135" t="s">
        <v>24</v>
      </c>
      <c r="C135" s="11">
        <v>85.607109069824219</v>
      </c>
      <c r="D135" s="3">
        <v>1</v>
      </c>
      <c r="E135" s="11">
        <v>99.426712036132813</v>
      </c>
      <c r="F135" s="11">
        <v>70.125740051269531</v>
      </c>
      <c r="G135" s="11">
        <v>97.575920104980469</v>
      </c>
      <c r="H135" s="11">
        <v>94.96826171875</v>
      </c>
      <c r="I135" s="11">
        <v>86.492515563964844</v>
      </c>
      <c r="J135" s="11">
        <v>95.174980163574219</v>
      </c>
      <c r="K135" s="11">
        <v>97.500442504882813</v>
      </c>
      <c r="L135" s="11">
        <v>91.3480224609375</v>
      </c>
      <c r="M135" s="11">
        <v>89.614021301269531</v>
      </c>
      <c r="N135" s="11">
        <v>94.973350524902344</v>
      </c>
      <c r="O135" s="11">
        <v>100</v>
      </c>
      <c r="P135" s="11">
        <v>57.663436889648438</v>
      </c>
      <c r="Q135" s="11">
        <v>80.09124755859375</v>
      </c>
      <c r="R135" s="11">
        <v>59.867916107177734</v>
      </c>
      <c r="S135" s="11">
        <v>63.137657165527344</v>
      </c>
      <c r="T135" s="11">
        <v>81.088050842285156</v>
      </c>
      <c r="U135" s="11">
        <v>96.272598266601563</v>
      </c>
    </row>
    <row r="136" spans="1:21" x14ac:dyDescent="0.2">
      <c r="A136" t="s">
        <v>463</v>
      </c>
      <c r="B136" t="s">
        <v>284</v>
      </c>
      <c r="C136" s="11">
        <v>54.983535766601563</v>
      </c>
      <c r="D136" s="3">
        <v>124</v>
      </c>
      <c r="E136" s="11">
        <v>59.985984802246094</v>
      </c>
      <c r="F136" s="11">
        <v>45.953067779541016</v>
      </c>
      <c r="G136" s="11">
        <v>48.841300964355469</v>
      </c>
      <c r="H136" s="11">
        <v>62.543910980224609</v>
      </c>
      <c r="I136" s="11">
        <v>53.713890075683594</v>
      </c>
      <c r="J136" s="11">
        <v>71.719573974609375</v>
      </c>
      <c r="K136" s="11">
        <v>49.298103332519531</v>
      </c>
      <c r="L136" s="11">
        <v>47.425857543945313</v>
      </c>
      <c r="M136" s="11">
        <v>22.470041275024414</v>
      </c>
      <c r="N136" s="11">
        <v>25.821056365966797</v>
      </c>
      <c r="O136" s="11">
        <v>79.438255310058594</v>
      </c>
      <c r="P136" s="11">
        <v>78.214439392089844</v>
      </c>
      <c r="Q136" s="11">
        <v>37.240669250488281</v>
      </c>
      <c r="R136" s="11" t="s">
        <v>464</v>
      </c>
      <c r="S136" s="11">
        <v>52.744289398193359</v>
      </c>
      <c r="T136" s="11">
        <v>52.698406219482422</v>
      </c>
      <c r="U136" s="11">
        <v>91.627723693847656</v>
      </c>
    </row>
    <row r="137" spans="1:21" x14ac:dyDescent="0.2">
      <c r="A137" t="s">
        <v>279</v>
      </c>
      <c r="B137" t="s">
        <v>280</v>
      </c>
      <c r="C137" s="11">
        <v>58.144306182861328</v>
      </c>
      <c r="D137" s="3">
        <v>115</v>
      </c>
      <c r="E137" s="11" t="s">
        <v>464</v>
      </c>
      <c r="F137" s="11">
        <v>27.522920608520508</v>
      </c>
      <c r="G137" s="11">
        <v>73.131034851074219</v>
      </c>
      <c r="H137" s="11">
        <v>48.781600952148438</v>
      </c>
      <c r="I137" s="11">
        <v>36.095420837402344</v>
      </c>
      <c r="J137" s="11">
        <v>68.593605041503906</v>
      </c>
      <c r="K137" s="11">
        <v>85.317039489746094</v>
      </c>
      <c r="L137" s="11">
        <v>50.499977111816406</v>
      </c>
      <c r="M137" s="11">
        <v>17.41499137878418</v>
      </c>
      <c r="N137" s="11">
        <v>81.561294555664063</v>
      </c>
      <c r="O137" s="11">
        <v>77.059982299804688</v>
      </c>
      <c r="P137" s="11">
        <v>76.16644287109375</v>
      </c>
      <c r="Q137" s="11">
        <v>89.26483154296875</v>
      </c>
      <c r="R137" s="11">
        <v>31.892946243286133</v>
      </c>
      <c r="S137" s="11">
        <v>42.618194580078125</v>
      </c>
      <c r="T137" s="11">
        <v>63.905128479003906</v>
      </c>
      <c r="U137" s="11">
        <v>60.483467102050781</v>
      </c>
    </row>
    <row r="138" spans="1:21" x14ac:dyDescent="0.2">
      <c r="A138" t="s">
        <v>347</v>
      </c>
      <c r="B138" t="s">
        <v>348</v>
      </c>
      <c r="C138" s="11">
        <v>41.500804901123047</v>
      </c>
      <c r="D138" s="3">
        <v>156</v>
      </c>
      <c r="E138" s="11">
        <v>45.345932006835938</v>
      </c>
      <c r="F138" s="11">
        <v>29.067522048950195</v>
      </c>
      <c r="G138" s="11">
        <v>24.940404891967773</v>
      </c>
      <c r="H138" s="11">
        <v>22.816003799438477</v>
      </c>
      <c r="I138" s="11">
        <v>25.907148361206055</v>
      </c>
      <c r="J138" s="11">
        <v>50.028408050537109</v>
      </c>
      <c r="K138" s="11">
        <v>1.4239792823791504</v>
      </c>
      <c r="L138" s="11">
        <v>35.696701049804688</v>
      </c>
      <c r="M138" s="11">
        <v>1.6907526254653931</v>
      </c>
      <c r="N138" s="11">
        <v>49.120189666748047</v>
      </c>
      <c r="O138" s="11">
        <v>39.345401763916016</v>
      </c>
      <c r="P138" s="11">
        <v>76.84124755859375</v>
      </c>
      <c r="Q138" s="11">
        <v>85.392578125</v>
      </c>
      <c r="R138" s="11" t="s">
        <v>464</v>
      </c>
      <c r="S138" s="11">
        <v>79.214958190917969</v>
      </c>
      <c r="T138" s="11">
        <v>42.834209442138672</v>
      </c>
      <c r="U138" s="11">
        <v>54.347442626953125</v>
      </c>
    </row>
    <row r="139" spans="1:21" x14ac:dyDescent="0.2">
      <c r="A139" t="s">
        <v>291</v>
      </c>
      <c r="B139" t="s">
        <v>292</v>
      </c>
      <c r="C139" s="11">
        <v>50.179481506347656</v>
      </c>
      <c r="D139" s="3">
        <v>137</v>
      </c>
      <c r="E139" s="11">
        <v>62.701766967773438</v>
      </c>
      <c r="F139" s="11">
        <v>48.284774780273438</v>
      </c>
      <c r="G139" s="11">
        <v>42.235332489013672</v>
      </c>
      <c r="H139" s="11">
        <v>61.559272766113281</v>
      </c>
      <c r="I139" s="11">
        <v>42.689254760742188</v>
      </c>
      <c r="J139" s="11">
        <v>54.025764465332031</v>
      </c>
      <c r="K139" s="11">
        <v>14.348408699035645</v>
      </c>
      <c r="L139" s="11">
        <v>42.535587310791016</v>
      </c>
      <c r="M139" s="11">
        <v>5.2207117080688477</v>
      </c>
      <c r="N139" s="11">
        <v>41.382469177246094</v>
      </c>
      <c r="O139" s="11">
        <v>41.378761291503906</v>
      </c>
      <c r="P139" s="11">
        <v>82.434165954589844</v>
      </c>
      <c r="Q139" s="11">
        <v>84.660072326660156</v>
      </c>
      <c r="R139" s="11">
        <v>18.543878555297852</v>
      </c>
      <c r="S139" s="11">
        <v>80.169647216796875</v>
      </c>
      <c r="T139" s="11">
        <v>65.441444396972656</v>
      </c>
      <c r="U139" s="11">
        <v>65.439842224121094</v>
      </c>
    </row>
    <row r="140" spans="1:21" x14ac:dyDescent="0.2">
      <c r="A140" t="s">
        <v>105</v>
      </c>
      <c r="B140" t="s">
        <v>106</v>
      </c>
      <c r="C140" s="11">
        <v>69.539093017578125</v>
      </c>
      <c r="D140" s="3">
        <v>55</v>
      </c>
      <c r="E140" s="11">
        <v>100</v>
      </c>
      <c r="F140" s="11">
        <v>55.045181274414063</v>
      </c>
      <c r="G140" s="11">
        <v>76.214271545410156</v>
      </c>
      <c r="H140" s="11">
        <v>76.211036682128906</v>
      </c>
      <c r="I140" s="11">
        <v>65.708030700683594</v>
      </c>
      <c r="J140" s="11">
        <v>95.101364135742188</v>
      </c>
      <c r="K140" s="11">
        <v>76.910545349121094</v>
      </c>
      <c r="L140" s="11">
        <v>85.230323791503906</v>
      </c>
      <c r="M140" s="11">
        <v>39.788249969482422</v>
      </c>
      <c r="N140" s="11">
        <v>64.796241760253906</v>
      </c>
      <c r="O140" s="11">
        <v>75.081192016601563</v>
      </c>
      <c r="P140" s="11">
        <v>70.42266845703125</v>
      </c>
      <c r="Q140" s="11">
        <v>72.954139709472656</v>
      </c>
      <c r="R140" s="11">
        <v>44.974006652832031</v>
      </c>
      <c r="S140" s="11">
        <v>63.171424865722656</v>
      </c>
      <c r="T140" s="11">
        <v>57.965251922607422</v>
      </c>
      <c r="U140" s="11">
        <v>62.590644836425781</v>
      </c>
    </row>
    <row r="141" spans="1:21" x14ac:dyDescent="0.2">
      <c r="A141" t="s">
        <v>189</v>
      </c>
      <c r="B141" t="s">
        <v>190</v>
      </c>
      <c r="C141" s="11">
        <v>66.771255493164063</v>
      </c>
      <c r="D141" s="3">
        <v>72</v>
      </c>
      <c r="E141" s="11">
        <v>88.529342651367188</v>
      </c>
      <c r="F141" s="11">
        <v>36.472309112548828</v>
      </c>
      <c r="G141" s="11">
        <v>69.117958068847656</v>
      </c>
      <c r="H141" s="11">
        <v>89.454887390136719</v>
      </c>
      <c r="I141" s="11">
        <v>57.115737915039063</v>
      </c>
      <c r="J141" s="11">
        <v>73.53704833984375</v>
      </c>
      <c r="K141" s="11">
        <v>86.392356872558594</v>
      </c>
      <c r="L141" s="11">
        <v>43.186714172363281</v>
      </c>
      <c r="M141" s="11">
        <v>13.720479965209961</v>
      </c>
      <c r="N141" s="11">
        <v>85.114921569824219</v>
      </c>
      <c r="O141" s="11">
        <v>69.025810241699219</v>
      </c>
      <c r="P141" s="11">
        <v>80.894645690917969</v>
      </c>
      <c r="Q141" s="11">
        <v>76.590362548828125</v>
      </c>
      <c r="R141" s="11" t="s">
        <v>464</v>
      </c>
      <c r="S141" s="11">
        <v>59.842544555664063</v>
      </c>
      <c r="T141" s="11">
        <v>70.796112060546875</v>
      </c>
      <c r="U141" s="11">
        <v>68.548858642578125</v>
      </c>
    </row>
    <row r="142" spans="1:21" x14ac:dyDescent="0.2">
      <c r="A142" t="s">
        <v>201</v>
      </c>
      <c r="B142" t="s">
        <v>202</v>
      </c>
      <c r="C142" s="11">
        <v>56.725284576416016</v>
      </c>
      <c r="D142" s="3">
        <v>117</v>
      </c>
      <c r="E142" s="11">
        <v>99.97564697265625</v>
      </c>
      <c r="F142" s="11">
        <v>53.850353240966797</v>
      </c>
      <c r="G142" s="11">
        <v>70.80975341796875</v>
      </c>
      <c r="H142" s="11">
        <v>84.41656494140625</v>
      </c>
      <c r="I142" s="11">
        <v>55.466850280761719</v>
      </c>
      <c r="J142" s="11">
        <v>42.104946136474609</v>
      </c>
      <c r="K142" s="11">
        <v>69.892364501953125</v>
      </c>
      <c r="L142" s="11">
        <v>34.024341583251953</v>
      </c>
      <c r="M142" s="11">
        <v>7.3701610565185547</v>
      </c>
      <c r="N142" s="11">
        <v>56.42803955078125</v>
      </c>
      <c r="O142" s="11">
        <v>74.721183776855469</v>
      </c>
      <c r="P142" s="11">
        <v>76.203910827636719</v>
      </c>
      <c r="Q142" s="11">
        <v>66.016464233398438</v>
      </c>
      <c r="R142" s="11" t="s">
        <v>464</v>
      </c>
      <c r="S142" s="11">
        <v>52.934421539306641</v>
      </c>
      <c r="T142" s="11">
        <v>63.389530181884766</v>
      </c>
      <c r="U142" s="11">
        <v>0</v>
      </c>
    </row>
    <row r="143" spans="1:21" x14ac:dyDescent="0.2">
      <c r="A143" t="s">
        <v>395</v>
      </c>
      <c r="B143" t="s">
        <v>396</v>
      </c>
      <c r="C143" s="11">
        <v>61.506561279296875</v>
      </c>
      <c r="D143" s="3">
        <v>106</v>
      </c>
      <c r="E143" s="11">
        <v>88.258621215820313</v>
      </c>
      <c r="F143" s="11">
        <v>37.300613403320313</v>
      </c>
      <c r="G143" s="11">
        <v>51.135059356689453</v>
      </c>
      <c r="H143" s="11">
        <v>59.063323974609375</v>
      </c>
      <c r="I143" s="11">
        <v>48.33001708984375</v>
      </c>
      <c r="J143" s="11">
        <v>67.728622436523438</v>
      </c>
      <c r="K143" s="11">
        <v>22.378789901733398</v>
      </c>
      <c r="L143" s="11">
        <v>75.983055114746094</v>
      </c>
      <c r="M143" s="11">
        <v>17.542125701904297</v>
      </c>
      <c r="N143" s="11">
        <v>82.822265625</v>
      </c>
      <c r="O143" s="11">
        <v>66.567863464355469</v>
      </c>
      <c r="P143" s="11">
        <v>93.566810607910156</v>
      </c>
      <c r="Q143" s="11">
        <v>91.1046142578125</v>
      </c>
      <c r="R143" s="11">
        <v>48.885738372802734</v>
      </c>
      <c r="S143" s="11">
        <v>63.703441619873047</v>
      </c>
      <c r="T143" s="11">
        <v>55.944896697998047</v>
      </c>
      <c r="U143" s="11">
        <v>75.295669555664063</v>
      </c>
    </row>
    <row r="144" spans="1:21" x14ac:dyDescent="0.2">
      <c r="A144" t="s">
        <v>247</v>
      </c>
      <c r="B144" t="s">
        <v>248</v>
      </c>
      <c r="C144" s="11">
        <v>69.110252380371094</v>
      </c>
      <c r="D144" s="3">
        <v>59</v>
      </c>
      <c r="E144" s="11">
        <v>99.674156188964844</v>
      </c>
      <c r="F144" s="11">
        <v>42.987236022949219</v>
      </c>
      <c r="G144" s="11">
        <v>78.985275268554688</v>
      </c>
      <c r="H144" s="11">
        <v>88.815597534179688</v>
      </c>
      <c r="I144" s="11">
        <v>69.495536804199219</v>
      </c>
      <c r="J144" s="11">
        <v>88.637260437011719</v>
      </c>
      <c r="K144" s="11">
        <v>74.983795166015625</v>
      </c>
      <c r="L144" s="11">
        <v>76.477157592773438</v>
      </c>
      <c r="M144" s="11">
        <v>30.020832061767578</v>
      </c>
      <c r="N144" s="11" t="s">
        <v>464</v>
      </c>
      <c r="O144" s="11">
        <v>87.011749267578125</v>
      </c>
      <c r="P144" s="11">
        <v>58.5880126953125</v>
      </c>
      <c r="Q144" s="11">
        <v>63.063060760498047</v>
      </c>
      <c r="R144" s="11">
        <v>41.824161529541016</v>
      </c>
      <c r="S144" s="11">
        <v>53.753055572509766</v>
      </c>
      <c r="T144" s="11">
        <v>51.447166442871094</v>
      </c>
      <c r="U144" s="11">
        <v>100</v>
      </c>
    </row>
    <row r="145" spans="1:21" x14ac:dyDescent="0.2">
      <c r="A145" t="s">
        <v>135</v>
      </c>
      <c r="B145" t="s">
        <v>136</v>
      </c>
      <c r="C145" s="11">
        <v>68.660118103027344</v>
      </c>
      <c r="D145" s="3">
        <v>65</v>
      </c>
      <c r="E145" s="11">
        <v>99.43170166015625</v>
      </c>
      <c r="F145" s="11">
        <v>49.627090454101563</v>
      </c>
      <c r="G145" s="11">
        <v>79.317070007324219</v>
      </c>
      <c r="H145" s="11">
        <v>78.569892883300781</v>
      </c>
      <c r="I145" s="11">
        <v>55.407543182373047</v>
      </c>
      <c r="J145" s="11">
        <v>76.081581115722656</v>
      </c>
      <c r="K145" s="11">
        <v>85.99127197265625</v>
      </c>
      <c r="L145" s="11">
        <v>53.362819671630859</v>
      </c>
      <c r="M145" s="11">
        <v>30.025449752807617</v>
      </c>
      <c r="N145" s="11">
        <v>70.64251708984375</v>
      </c>
      <c r="O145" s="11">
        <v>74.2264404296875</v>
      </c>
      <c r="P145" s="11">
        <v>81.05572509765625</v>
      </c>
      <c r="Q145" s="11">
        <v>80.928955078125</v>
      </c>
      <c r="R145" s="11">
        <v>49.887027740478516</v>
      </c>
      <c r="S145" s="11">
        <v>64.232994079589844</v>
      </c>
      <c r="T145" s="11">
        <v>64.974105834960938</v>
      </c>
      <c r="U145" s="11">
        <v>73.459884643554688</v>
      </c>
    </row>
    <row r="146" spans="1:21" x14ac:dyDescent="0.2">
      <c r="A146" t="s">
        <v>436</v>
      </c>
      <c r="B146" t="s">
        <v>164</v>
      </c>
      <c r="C146" s="11">
        <v>68.484954833984375</v>
      </c>
      <c r="D146" s="3">
        <v>67</v>
      </c>
      <c r="E146" s="11">
        <v>99.898529052734375</v>
      </c>
      <c r="F146" s="11">
        <v>54.099708557128906</v>
      </c>
      <c r="G146" s="11">
        <v>83.214920043945313</v>
      </c>
      <c r="H146" s="11">
        <v>78.195632934570313</v>
      </c>
      <c r="I146" s="11">
        <v>42.889461517333984</v>
      </c>
      <c r="J146" s="11">
        <v>92.959175109863281</v>
      </c>
      <c r="K146" s="11">
        <v>85.712936401367188</v>
      </c>
      <c r="L146" s="11">
        <v>67.6380615234375</v>
      </c>
      <c r="M146" s="11">
        <v>46.269031524658203</v>
      </c>
      <c r="N146" s="11">
        <v>58.118873596191406</v>
      </c>
      <c r="O146" s="11">
        <v>81.846343994140625</v>
      </c>
      <c r="P146" s="11">
        <v>68.631927490234375</v>
      </c>
      <c r="Q146" s="11">
        <v>82.908470153808594</v>
      </c>
      <c r="R146" s="11">
        <v>47.167724609375</v>
      </c>
      <c r="S146" s="11">
        <v>47.952644348144531</v>
      </c>
      <c r="T146" s="11">
        <v>63.512298583984375</v>
      </c>
      <c r="U146" s="11">
        <v>63.228492736816406</v>
      </c>
    </row>
    <row r="147" spans="1:21" x14ac:dyDescent="0.2">
      <c r="A147" t="s">
        <v>287</v>
      </c>
      <c r="B147" t="s">
        <v>288</v>
      </c>
      <c r="C147" s="11">
        <v>52.075038909912109</v>
      </c>
      <c r="D147" s="3">
        <v>131</v>
      </c>
      <c r="E147" s="11">
        <v>60.603416442871094</v>
      </c>
      <c r="F147" s="11">
        <v>38.840404510498047</v>
      </c>
      <c r="G147" s="11">
        <v>46.956439971923828</v>
      </c>
      <c r="H147" s="11">
        <v>53.63818359375</v>
      </c>
      <c r="I147" s="11">
        <v>73.365341186523438</v>
      </c>
      <c r="J147" s="11">
        <v>53.158050537109375</v>
      </c>
      <c r="K147" s="11">
        <v>19.397043228149414</v>
      </c>
      <c r="L147" s="11">
        <v>35.982337951660156</v>
      </c>
      <c r="M147" s="11">
        <v>12.719197273254395</v>
      </c>
      <c r="N147" s="11">
        <v>64.996841430664063</v>
      </c>
      <c r="O147" s="11">
        <v>51.763076782226563</v>
      </c>
      <c r="P147" s="11">
        <v>79.091178894042969</v>
      </c>
      <c r="Q147" s="11">
        <v>85.090530395507813</v>
      </c>
      <c r="R147" s="11">
        <v>50.067863464355469</v>
      </c>
      <c r="S147" s="11">
        <v>52.820381164550781</v>
      </c>
      <c r="T147" s="11">
        <v>52.207912445068359</v>
      </c>
      <c r="U147" s="11">
        <v>54.577430725097656</v>
      </c>
    </row>
    <row r="148" spans="1:21" x14ac:dyDescent="0.2">
      <c r="A148" t="s">
        <v>301</v>
      </c>
      <c r="B148" t="s">
        <v>302</v>
      </c>
      <c r="C148" s="11">
        <v>52.859088897705078</v>
      </c>
      <c r="D148" s="3">
        <v>129</v>
      </c>
      <c r="E148" s="11">
        <v>67.369377136230469</v>
      </c>
      <c r="F148" s="11">
        <v>44.80718994140625</v>
      </c>
      <c r="G148" s="11">
        <v>45.965625762939453</v>
      </c>
      <c r="H148" s="11">
        <v>57.623291015625</v>
      </c>
      <c r="I148" s="11">
        <v>58.82843017578125</v>
      </c>
      <c r="J148" s="11">
        <v>65.001632690429688</v>
      </c>
      <c r="K148" s="11">
        <v>6.4809808731079102</v>
      </c>
      <c r="L148" s="11">
        <v>58.963836669921875</v>
      </c>
      <c r="M148" s="11">
        <v>15.871696472167969</v>
      </c>
      <c r="N148" s="11">
        <v>55.740242004394531</v>
      </c>
      <c r="O148" s="11">
        <v>27.686328887939453</v>
      </c>
      <c r="P148" s="11">
        <v>78.365653991699219</v>
      </c>
      <c r="Q148" s="11">
        <v>90.9674072265625</v>
      </c>
      <c r="R148" s="11" t="s">
        <v>464</v>
      </c>
      <c r="S148" s="11">
        <v>66.815567016601563</v>
      </c>
      <c r="T148" s="11">
        <v>51.071697235107422</v>
      </c>
      <c r="U148" s="11">
        <v>54.186450958251953</v>
      </c>
    </row>
    <row r="149" spans="1:21" x14ac:dyDescent="0.2">
      <c r="A149" t="s">
        <v>95</v>
      </c>
      <c r="B149" t="s">
        <v>96</v>
      </c>
      <c r="C149" s="11">
        <v>72.732292175292969</v>
      </c>
      <c r="D149" s="3">
        <v>39</v>
      </c>
      <c r="E149" s="11">
        <v>99.926383972167969</v>
      </c>
      <c r="F149" s="11">
        <v>62.214088439941406</v>
      </c>
      <c r="G149" s="11">
        <v>66.958168029785156</v>
      </c>
      <c r="H149" s="11">
        <v>91.272705078125</v>
      </c>
      <c r="I149" s="11">
        <v>64.090553283691406</v>
      </c>
      <c r="J149" s="11">
        <v>95.855422973632813</v>
      </c>
      <c r="K149" s="11">
        <v>84.786285400390625</v>
      </c>
      <c r="L149" s="11">
        <v>70.501411437988281</v>
      </c>
      <c r="M149" s="11">
        <v>25.602130889892578</v>
      </c>
      <c r="N149" s="11">
        <v>100</v>
      </c>
      <c r="O149" s="11">
        <v>86.346221923828125</v>
      </c>
      <c r="P149" s="11">
        <v>69.919960021972656</v>
      </c>
      <c r="Q149" s="11">
        <v>88.008186340332031</v>
      </c>
      <c r="R149" s="11">
        <v>55.170616149902344</v>
      </c>
      <c r="S149" s="11">
        <v>56.948413848876953</v>
      </c>
      <c r="T149" s="11">
        <v>44.930381774902344</v>
      </c>
      <c r="U149" s="11">
        <v>73.9180908203125</v>
      </c>
    </row>
    <row r="150" spans="1:21" x14ac:dyDescent="0.2">
      <c r="A150" t="s">
        <v>83</v>
      </c>
      <c r="B150" t="s">
        <v>84</v>
      </c>
      <c r="C150" s="11">
        <v>71.047637939453125</v>
      </c>
      <c r="D150" s="3">
        <v>47</v>
      </c>
      <c r="E150" s="11">
        <v>99.927803039550781</v>
      </c>
      <c r="F150" s="11">
        <v>60.803207397460938</v>
      </c>
      <c r="G150" s="11">
        <v>83.709579467773438</v>
      </c>
      <c r="H150" s="11">
        <v>80.852767944335938</v>
      </c>
      <c r="I150" s="11">
        <v>70.296180725097656</v>
      </c>
      <c r="J150" s="11">
        <v>98.240234375</v>
      </c>
      <c r="K150" s="11">
        <v>94.649444580078125</v>
      </c>
      <c r="L150" s="11">
        <v>71.285987854003906</v>
      </c>
      <c r="M150" s="11">
        <v>35.457328796386719</v>
      </c>
      <c r="N150" s="11">
        <v>54.049407958984375</v>
      </c>
      <c r="O150" s="11">
        <v>96.964065551757813</v>
      </c>
      <c r="P150" s="11">
        <v>61.325836181640625</v>
      </c>
      <c r="Q150" s="11">
        <v>78.033035278320313</v>
      </c>
      <c r="R150" s="11">
        <v>45.272632598876953</v>
      </c>
      <c r="S150" s="11">
        <v>35.475753784179688</v>
      </c>
      <c r="T150" s="11">
        <v>66.380592346191406</v>
      </c>
      <c r="U150" s="11">
        <v>75.086029052734375</v>
      </c>
    </row>
    <row r="151" spans="1:21" x14ac:dyDescent="0.2">
      <c r="A151" t="s">
        <v>97</v>
      </c>
      <c r="B151" t="s">
        <v>98</v>
      </c>
      <c r="C151" s="11">
        <v>72.403465270996094</v>
      </c>
      <c r="D151" s="3">
        <v>42</v>
      </c>
      <c r="E151" s="11">
        <v>99.250411987304688</v>
      </c>
      <c r="F151" s="11">
        <v>70.030303955078125</v>
      </c>
      <c r="G151" s="11">
        <v>90.305862426757813</v>
      </c>
      <c r="H151" s="11">
        <v>93.110244750976563</v>
      </c>
      <c r="I151" s="11">
        <v>74.105003356933594</v>
      </c>
      <c r="J151" s="11">
        <v>96.146003723144531</v>
      </c>
      <c r="K151" s="11">
        <v>87.358741760253906</v>
      </c>
      <c r="L151" s="11">
        <v>85.520050048828125</v>
      </c>
      <c r="M151" s="11">
        <v>84.412612915039063</v>
      </c>
      <c r="N151" s="11">
        <v>55.596946716308594</v>
      </c>
      <c r="O151" s="11">
        <v>98.23760986328125</v>
      </c>
      <c r="P151" s="11">
        <v>38.223934173583984</v>
      </c>
      <c r="Q151" s="11">
        <v>54.17205810546875</v>
      </c>
      <c r="R151" s="11">
        <v>45.777748107910156</v>
      </c>
      <c r="S151" s="11">
        <v>44.623344421386719</v>
      </c>
      <c r="T151" s="11">
        <v>63.521247863769531</v>
      </c>
      <c r="U151" s="11">
        <v>50.466835021972656</v>
      </c>
    </row>
    <row r="152" spans="1:21" x14ac:dyDescent="0.2">
      <c r="A152" t="s">
        <v>157</v>
      </c>
      <c r="B152" t="s">
        <v>158</v>
      </c>
      <c r="C152" s="11">
        <v>71.248390197753906</v>
      </c>
      <c r="D152" s="3">
        <v>45</v>
      </c>
      <c r="E152" s="11">
        <v>87.731597900390625</v>
      </c>
      <c r="F152" s="11">
        <v>62.818408966064453</v>
      </c>
      <c r="G152" s="11">
        <v>76.192970275878906</v>
      </c>
      <c r="H152" s="11">
        <v>92.512214660644531</v>
      </c>
      <c r="I152" s="11">
        <v>63.387447357177734</v>
      </c>
      <c r="J152" s="11">
        <v>68.490898132324219</v>
      </c>
      <c r="K152" s="11">
        <v>77.335273742675781</v>
      </c>
      <c r="L152" s="11">
        <v>53.693878173828125</v>
      </c>
      <c r="M152" s="11">
        <v>18.792598724365234</v>
      </c>
      <c r="N152" s="11">
        <v>72.190055847167969</v>
      </c>
      <c r="O152" s="11">
        <v>66.914497375488281</v>
      </c>
      <c r="P152" s="11">
        <v>77.113594055175781</v>
      </c>
      <c r="Q152" s="11">
        <v>91.592300415039063</v>
      </c>
      <c r="R152" s="11" t="s">
        <v>464</v>
      </c>
      <c r="S152" s="11">
        <v>52.383819580078125</v>
      </c>
      <c r="T152" s="11">
        <v>78.824714660644531</v>
      </c>
      <c r="U152" s="11">
        <v>100</v>
      </c>
    </row>
    <row r="153" spans="1:21" x14ac:dyDescent="0.2">
      <c r="A153" t="s">
        <v>253</v>
      </c>
      <c r="B153" t="s">
        <v>254</v>
      </c>
      <c r="C153" s="11">
        <v>65.831932067871094</v>
      </c>
      <c r="D153" s="3">
        <v>82</v>
      </c>
      <c r="E153" s="11">
        <v>81.747779846191406</v>
      </c>
      <c r="F153" s="11">
        <v>50.956657409667969</v>
      </c>
      <c r="G153" s="11">
        <v>74.984474182128906</v>
      </c>
      <c r="H153" s="11">
        <v>79.54595947265625</v>
      </c>
      <c r="I153" s="11">
        <v>64.095932006835938</v>
      </c>
      <c r="J153" s="11">
        <v>92.997154235839844</v>
      </c>
      <c r="K153" s="11">
        <v>84.937850952148438</v>
      </c>
      <c r="L153" s="11">
        <v>71.598892211914063</v>
      </c>
      <c r="M153" s="11">
        <v>27.485805511474609</v>
      </c>
      <c r="N153" s="11">
        <v>38.745914459228516</v>
      </c>
      <c r="O153" s="11">
        <v>84.573486328125</v>
      </c>
      <c r="P153" s="11">
        <v>66.106895446777344</v>
      </c>
      <c r="Q153" s="11">
        <v>86.870292663574219</v>
      </c>
      <c r="R153" s="11">
        <v>35.141254425048828</v>
      </c>
      <c r="S153" s="11">
        <v>75.646469116210938</v>
      </c>
      <c r="T153" s="11">
        <v>31.205625534057617</v>
      </c>
      <c r="U153" s="11">
        <v>72.50244140625</v>
      </c>
    </row>
    <row r="154" spans="1:21" x14ac:dyDescent="0.2">
      <c r="A154" t="s">
        <v>129</v>
      </c>
      <c r="B154" t="s">
        <v>130</v>
      </c>
      <c r="C154" s="11">
        <v>67.892799377441406</v>
      </c>
      <c r="D154" s="3">
        <v>68</v>
      </c>
      <c r="E154" s="11">
        <v>98.990875244140625</v>
      </c>
      <c r="F154" s="11">
        <v>62.063934326171875</v>
      </c>
      <c r="G154" s="11">
        <v>74.600624084472656</v>
      </c>
      <c r="H154" s="11">
        <v>81.292160034179688</v>
      </c>
      <c r="I154" s="11">
        <v>76.397323608398438</v>
      </c>
      <c r="J154" s="11">
        <v>90.738067626953125</v>
      </c>
      <c r="K154" s="11">
        <v>72.422714233398438</v>
      </c>
      <c r="L154" s="11">
        <v>60.827350616455078</v>
      </c>
      <c r="M154" s="11">
        <v>24.94061279296875</v>
      </c>
      <c r="N154" s="11">
        <v>65.541351318359375</v>
      </c>
      <c r="O154" s="11">
        <v>66.385353088378906</v>
      </c>
      <c r="P154" s="11">
        <v>71.224365234375</v>
      </c>
      <c r="Q154" s="11">
        <v>73.355499267578125</v>
      </c>
      <c r="R154" s="11">
        <v>51.840328216552734</v>
      </c>
      <c r="S154" s="11">
        <v>46.589515686035156</v>
      </c>
      <c r="T154" s="11">
        <v>65.583633422851563</v>
      </c>
      <c r="U154" s="11">
        <v>71.383903503417969</v>
      </c>
    </row>
    <row r="155" spans="1:21" x14ac:dyDescent="0.2">
      <c r="A155" t="s">
        <v>345</v>
      </c>
      <c r="B155" t="s">
        <v>346</v>
      </c>
      <c r="C155" s="11">
        <v>49.803539276123047</v>
      </c>
      <c r="D155" s="3">
        <v>140</v>
      </c>
      <c r="E155" s="11">
        <v>52.467971801757813</v>
      </c>
      <c r="F155" s="11">
        <v>21.835922241210938</v>
      </c>
      <c r="G155" s="11">
        <v>52.155986785888672</v>
      </c>
      <c r="H155" s="11">
        <v>51.823795318603516</v>
      </c>
      <c r="I155" s="11">
        <v>14.162206649780273</v>
      </c>
      <c r="J155" s="11">
        <v>29.161575317382813</v>
      </c>
      <c r="K155" s="11">
        <v>49.148994445800781</v>
      </c>
      <c r="L155" s="11">
        <v>37.657596588134766</v>
      </c>
      <c r="M155" s="11">
        <v>6.4892678260803223</v>
      </c>
      <c r="N155" s="11">
        <v>65.226112365722656</v>
      </c>
      <c r="O155" s="11">
        <v>57.37298583984375</v>
      </c>
      <c r="P155" s="11">
        <v>71.947319030761719</v>
      </c>
      <c r="Q155" s="11">
        <v>94.999191284179688</v>
      </c>
      <c r="R155" s="11">
        <v>52.909538269042969</v>
      </c>
      <c r="S155" s="11">
        <v>46.226306915283203</v>
      </c>
      <c r="T155" s="11">
        <v>43.075408935546875</v>
      </c>
      <c r="U155" s="11">
        <v>100</v>
      </c>
    </row>
    <row r="156" spans="1:21" x14ac:dyDescent="0.2">
      <c r="A156" t="s">
        <v>239</v>
      </c>
      <c r="B156" t="s">
        <v>240</v>
      </c>
      <c r="C156" s="11">
        <v>61.245941162109375</v>
      </c>
      <c r="D156" s="3">
        <v>108</v>
      </c>
      <c r="E156" s="11">
        <v>66.389556884765625</v>
      </c>
      <c r="F156" s="11">
        <v>50.624660491943359</v>
      </c>
      <c r="G156" s="11">
        <v>50.744457244873047</v>
      </c>
      <c r="H156" s="11">
        <v>85.756179809570313</v>
      </c>
      <c r="I156" s="11">
        <v>80.882583618164063</v>
      </c>
      <c r="J156" s="11">
        <v>81.79608154296875</v>
      </c>
      <c r="K156" s="11">
        <v>71.689643859863281</v>
      </c>
      <c r="L156" s="11">
        <v>37.502998352050781</v>
      </c>
      <c r="M156" s="11">
        <v>45.060905456542969</v>
      </c>
      <c r="N156" s="11">
        <v>0</v>
      </c>
      <c r="O156" s="11">
        <v>81.5738525390625</v>
      </c>
      <c r="P156" s="11">
        <v>63.091434478759766</v>
      </c>
      <c r="Q156" s="11">
        <v>79.422569274902344</v>
      </c>
      <c r="R156" s="11">
        <v>66.937332153320313</v>
      </c>
      <c r="S156" s="11">
        <v>44.367530822753906</v>
      </c>
      <c r="T156" s="11">
        <v>52.287117004394531</v>
      </c>
      <c r="U156" s="11">
        <v>83.054122924804688</v>
      </c>
    </row>
    <row r="157" spans="1:21" x14ac:dyDescent="0.2">
      <c r="A157" t="s">
        <v>309</v>
      </c>
      <c r="B157" t="s">
        <v>310</v>
      </c>
      <c r="C157" s="11">
        <v>51.0753173828125</v>
      </c>
      <c r="D157" s="3">
        <v>134</v>
      </c>
      <c r="E157" s="11">
        <v>27.746686935424805</v>
      </c>
      <c r="F157" s="11">
        <v>33.4666748046875</v>
      </c>
      <c r="G157" s="11">
        <v>48.247516632080078</v>
      </c>
      <c r="H157" s="11">
        <v>66.35626220703125</v>
      </c>
      <c r="I157" s="11">
        <v>62.335628509521484</v>
      </c>
      <c r="J157" s="11">
        <v>66.399314880371094</v>
      </c>
      <c r="K157" s="11">
        <v>43.145401000976563</v>
      </c>
      <c r="L157" s="11">
        <v>36.443981170654297</v>
      </c>
      <c r="M157" s="11">
        <v>12.261641502380371</v>
      </c>
      <c r="N157" s="11">
        <v>13.870577812194824</v>
      </c>
      <c r="O157" s="11">
        <v>55.415023803710938</v>
      </c>
      <c r="P157" s="11">
        <v>76.296531677246094</v>
      </c>
      <c r="Q157" s="11">
        <v>79.997535705566406</v>
      </c>
      <c r="R157" s="11" t="s">
        <v>464</v>
      </c>
      <c r="S157" s="11">
        <v>68.941390991210938</v>
      </c>
      <c r="T157" s="11">
        <v>50.683486938476563</v>
      </c>
      <c r="U157" s="11">
        <v>75.597442626953125</v>
      </c>
    </row>
    <row r="158" spans="1:21" x14ac:dyDescent="0.2">
      <c r="A158" t="s">
        <v>295</v>
      </c>
      <c r="B158" t="s">
        <v>296</v>
      </c>
      <c r="C158" s="11">
        <v>56.114002227783203</v>
      </c>
      <c r="D158" s="3">
        <v>121</v>
      </c>
      <c r="E158" s="11">
        <v>49.481334686279297</v>
      </c>
      <c r="F158" s="11">
        <v>38.656585693359375</v>
      </c>
      <c r="G158" s="11">
        <v>43.957199096679688</v>
      </c>
      <c r="H158" s="11">
        <v>67.944198608398438</v>
      </c>
      <c r="I158" s="11">
        <v>78.72662353515625</v>
      </c>
      <c r="J158" s="11">
        <v>66.009750366210938</v>
      </c>
      <c r="K158" s="11">
        <v>39.368278503417969</v>
      </c>
      <c r="L158" s="11">
        <v>43.934333801269531</v>
      </c>
      <c r="M158" s="11">
        <v>15.835508346557617</v>
      </c>
      <c r="N158" s="11">
        <v>49.607379913330078</v>
      </c>
      <c r="O158" s="11">
        <v>77.5814208984375</v>
      </c>
      <c r="P158" s="11">
        <v>74.685752868652344</v>
      </c>
      <c r="Q158" s="11">
        <v>79.948188781738281</v>
      </c>
      <c r="R158" s="11" t="s">
        <v>464</v>
      </c>
      <c r="S158" s="11">
        <v>67.045646667480469</v>
      </c>
      <c r="T158" s="11">
        <v>44.468151092529297</v>
      </c>
      <c r="U158" s="11">
        <v>60.573707580566406</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hart1"/>
  <dimension ref="A1:L1"/>
  <sheetViews>
    <sheetView zoomScale="113" zoomScaleNormal="113" workbookViewId="0">
      <selection activeCell="M10" sqref="M10"/>
    </sheetView>
  </sheetViews>
  <sheetFormatPr defaultColWidth="11.5703125" defaultRowHeight="12.75" x14ac:dyDescent="0.2"/>
  <cols>
    <col min="1" max="12"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hart2"/>
  <dimension ref="A1:M1"/>
  <sheetViews>
    <sheetView zoomScale="113" zoomScaleNormal="113" workbookViewId="0">
      <selection activeCell="K33" sqref="K33"/>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hart3"/>
  <dimension ref="A1:M1"/>
  <sheetViews>
    <sheetView topLeftCell="A4" zoomScale="113" zoomScaleNormal="113" workbookViewId="0">
      <selection activeCell="G36" sqref="G36"/>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Chart4"/>
  <dimension ref="A1:M1"/>
  <sheetViews>
    <sheetView zoomScale="113" zoomScaleNormal="113" workbookViewId="0">
      <selection activeCell="N14" sqref="N14"/>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hart5"/>
  <dimension ref="A1:M1"/>
  <sheetViews>
    <sheetView zoomScale="113" zoomScaleNormal="113" workbookViewId="0">
      <selection activeCell="J27" sqref="J27"/>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Chart6"/>
  <dimension ref="A1:M1"/>
  <sheetViews>
    <sheetView zoomScale="113" zoomScaleNormal="113" workbookViewId="0">
      <selection activeCell="O26" sqref="O26"/>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Chart7"/>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Chart8"/>
  <dimension ref="A1:M1"/>
  <sheetViews>
    <sheetView topLeftCell="A4" zoomScale="113" zoomScaleNormal="113" workbookViewId="0">
      <selection activeCell="N30" sqref="N30"/>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art9"/>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Chart10"/>
  <dimension ref="A1:M1"/>
  <sheetViews>
    <sheetView topLeftCell="A4" zoomScale="113" zoomScaleNormal="113" workbookViewId="0">
      <selection activeCell="J25" sqref="J25"/>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Chart11"/>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art12"/>
  <dimension ref="A1:M1"/>
  <sheetViews>
    <sheetView zoomScale="113" zoomScaleNormal="113" workbookViewId="0">
      <selection activeCell="J14" sqref="J14"/>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hart13"/>
  <dimension ref="A1:M1"/>
  <sheetViews>
    <sheetView topLeftCell="A4"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Chart14"/>
  <dimension ref="A1:M1"/>
  <sheetViews>
    <sheetView zoomScale="113" zoomScaleNormal="113" workbookViewId="0">
      <selection activeCell="K23" sqref="K23"/>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Chart15"/>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Chart16"/>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Chart17"/>
  <dimension ref="A1:M1"/>
  <sheetViews>
    <sheetView zoomScale="113" zoomScaleNormal="113" workbookViewId="0">
      <selection activeCell="K26" sqref="K26"/>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R19"/>
  <sheetViews>
    <sheetView workbookViewId="0">
      <selection activeCell="Q23" sqref="Q23"/>
    </sheetView>
  </sheetViews>
  <sheetFormatPr defaultRowHeight="12.75" x14ac:dyDescent="0.2"/>
  <cols>
    <col min="1" max="18" width="5" style="3" customWidth="1"/>
  </cols>
  <sheetData>
    <row r="1" spans="1:18" x14ac:dyDescent="0.2">
      <c r="A1" s="14" t="s">
        <v>466</v>
      </c>
      <c r="B1" s="15"/>
      <c r="C1" s="15"/>
      <c r="D1" s="15"/>
      <c r="E1" s="15"/>
      <c r="F1" s="15"/>
      <c r="G1" s="15"/>
      <c r="H1" s="15"/>
      <c r="I1" s="15"/>
      <c r="J1" s="15"/>
      <c r="K1" s="15"/>
      <c r="L1" s="15"/>
      <c r="M1" s="15"/>
      <c r="N1" s="15"/>
      <c r="O1" s="15"/>
      <c r="P1" s="15"/>
      <c r="Q1" s="15"/>
      <c r="R1" s="15"/>
    </row>
    <row r="2" spans="1:18" x14ac:dyDescent="0.2">
      <c r="A2" s="16" t="s">
        <v>467</v>
      </c>
      <c r="B2" s="16">
        <v>1</v>
      </c>
      <c r="C2" s="16">
        <v>2</v>
      </c>
      <c r="D2" s="16">
        <v>3</v>
      </c>
      <c r="E2" s="16">
        <v>4</v>
      </c>
      <c r="F2" s="16">
        <v>5</v>
      </c>
      <c r="G2" s="16">
        <v>6</v>
      </c>
      <c r="H2" s="16">
        <v>7</v>
      </c>
      <c r="I2" s="16">
        <v>8</v>
      </c>
      <c r="J2" s="16">
        <v>9</v>
      </c>
      <c r="K2" s="16">
        <v>10</v>
      </c>
      <c r="L2" s="16">
        <v>11</v>
      </c>
      <c r="M2" s="16">
        <v>12</v>
      </c>
      <c r="N2" s="16">
        <v>13</v>
      </c>
      <c r="O2" s="16">
        <v>14</v>
      </c>
      <c r="P2" s="16">
        <v>15</v>
      </c>
      <c r="Q2" s="16">
        <v>16</v>
      </c>
      <c r="R2" s="16">
        <v>17</v>
      </c>
    </row>
    <row r="3" spans="1:18" ht="18" x14ac:dyDescent="0.2">
      <c r="A3" s="16">
        <v>1</v>
      </c>
      <c r="B3" s="17"/>
      <c r="C3" s="17"/>
      <c r="D3" s="17"/>
      <c r="E3" s="17"/>
      <c r="F3" s="18" t="s">
        <v>468</v>
      </c>
      <c r="G3" s="17"/>
      <c r="H3" s="17"/>
      <c r="I3" s="17"/>
      <c r="J3" s="17"/>
      <c r="K3" s="18" t="s">
        <v>468</v>
      </c>
      <c r="L3" s="17"/>
      <c r="M3" s="17"/>
      <c r="N3" s="17"/>
      <c r="O3" s="17"/>
      <c r="P3" s="17"/>
      <c r="Q3" s="17"/>
      <c r="R3" s="17"/>
    </row>
    <row r="4" spans="1:18" ht="18" x14ac:dyDescent="0.2">
      <c r="A4" s="16">
        <v>2</v>
      </c>
      <c r="B4" s="18" t="s">
        <v>468</v>
      </c>
      <c r="C4" s="17"/>
      <c r="D4" s="18" t="s">
        <v>468</v>
      </c>
      <c r="E4" s="17"/>
      <c r="F4" s="18" t="s">
        <v>468</v>
      </c>
      <c r="G4" s="17"/>
      <c r="H4" s="17"/>
      <c r="I4" s="18" t="s">
        <v>468</v>
      </c>
      <c r="J4" s="17"/>
      <c r="K4" s="18" t="s">
        <v>468</v>
      </c>
      <c r="L4" s="17"/>
      <c r="M4" s="19" t="s">
        <v>469</v>
      </c>
      <c r="N4" s="17"/>
      <c r="O4" s="17"/>
      <c r="P4" s="17"/>
      <c r="Q4" s="17"/>
      <c r="R4" s="17"/>
    </row>
    <row r="5" spans="1:18" ht="18" x14ac:dyDescent="0.2">
      <c r="A5" s="16">
        <v>3</v>
      </c>
      <c r="B5" s="18" t="s">
        <v>468</v>
      </c>
      <c r="C5" s="17"/>
      <c r="D5" s="17"/>
      <c r="E5" s="18" t="s">
        <v>468</v>
      </c>
      <c r="F5" s="18" t="s">
        <v>468</v>
      </c>
      <c r="G5" s="17"/>
      <c r="H5" s="17"/>
      <c r="I5" s="17"/>
      <c r="J5" s="17"/>
      <c r="K5" s="18" t="s">
        <v>468</v>
      </c>
      <c r="L5" s="18" t="s">
        <v>468</v>
      </c>
      <c r="M5" s="17"/>
      <c r="N5" s="17"/>
      <c r="O5" s="17"/>
      <c r="P5" s="17"/>
      <c r="Q5" s="17"/>
      <c r="R5" s="17"/>
    </row>
    <row r="6" spans="1:18" ht="18" x14ac:dyDescent="0.2">
      <c r="A6" s="16">
        <v>4</v>
      </c>
      <c r="B6" s="17"/>
      <c r="C6" s="17"/>
      <c r="D6" s="17"/>
      <c r="E6" s="17"/>
      <c r="F6" s="18" t="s">
        <v>468</v>
      </c>
      <c r="G6" s="17"/>
      <c r="H6" s="17"/>
      <c r="I6" s="17"/>
      <c r="J6" s="17"/>
      <c r="K6" s="17"/>
      <c r="L6" s="17"/>
      <c r="M6" s="19" t="s">
        <v>469</v>
      </c>
      <c r="N6" s="17"/>
      <c r="O6" s="17"/>
      <c r="P6" s="17"/>
      <c r="Q6" s="18" t="s">
        <v>468</v>
      </c>
      <c r="R6" s="17"/>
    </row>
    <row r="7" spans="1:18" ht="18" x14ac:dyDescent="0.2">
      <c r="A7" s="16">
        <v>5</v>
      </c>
      <c r="B7" s="17"/>
      <c r="C7" s="17"/>
      <c r="D7" s="17"/>
      <c r="E7" s="18" t="s">
        <v>468</v>
      </c>
      <c r="F7" s="17"/>
      <c r="G7" s="17"/>
      <c r="H7" s="17"/>
      <c r="I7" s="17"/>
      <c r="J7" s="17"/>
      <c r="K7" s="17"/>
      <c r="L7" s="17"/>
      <c r="M7" s="17"/>
      <c r="N7" s="17"/>
      <c r="O7" s="17"/>
      <c r="P7" s="17"/>
      <c r="Q7" s="18" t="s">
        <v>468</v>
      </c>
      <c r="R7" s="17"/>
    </row>
    <row r="8" spans="1:18" ht="18" x14ac:dyDescent="0.2">
      <c r="A8" s="16">
        <v>6</v>
      </c>
      <c r="B8" s="18" t="s">
        <v>468</v>
      </c>
      <c r="C8" s="18" t="s">
        <v>468</v>
      </c>
      <c r="D8" s="18" t="s">
        <v>468</v>
      </c>
      <c r="E8" s="17"/>
      <c r="F8" s="18" t="s">
        <v>468</v>
      </c>
      <c r="G8" s="17"/>
      <c r="H8" s="17"/>
      <c r="I8" s="17"/>
      <c r="J8" s="17"/>
      <c r="K8" s="17"/>
      <c r="L8" s="18" t="s">
        <v>468</v>
      </c>
      <c r="M8" s="19" t="s">
        <v>469</v>
      </c>
      <c r="N8" s="17"/>
      <c r="O8" s="17"/>
      <c r="P8" s="17"/>
      <c r="Q8" s="17"/>
      <c r="R8" s="17"/>
    </row>
    <row r="9" spans="1:18" ht="18" x14ac:dyDescent="0.2">
      <c r="A9" s="16">
        <v>7</v>
      </c>
      <c r="B9" s="18" t="s">
        <v>468</v>
      </c>
      <c r="C9" s="17"/>
      <c r="D9" s="17"/>
      <c r="E9" s="17"/>
      <c r="F9" s="17"/>
      <c r="G9" s="17"/>
      <c r="H9" s="17"/>
      <c r="I9" s="17"/>
      <c r="J9" s="17"/>
      <c r="K9" s="18" t="s">
        <v>468</v>
      </c>
      <c r="L9" s="17"/>
      <c r="M9" s="19" t="s">
        <v>469</v>
      </c>
      <c r="N9" s="17"/>
      <c r="O9" s="17"/>
      <c r="P9" s="17"/>
      <c r="Q9" s="17"/>
      <c r="R9" s="17"/>
    </row>
    <row r="10" spans="1:18" ht="18" x14ac:dyDescent="0.2">
      <c r="A10" s="16">
        <v>8</v>
      </c>
      <c r="B10" s="17"/>
      <c r="C10" s="17"/>
      <c r="D10" s="17"/>
      <c r="E10" s="17"/>
      <c r="F10" s="17"/>
      <c r="G10" s="17"/>
      <c r="H10" s="17"/>
      <c r="I10" s="17"/>
      <c r="J10" s="17"/>
      <c r="K10" s="18" t="s">
        <v>468</v>
      </c>
      <c r="L10" s="17"/>
      <c r="M10" s="19" t="s">
        <v>469</v>
      </c>
      <c r="N10" s="17"/>
      <c r="O10" s="17"/>
      <c r="P10" s="17"/>
      <c r="Q10" s="18" t="s">
        <v>468</v>
      </c>
      <c r="R10" s="17"/>
    </row>
    <row r="11" spans="1:18" ht="18" x14ac:dyDescent="0.2">
      <c r="A11" s="16">
        <v>9</v>
      </c>
      <c r="B11" s="17"/>
      <c r="C11" s="17"/>
      <c r="D11" s="17"/>
      <c r="E11" s="17"/>
      <c r="F11" s="17"/>
      <c r="G11" s="17"/>
      <c r="H11" s="17"/>
      <c r="I11" s="18" t="s">
        <v>468</v>
      </c>
      <c r="J11" s="17"/>
      <c r="K11" s="18" t="s">
        <v>468</v>
      </c>
      <c r="L11" s="17"/>
      <c r="M11" s="19" t="s">
        <v>469</v>
      </c>
      <c r="N11" s="17"/>
      <c r="O11" s="17"/>
      <c r="P11" s="17"/>
      <c r="Q11" s="17"/>
      <c r="R11" s="17"/>
    </row>
    <row r="12" spans="1:18" ht="18" x14ac:dyDescent="0.2">
      <c r="A12" s="16">
        <v>10</v>
      </c>
      <c r="B12" s="18" t="s">
        <v>468</v>
      </c>
      <c r="C12" s="17"/>
      <c r="D12" s="17"/>
      <c r="E12" s="17"/>
      <c r="F12" s="17"/>
      <c r="G12" s="17"/>
      <c r="H12" s="17"/>
      <c r="I12" s="17"/>
      <c r="J12" s="17"/>
      <c r="K12" s="17"/>
      <c r="L12" s="17"/>
      <c r="M12" s="17"/>
      <c r="N12" s="17"/>
      <c r="O12" s="17"/>
      <c r="P12" s="17"/>
      <c r="Q12" s="18" t="s">
        <v>468</v>
      </c>
      <c r="R12" s="17"/>
    </row>
    <row r="13" spans="1:18" ht="18" x14ac:dyDescent="0.2">
      <c r="A13" s="16">
        <v>11</v>
      </c>
      <c r="B13" s="18" t="s">
        <v>468</v>
      </c>
      <c r="C13" s="17"/>
      <c r="D13" s="18" t="s">
        <v>468</v>
      </c>
      <c r="E13" s="17"/>
      <c r="F13" s="17"/>
      <c r="G13" s="17"/>
      <c r="H13" s="17"/>
      <c r="I13" s="17"/>
      <c r="J13" s="17"/>
      <c r="K13" s="17"/>
      <c r="L13" s="17"/>
      <c r="M13" s="19" t="s">
        <v>469</v>
      </c>
      <c r="N13" s="17"/>
      <c r="O13" s="17"/>
      <c r="P13" s="17"/>
      <c r="Q13" s="18" t="s">
        <v>468</v>
      </c>
      <c r="R13" s="17"/>
    </row>
    <row r="14" spans="1:18" ht="18" x14ac:dyDescent="0.2">
      <c r="A14" s="16">
        <v>12</v>
      </c>
      <c r="B14" s="17"/>
      <c r="C14" s="19" t="s">
        <v>469</v>
      </c>
      <c r="D14" s="19" t="s">
        <v>469</v>
      </c>
      <c r="E14" s="19" t="s">
        <v>469</v>
      </c>
      <c r="F14" s="17"/>
      <c r="G14" s="17"/>
      <c r="H14" s="17"/>
      <c r="I14" s="17"/>
      <c r="J14" s="17"/>
      <c r="K14" s="17"/>
      <c r="L14" s="17"/>
      <c r="M14" s="17"/>
      <c r="N14" s="17"/>
      <c r="O14" s="17"/>
      <c r="P14" s="17"/>
      <c r="Q14" s="17"/>
      <c r="R14" s="17"/>
    </row>
    <row r="15" spans="1:18" ht="18" x14ac:dyDescent="0.2">
      <c r="A15" s="16">
        <v>13</v>
      </c>
      <c r="B15" s="17"/>
      <c r="C15" s="17"/>
      <c r="D15" s="17"/>
      <c r="E15" s="17"/>
      <c r="F15" s="17"/>
      <c r="G15" s="17"/>
      <c r="H15" s="17"/>
      <c r="I15" s="17"/>
      <c r="J15" s="19" t="s">
        <v>469</v>
      </c>
      <c r="K15" s="17"/>
      <c r="L15" s="17"/>
      <c r="M15" s="17"/>
      <c r="N15" s="17"/>
      <c r="O15" s="17"/>
      <c r="P15" s="17"/>
      <c r="Q15" s="17"/>
      <c r="R15" s="17"/>
    </row>
    <row r="16" spans="1:18" ht="18" x14ac:dyDescent="0.2">
      <c r="A16" s="16">
        <v>14</v>
      </c>
      <c r="B16" s="17"/>
      <c r="C16" s="17"/>
      <c r="D16" s="17"/>
      <c r="E16" s="17"/>
      <c r="F16" s="17"/>
      <c r="G16" s="17"/>
      <c r="H16" s="17"/>
      <c r="I16" s="17"/>
      <c r="J16" s="17"/>
      <c r="K16" s="17"/>
      <c r="L16" s="17"/>
      <c r="M16" s="17"/>
      <c r="N16" s="17"/>
      <c r="O16" s="17"/>
      <c r="P16" s="17"/>
      <c r="Q16" s="17"/>
      <c r="R16" s="17"/>
    </row>
    <row r="17" spans="1:18" ht="18" x14ac:dyDescent="0.2">
      <c r="A17" s="16">
        <v>15</v>
      </c>
      <c r="B17" s="17"/>
      <c r="C17" s="17"/>
      <c r="D17" s="17"/>
      <c r="E17" s="17"/>
      <c r="F17" s="17"/>
      <c r="G17" s="17"/>
      <c r="H17" s="17"/>
      <c r="I17" s="17"/>
      <c r="J17" s="17"/>
      <c r="K17" s="17"/>
      <c r="L17" s="17"/>
      <c r="M17" s="17"/>
      <c r="N17" s="18" t="s">
        <v>468</v>
      </c>
      <c r="O17" s="17"/>
      <c r="P17" s="17"/>
      <c r="Q17" s="17"/>
      <c r="R17" s="17"/>
    </row>
    <row r="18" spans="1:18" ht="18" x14ac:dyDescent="0.2">
      <c r="A18" s="16">
        <v>16</v>
      </c>
      <c r="B18" s="17"/>
      <c r="C18" s="17"/>
      <c r="D18" s="17"/>
      <c r="E18" s="17"/>
      <c r="F18" s="17"/>
      <c r="G18" s="17"/>
      <c r="H18" s="17"/>
      <c r="I18" s="17"/>
      <c r="J18" s="17"/>
      <c r="K18" s="18" t="s">
        <v>468</v>
      </c>
      <c r="L18" s="17"/>
      <c r="M18" s="17"/>
      <c r="N18" s="17"/>
      <c r="O18" s="17"/>
      <c r="P18" s="17"/>
      <c r="Q18" s="17"/>
      <c r="R18" s="17"/>
    </row>
    <row r="19" spans="1:18" ht="18" x14ac:dyDescent="0.2">
      <c r="A19" s="16">
        <v>17</v>
      </c>
      <c r="B19" s="17"/>
      <c r="C19" s="17"/>
      <c r="D19" s="17"/>
      <c r="E19" s="17"/>
      <c r="F19" s="17"/>
      <c r="G19" s="17"/>
      <c r="H19" s="17"/>
      <c r="I19" s="17"/>
      <c r="J19" s="17"/>
      <c r="K19" s="17"/>
      <c r="L19" s="17"/>
      <c r="M19" s="17"/>
      <c r="N19" s="17"/>
      <c r="O19" s="17"/>
      <c r="P19" s="17"/>
      <c r="Q19" s="17"/>
      <c r="R19" s="17"/>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Chart21"/>
  <dimension ref="A1:M1"/>
  <sheetViews>
    <sheetView topLeftCell="A10" zoomScale="116" zoomScaleNormal="116" workbookViewId="0">
      <selection activeCell="J37" sqref="J37"/>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0"/>
  <dimension ref="A1:DE155"/>
  <sheetViews>
    <sheetView topLeftCell="B19" zoomScale="115" zoomScaleNormal="115" workbookViewId="0">
      <selection activeCell="M49" sqref="M49"/>
    </sheetView>
  </sheetViews>
  <sheetFormatPr defaultRowHeight="12.75" x14ac:dyDescent="0.2"/>
  <sheetData>
    <row r="1" spans="1:3" x14ac:dyDescent="0.2">
      <c r="A1" t="s">
        <v>470</v>
      </c>
      <c r="B1" t="s">
        <v>471</v>
      </c>
      <c r="C1" t="s">
        <v>472</v>
      </c>
    </row>
    <row r="2" spans="1:3" x14ac:dyDescent="0.2">
      <c r="A2">
        <v>2017</v>
      </c>
      <c r="B2">
        <v>33.077934265136719</v>
      </c>
      <c r="C2">
        <v>33.077934265136719</v>
      </c>
    </row>
    <row r="3" spans="1:3" x14ac:dyDescent="0.2">
      <c r="A3">
        <v>2018</v>
      </c>
      <c r="B3">
        <v>33.0978272806462</v>
      </c>
      <c r="C3">
        <v>33.0978272806462</v>
      </c>
    </row>
    <row r="4" spans="1:3" x14ac:dyDescent="0.2">
      <c r="A4">
        <v>2019</v>
      </c>
      <c r="B4">
        <v>28.668866971547143</v>
      </c>
      <c r="C4">
        <v>28.668866971547143</v>
      </c>
    </row>
    <row r="5" spans="1:3" x14ac:dyDescent="0.2">
      <c r="A5">
        <v>2020</v>
      </c>
      <c r="B5">
        <v>31.110999608894101</v>
      </c>
      <c r="C5">
        <v>31.110999608894101</v>
      </c>
    </row>
    <row r="6" spans="1:3" x14ac:dyDescent="0.2">
      <c r="A6">
        <v>2021</v>
      </c>
      <c r="B6">
        <v>28.945019032848009</v>
      </c>
      <c r="C6">
        <v>28.945019032848009</v>
      </c>
    </row>
    <row r="7" spans="1:3" x14ac:dyDescent="0.2">
      <c r="A7">
        <v>2022</v>
      </c>
      <c r="B7">
        <v>33.894249209916907</v>
      </c>
      <c r="C7">
        <v>33.894249209916907</v>
      </c>
    </row>
    <row r="8" spans="1:3" x14ac:dyDescent="0.2">
      <c r="A8">
        <v>2023</v>
      </c>
      <c r="B8">
        <v>38.450497064182649</v>
      </c>
      <c r="C8">
        <v>38.450497064182649</v>
      </c>
    </row>
    <row r="9" spans="1:3" x14ac:dyDescent="0.2">
      <c r="A9">
        <v>2024</v>
      </c>
      <c r="B9">
        <v>39.994678834239174</v>
      </c>
      <c r="C9">
        <v>39.995214697468739</v>
      </c>
    </row>
    <row r="10" spans="1:3" x14ac:dyDescent="0.2">
      <c r="A10">
        <v>2025</v>
      </c>
      <c r="B10">
        <v>42.651805318189432</v>
      </c>
      <c r="C10">
        <v>38.193698006879963</v>
      </c>
    </row>
    <row r="11" spans="1:3" x14ac:dyDescent="0.2">
      <c r="A11">
        <v>2026</v>
      </c>
      <c r="B11">
        <v>46.136223381725806</v>
      </c>
      <c r="C11">
        <v>35.478038640617498</v>
      </c>
    </row>
    <row r="21" spans="1:109" x14ac:dyDescent="0.2">
      <c r="A21" t="s">
        <v>243</v>
      </c>
      <c r="B21">
        <v>2017</v>
      </c>
      <c r="C21">
        <v>2018</v>
      </c>
      <c r="D21">
        <v>2019</v>
      </c>
      <c r="E21">
        <v>2020</v>
      </c>
      <c r="F21">
        <v>2021</v>
      </c>
      <c r="G21">
        <v>2022</v>
      </c>
      <c r="H21">
        <v>2023</v>
      </c>
      <c r="I21">
        <v>2024</v>
      </c>
      <c r="J21">
        <v>2025</v>
      </c>
      <c r="K21">
        <v>2026</v>
      </c>
      <c r="L21">
        <v>2027</v>
      </c>
      <c r="M21">
        <v>2028</v>
      </c>
      <c r="N21">
        <v>2029</v>
      </c>
      <c r="O21">
        <v>2030</v>
      </c>
      <c r="P21">
        <v>2018.75</v>
      </c>
      <c r="Q21">
        <v>2018.875</v>
      </c>
      <c r="R21">
        <v>2019</v>
      </c>
      <c r="S21">
        <v>2019.125</v>
      </c>
      <c r="T21">
        <v>2019.25</v>
      </c>
      <c r="U21">
        <v>2019.375</v>
      </c>
      <c r="V21">
        <v>2019.5</v>
      </c>
      <c r="W21">
        <v>2019.625</v>
      </c>
      <c r="X21">
        <v>2019.75</v>
      </c>
      <c r="Y21">
        <v>2019.875</v>
      </c>
      <c r="Z21">
        <v>2020</v>
      </c>
      <c r="AA21">
        <v>2020.125</v>
      </c>
      <c r="AB21">
        <v>2020.25</v>
      </c>
      <c r="AC21">
        <v>2020.375</v>
      </c>
      <c r="AD21">
        <v>2020.5</v>
      </c>
      <c r="AE21">
        <v>2020.625</v>
      </c>
      <c r="AF21">
        <v>2020.75</v>
      </c>
      <c r="AG21">
        <v>2020.875</v>
      </c>
      <c r="AH21">
        <v>2021</v>
      </c>
      <c r="AI21">
        <v>2021.125</v>
      </c>
      <c r="AJ21">
        <v>2021.25</v>
      </c>
      <c r="AK21">
        <v>2021.375</v>
      </c>
      <c r="AL21">
        <v>2021.5</v>
      </c>
      <c r="AM21">
        <v>2021.625</v>
      </c>
      <c r="AN21">
        <v>2021.75</v>
      </c>
      <c r="AO21">
        <v>2021.875</v>
      </c>
      <c r="AP21">
        <v>2022</v>
      </c>
      <c r="AQ21">
        <v>2022.125</v>
      </c>
      <c r="AR21">
        <v>2022.25</v>
      </c>
      <c r="AS21">
        <v>2022.375</v>
      </c>
      <c r="AT21">
        <v>2022.5</v>
      </c>
      <c r="AU21">
        <v>2022.625</v>
      </c>
      <c r="AV21">
        <v>2022.75</v>
      </c>
      <c r="AW21">
        <v>2022.875</v>
      </c>
      <c r="AX21">
        <v>2023</v>
      </c>
      <c r="AY21">
        <v>2023.125</v>
      </c>
      <c r="AZ21">
        <v>2023.25</v>
      </c>
      <c r="BA21">
        <v>2023.375</v>
      </c>
      <c r="BB21">
        <v>2023.5</v>
      </c>
      <c r="BC21">
        <v>2023.625</v>
      </c>
      <c r="BD21">
        <v>2023.75</v>
      </c>
      <c r="BE21">
        <v>2023.875</v>
      </c>
      <c r="BF21">
        <v>2024</v>
      </c>
      <c r="BG21">
        <v>2024.125</v>
      </c>
      <c r="BH21">
        <v>2024.25</v>
      </c>
      <c r="BI21">
        <v>2024.375</v>
      </c>
      <c r="BJ21">
        <v>2024.5</v>
      </c>
      <c r="BK21">
        <v>2024.625</v>
      </c>
      <c r="BL21">
        <v>2024.75</v>
      </c>
      <c r="BM21">
        <v>2024.875</v>
      </c>
      <c r="BN21">
        <v>2025</v>
      </c>
      <c r="BO21">
        <v>2025.125</v>
      </c>
      <c r="BP21">
        <v>2025.25</v>
      </c>
      <c r="BQ21">
        <v>2025.375</v>
      </c>
      <c r="BR21">
        <v>2025.5</v>
      </c>
      <c r="BS21">
        <v>2025.625</v>
      </c>
      <c r="BT21">
        <v>2025.75</v>
      </c>
      <c r="BU21">
        <v>2025.875</v>
      </c>
      <c r="BV21">
        <v>2026</v>
      </c>
      <c r="BW21">
        <v>2026.125</v>
      </c>
      <c r="BX21">
        <v>2026.25</v>
      </c>
      <c r="BY21">
        <v>2026.375</v>
      </c>
      <c r="BZ21">
        <v>2026.5</v>
      </c>
      <c r="CA21">
        <v>2026.625</v>
      </c>
      <c r="CB21">
        <v>2026.75</v>
      </c>
      <c r="CC21">
        <v>2026.875</v>
      </c>
      <c r="CD21">
        <v>2027</v>
      </c>
      <c r="CE21">
        <v>2027.125</v>
      </c>
      <c r="CF21">
        <v>2027.25</v>
      </c>
      <c r="CG21">
        <v>2027.375</v>
      </c>
      <c r="CH21">
        <v>2027.5</v>
      </c>
      <c r="CI21">
        <v>2027.625</v>
      </c>
      <c r="CJ21">
        <v>2027.75</v>
      </c>
      <c r="CK21">
        <v>2027.875</v>
      </c>
      <c r="CL21">
        <v>2028</v>
      </c>
      <c r="CM21">
        <v>2028.125</v>
      </c>
      <c r="CN21">
        <v>2028.25</v>
      </c>
      <c r="CO21">
        <v>2028.375</v>
      </c>
      <c r="CP21">
        <v>2028.5</v>
      </c>
      <c r="CQ21">
        <v>2028.625</v>
      </c>
      <c r="CR21">
        <v>2028.75</v>
      </c>
      <c r="CS21">
        <v>2028.875</v>
      </c>
      <c r="CT21">
        <v>2029</v>
      </c>
      <c r="CU21">
        <v>2029.125</v>
      </c>
      <c r="CV21">
        <v>2029.25</v>
      </c>
      <c r="CW21">
        <v>2029.375</v>
      </c>
      <c r="CX21">
        <v>2029.5</v>
      </c>
      <c r="CY21">
        <v>2029.625</v>
      </c>
      <c r="CZ21">
        <v>2029.75</v>
      </c>
      <c r="DA21">
        <v>2029.875</v>
      </c>
      <c r="DB21">
        <v>2030</v>
      </c>
      <c r="DC21">
        <v>2030.125</v>
      </c>
      <c r="DD21">
        <v>2030.25</v>
      </c>
      <c r="DE21">
        <v>2030.375</v>
      </c>
    </row>
    <row r="22" spans="1:109" x14ac:dyDescent="0.2">
      <c r="A22" t="s">
        <v>895</v>
      </c>
      <c r="B22">
        <v>0.58068820055793302</v>
      </c>
      <c r="C22">
        <v>0.58570041541033535</v>
      </c>
      <c r="D22">
        <v>0.58371690157127387</v>
      </c>
      <c r="E22">
        <v>0.57571946544215602</v>
      </c>
      <c r="F22">
        <v>0.58411442307363959</v>
      </c>
      <c r="G22">
        <v>0.58347842821687856</v>
      </c>
      <c r="H22">
        <v>0.5943771591886412</v>
      </c>
      <c r="I22">
        <v>0.60536107456786814</v>
      </c>
      <c r="J22">
        <v>0.61538004259092061</v>
      </c>
      <c r="K22">
        <v>0.6239032321118998</v>
      </c>
      <c r="L22">
        <v>0.63139025254636538</v>
      </c>
      <c r="M22">
        <v>0.6382182716564061</v>
      </c>
      <c r="N22">
        <v>0.64470869935602404</v>
      </c>
      <c r="O22">
        <v>0.65102510531967639</v>
      </c>
      <c r="P22">
        <v>0.76861344694699518</v>
      </c>
      <c r="Q22">
        <v>0.74078569149280205</v>
      </c>
      <c r="R22">
        <v>0.7140645200788116</v>
      </c>
      <c r="S22">
        <v>0.71815965750351607</v>
      </c>
      <c r="T22">
        <v>0.72219614480710981</v>
      </c>
      <c r="U22">
        <v>0.72617482197036753</v>
      </c>
      <c r="V22">
        <v>0.73009651694394884</v>
      </c>
      <c r="W22">
        <v>0.73396204582069247</v>
      </c>
      <c r="X22">
        <v>0.7377722130054426</v>
      </c>
      <c r="Y22">
        <v>0.74152781138244295</v>
      </c>
      <c r="Z22">
        <v>0.74522962248033386</v>
      </c>
      <c r="AA22">
        <v>0.72486397792828017</v>
      </c>
      <c r="AB22">
        <v>0.70492615608460263</v>
      </c>
      <c r="AC22">
        <v>0.68542854859281499</v>
      </c>
      <c r="AD22">
        <v>0.66638082878456595</v>
      </c>
      <c r="AE22">
        <v>0.64779016757389174</v>
      </c>
      <c r="AF22">
        <v>0.62966145286834685</v>
      </c>
      <c r="AG22">
        <v>0.6119975061435271</v>
      </c>
      <c r="AH22">
        <v>0.59479929175838575</v>
      </c>
      <c r="AI22">
        <v>0.5947859010229859</v>
      </c>
      <c r="AJ22">
        <v>0.59547707499285352</v>
      </c>
      <c r="AK22">
        <v>0.59684066643862654</v>
      </c>
      <c r="AL22">
        <v>0.59884564652874961</v>
      </c>
      <c r="AM22">
        <v>0.6014621474086097</v>
      </c>
      <c r="AN22">
        <v>0.60466148771852068</v>
      </c>
      <c r="AO22">
        <v>0.60841618396459551</v>
      </c>
      <c r="AP22">
        <v>0.61269995024315838</v>
      </c>
      <c r="AQ22">
        <v>0.65967446571318911</v>
      </c>
      <c r="AR22">
        <v>0.70095157653524853</v>
      </c>
      <c r="AS22">
        <v>0.73722230462617655</v>
      </c>
      <c r="AT22">
        <v>0.76909385983064016</v>
      </c>
      <c r="AU22">
        <v>0.79709980524768975</v>
      </c>
      <c r="AV22">
        <v>0.82170898963392613</v>
      </c>
      <c r="AW22">
        <v>0.84333339642103267</v>
      </c>
      <c r="AX22">
        <v>0.86233504074841605</v>
      </c>
      <c r="AY22">
        <v>0.87903202997448171</v>
      </c>
      <c r="AZ22">
        <v>0.89370388912582832</v>
      </c>
      <c r="BA22">
        <v>0.90659624043793829</v>
      </c>
      <c r="BB22">
        <v>0.91792491532776022</v>
      </c>
      <c r="BC22">
        <v>0.92787956763689561</v>
      </c>
      <c r="BD22">
        <v>0.9366268486348529</v>
      </c>
      <c r="BE22">
        <v>0.94431319693523574</v>
      </c>
      <c r="BF22">
        <v>0.95106729003097545</v>
      </c>
      <c r="BG22">
        <v>0.95700219848986567</v>
      </c>
      <c r="BH22">
        <v>0.96221727887388109</v>
      </c>
      <c r="BI22">
        <v>0.96679983707172545</v>
      </c>
      <c r="BJ22">
        <v>0.97082658989053072</v>
      </c>
      <c r="BK22">
        <v>0.97436494937527951</v>
      </c>
      <c r="BL22">
        <v>0.97747415135679738</v>
      </c>
      <c r="BM22">
        <v>0.98020624712138615</v>
      </c>
      <c r="BN22">
        <v>0.98260697480368353</v>
      </c>
      <c r="BO22">
        <v>0.98471652509077479</v>
      </c>
      <c r="BP22">
        <v>0.98657021405624212</v>
      </c>
      <c r="BQ22">
        <v>0.98819907438809673</v>
      </c>
      <c r="BR22">
        <v>0.98963037490836536</v>
      </c>
      <c r="BS22">
        <v>0.99088807708163185</v>
      </c>
      <c r="BT22">
        <v>0.9919932361549636</v>
      </c>
      <c r="BU22">
        <v>0.99296435364472302</v>
      </c>
      <c r="BV22">
        <v>0.99381768707126172</v>
      </c>
      <c r="BW22">
        <v>0.99456752212677979</v>
      </c>
      <c r="BX22">
        <v>0.99522641183272331</v>
      </c>
      <c r="BY22">
        <v>0.99580538669046492</v>
      </c>
      <c r="BZ22">
        <v>0.99631413934340995</v>
      </c>
      <c r="CA22">
        <v>0.99676118684196324</v>
      </c>
      <c r="CB22">
        <v>0.99715401322784225</v>
      </c>
      <c r="CC22">
        <v>0.99749919482474669</v>
      </c>
      <c r="CD22">
        <v>0.99780251033288103</v>
      </c>
      <c r="CE22">
        <v>0.99806903757042753</v>
      </c>
      <c r="CF22">
        <v>0.99830323848152203</v>
      </c>
      <c r="CG22">
        <v>0.99850903383385603</v>
      </c>
      <c r="CH22">
        <v>0.99868986885642008</v>
      </c>
      <c r="CI22">
        <v>0.99884877091623259</v>
      </c>
      <c r="CJ22">
        <v>0.99898840019962398</v>
      </c>
      <c r="CK22">
        <v>0.99911109424653177</v>
      </c>
      <c r="CL22">
        <v>0.99921890708335925</v>
      </c>
      <c r="CM22">
        <v>0.99931364360952113</v>
      </c>
      <c r="CN22">
        <v>0.99939688981334363</v>
      </c>
      <c r="CO22">
        <v>0.99947003932316425</v>
      </c>
      <c r="CP22">
        <v>0.99953431673812498</v>
      </c>
      <c r="CQ22">
        <v>0.99959079812923979</v>
      </c>
      <c r="CR22">
        <v>0.99964042905394646</v>
      </c>
      <c r="CS22">
        <v>0.99968404038572545</v>
      </c>
      <c r="CT22">
        <v>0.99972236222378863</v>
      </c>
      <c r="CU22">
        <v>0.99975603611570241</v>
      </c>
      <c r="CV22">
        <v>0.99978562579756347</v>
      </c>
      <c r="CW22">
        <v>0.99981162663152945</v>
      </c>
      <c r="CX22">
        <v>0.99983447389869839</v>
      </c>
      <c r="CY22">
        <v>0.99985455008616897</v>
      </c>
      <c r="CZ22">
        <v>0.99987219129027327</v>
      </c>
      <c r="DA22">
        <v>0.99988769284318046</v>
      </c>
      <c r="DB22">
        <v>0.99990131425706541</v>
      </c>
      <c r="DC22">
        <v>0.99991328356861353</v>
      </c>
      <c r="DD22">
        <v>0.99992380115659274</v>
      </c>
      <c r="DE22">
        <v>0.99993304309640318</v>
      </c>
    </row>
    <row r="23" spans="1:109" x14ac:dyDescent="0.2">
      <c r="A23" t="s">
        <v>473</v>
      </c>
      <c r="B23">
        <v>0.93385078430175783</v>
      </c>
      <c r="C23">
        <v>0.92762374342173204</v>
      </c>
      <c r="D23">
        <v>0.83706282074076577</v>
      </c>
      <c r="E23">
        <v>0.74584692773209538</v>
      </c>
      <c r="F23">
        <v>0.66278927617000094</v>
      </c>
      <c r="G23">
        <v>0.70805658939738658</v>
      </c>
      <c r="H23">
        <v>0.74724719894360669</v>
      </c>
      <c r="I23">
        <v>0.78117684413569421</v>
      </c>
      <c r="J23">
        <v>0.8105517591010567</v>
      </c>
      <c r="K23">
        <v>0.83598337279277646</v>
      </c>
      <c r="L23">
        <v>0.85800103567716257</v>
      </c>
      <c r="M23">
        <v>0.87706303798527074</v>
      </c>
      <c r="N23">
        <v>0.89356614886957808</v>
      </c>
      <c r="O23">
        <v>0.90785387502014592</v>
      </c>
      <c r="P23">
        <v>0.42217974344454889</v>
      </c>
      <c r="Q23">
        <v>0.42417870830355514</v>
      </c>
      <c r="R23">
        <v>0.42567074538832739</v>
      </c>
      <c r="S23">
        <v>0.42800453863980725</v>
      </c>
      <c r="T23">
        <v>0.43024642168021998</v>
      </c>
      <c r="U23">
        <v>0.43240643421441527</v>
      </c>
      <c r="V23">
        <v>0.43450368778361509</v>
      </c>
      <c r="W23">
        <v>0.43655407645984989</v>
      </c>
      <c r="X23">
        <v>0.43857101532737042</v>
      </c>
      <c r="Y23">
        <v>0.44056590474496155</v>
      </c>
      <c r="Z23">
        <v>0.44254853130928906</v>
      </c>
      <c r="AA23">
        <v>0.45354127606639122</v>
      </c>
      <c r="AB23">
        <v>0.46426560010385293</v>
      </c>
      <c r="AC23">
        <v>0.4747278424276648</v>
      </c>
      <c r="AD23">
        <v>0.48493419466875259</v>
      </c>
      <c r="AE23">
        <v>0.49489070448763212</v>
      </c>
      <c r="AF23">
        <v>0.50460327890043344</v>
      </c>
      <c r="AG23">
        <v>0.51407768752811978</v>
      </c>
      <c r="AH23">
        <v>0.52331956577068395</v>
      </c>
      <c r="AI23">
        <v>0.52288183621552942</v>
      </c>
      <c r="AJ23">
        <v>0.52246237401821394</v>
      </c>
      <c r="AK23">
        <v>0.52206363112305454</v>
      </c>
      <c r="AL23">
        <v>0.52168766492200025</v>
      </c>
      <c r="AM23">
        <v>0.52133618244369784</v>
      </c>
      <c r="AN23">
        <v>0.52101057939886408</v>
      </c>
      <c r="AO23">
        <v>0.52071197477871434</v>
      </c>
      <c r="AP23">
        <v>0.52044124159285976</v>
      </c>
      <c r="AQ23">
        <v>0.52364375087860071</v>
      </c>
      <c r="AR23">
        <v>0.52674472627536451</v>
      </c>
      <c r="AS23">
        <v>0.52975826676186233</v>
      </c>
      <c r="AT23">
        <v>0.53269703757372833</v>
      </c>
      <c r="AU23">
        <v>0.53557246247506418</v>
      </c>
      <c r="AV23">
        <v>0.53839488464458674</v>
      </c>
      <c r="AW23">
        <v>0.54117370229079975</v>
      </c>
      <c r="AX23">
        <v>0.54391748374726234</v>
      </c>
      <c r="AY23">
        <v>0.54663406577490692</v>
      </c>
      <c r="AZ23">
        <v>0.54933063802093596</v>
      </c>
      <c r="BA23">
        <v>0.5520138159878778</v>
      </c>
      <c r="BB23">
        <v>0.55468970440536036</v>
      </c>
      <c r="BC23">
        <v>0.5573639525374684</v>
      </c>
      <c r="BD23">
        <v>0.56004180267566483</v>
      </c>
      <c r="BE23">
        <v>0.56272813284310252</v>
      </c>
      <c r="BF23">
        <v>0.5654274945572807</v>
      </c>
      <c r="BG23">
        <v>0.56814414635431232</v>
      </c>
      <c r="BH23">
        <v>0.57088208366191384</v>
      </c>
      <c r="BI23">
        <v>0.57364506551377903</v>
      </c>
      <c r="BJ23">
        <v>0.57643663852075944</v>
      </c>
      <c r="BK23">
        <v>0.57926015845077694</v>
      </c>
      <c r="BL23">
        <v>0.58211880971692698</v>
      </c>
      <c r="BM23">
        <v>0.58501562302966992</v>
      </c>
      <c r="BN23">
        <v>0.5879534914326765</v>
      </c>
      <c r="BO23">
        <v>0.59093518491145625</v>
      </c>
      <c r="BP23">
        <v>0.59396336373829572</v>
      </c>
      <c r="BQ23">
        <v>0.5970405906954106</v>
      </c>
      <c r="BR23">
        <v>0.6001693422998835</v>
      </c>
      <c r="BS23">
        <v>0.60335201913836212</v>
      </c>
      <c r="BT23">
        <v>0.60659095540617469</v>
      </c>
      <c r="BU23">
        <v>0.60988842773410701</v>
      </c>
      <c r="BV23">
        <v>0.61324666337628098</v>
      </c>
      <c r="BW23">
        <v>0.61666784782411477</v>
      </c>
      <c r="BX23">
        <v>0.62015413072305947</v>
      </c>
      <c r="BY23">
        <v>0.62370762934384105</v>
      </c>
      <c r="BZ23">
        <v>0.62733043182439607</v>
      </c>
      <c r="CA23">
        <v>0.63102460020558637</v>
      </c>
      <c r="CB23">
        <v>0.63479217328116244</v>
      </c>
      <c r="CC23">
        <v>0.63863516928015063</v>
      </c>
      <c r="CD23">
        <v>0.6425555883978189</v>
      </c>
      <c r="CE23">
        <v>0.64655541518959925</v>
      </c>
      <c r="CF23">
        <v>0.65063662084078122</v>
      </c>
      <c r="CG23">
        <v>0.65480116532340893</v>
      </c>
      <c r="CH23">
        <v>0.65905099945060031</v>
      </c>
      <c r="CI23">
        <v>0.66338806683743057</v>
      </c>
      <c r="CJ23">
        <v>0.6678142750578473</v>
      </c>
      <c r="CK23">
        <v>0.67233148546311183</v>
      </c>
      <c r="CL23">
        <v>0.6769415175959802</v>
      </c>
      <c r="CM23">
        <v>0.681646153293885</v>
      </c>
      <c r="CN23">
        <v>0.68644714050891764</v>
      </c>
      <c r="CO23">
        <v>0.69134619686951559</v>
      </c>
      <c r="CP23">
        <v>0.69634501300621321</v>
      </c>
      <c r="CQ23">
        <v>0.70144525566156579</v>
      </c>
      <c r="CR23">
        <v>0.70664857060236941</v>
      </c>
      <c r="CS23">
        <v>0.71195658535053685</v>
      </c>
      <c r="CT23">
        <v>0.71737091174742829</v>
      </c>
      <c r="CU23">
        <v>0.72289314836504115</v>
      </c>
      <c r="CV23">
        <v>0.72852488277622762</v>
      </c>
      <c r="CW23">
        <v>0.73426769369499956</v>
      </c>
      <c r="CX23">
        <v>0.74012315299699105</v>
      </c>
      <c r="CY23">
        <v>0.74609282762926377</v>
      </c>
      <c r="CZ23">
        <v>0.75217828141784315</v>
      </c>
      <c r="DA23">
        <v>0.75838107678065836</v>
      </c>
      <c r="DB23">
        <v>0.76461648549034777</v>
      </c>
      <c r="DC23">
        <v>0.77069097831953071</v>
      </c>
      <c r="DD23">
        <v>0.77660870799047521</v>
      </c>
      <c r="DE23">
        <v>0.78237372005701955</v>
      </c>
    </row>
    <row r="24" spans="1:109" x14ac:dyDescent="0.2">
      <c r="A24" t="s">
        <v>474</v>
      </c>
      <c r="B24">
        <v>0.36852024078369139</v>
      </c>
      <c r="C24">
        <v>0.39332890623941064</v>
      </c>
      <c r="D24">
        <v>0.43267104377250326</v>
      </c>
      <c r="E24">
        <v>0.4659646130986107</v>
      </c>
      <c r="F24">
        <v>0.52028622283819392</v>
      </c>
      <c r="G24">
        <v>0.48554648063208877</v>
      </c>
      <c r="H24">
        <v>0.49719328806324414</v>
      </c>
      <c r="I24">
        <v>0.51188714144697456</v>
      </c>
      <c r="J24">
        <v>0.5305345360478837</v>
      </c>
      <c r="K24">
        <v>0.55376316579947438</v>
      </c>
      <c r="L24">
        <v>0.58210512803110992</v>
      </c>
      <c r="M24">
        <v>0.61608476478186225</v>
      </c>
      <c r="N24">
        <v>0.65626600004347324</v>
      </c>
      <c r="O24">
        <v>0.70120702153439918</v>
      </c>
      <c r="P24">
        <v>0.59165753244020913</v>
      </c>
      <c r="Q24">
        <v>0.58987953842507901</v>
      </c>
      <c r="R24">
        <v>0.58758058382332135</v>
      </c>
      <c r="S24">
        <v>0.5835375304675422</v>
      </c>
      <c r="T24">
        <v>0.57960169439788278</v>
      </c>
      <c r="U24">
        <v>0.57577317320422927</v>
      </c>
      <c r="V24">
        <v>0.57206160602155809</v>
      </c>
      <c r="W24">
        <v>0.56847441645268559</v>
      </c>
      <c r="X24">
        <v>0.56501738575662463</v>
      </c>
      <c r="Y24">
        <v>0.56169499531670486</v>
      </c>
      <c r="Z24">
        <v>0.5585107311270946</v>
      </c>
      <c r="AA24">
        <v>0.55927015598825924</v>
      </c>
      <c r="AB24">
        <v>0.5605708098442802</v>
      </c>
      <c r="AC24">
        <v>0.56239539452826315</v>
      </c>
      <c r="AD24">
        <v>0.56472682189351842</v>
      </c>
      <c r="AE24">
        <v>0.56754822528633642</v>
      </c>
      <c r="AF24">
        <v>0.57084296988706529</v>
      </c>
      <c r="AG24">
        <v>0.57459466198623399</v>
      </c>
      <c r="AH24">
        <v>0.57878715725908947</v>
      </c>
      <c r="AI24">
        <v>0.58547313916353916</v>
      </c>
      <c r="AJ24">
        <v>0.59177198417544741</v>
      </c>
      <c r="AK24">
        <v>0.59770918072409851</v>
      </c>
      <c r="AL24">
        <v>0.60330852646356303</v>
      </c>
      <c r="AM24">
        <v>0.6085922640298238</v>
      </c>
      <c r="AN24">
        <v>0.61358120264887417</v>
      </c>
      <c r="AO24">
        <v>0.61829482744828845</v>
      </c>
      <c r="AP24">
        <v>0.62275139803903778</v>
      </c>
      <c r="AQ24">
        <v>0.62584201209830559</v>
      </c>
      <c r="AR24">
        <v>0.62892734233266434</v>
      </c>
      <c r="AS24">
        <v>0.63201879473929801</v>
      </c>
      <c r="AT24">
        <v>0.6351269583704674</v>
      </c>
      <c r="AU24">
        <v>0.63826172932576175</v>
      </c>
      <c r="AV24">
        <v>0.64143241565062603</v>
      </c>
      <c r="AW24">
        <v>0.644647826873884</v>
      </c>
      <c r="AX24">
        <v>0.64791635109963808</v>
      </c>
      <c r="AY24">
        <v>0.65124602195265058</v>
      </c>
      <c r="AZ24">
        <v>0.65464457720696612</v>
      </c>
      <c r="BA24">
        <v>0.6581195105667943</v>
      </c>
      <c r="BB24">
        <v>0.66167811778902319</v>
      </c>
      <c r="BC24">
        <v>0.66532753811825596</v>
      </c>
      <c r="BD24">
        <v>0.66907479183333729</v>
      </c>
      <c r="BE24">
        <v>0.67292681456815984</v>
      </c>
      <c r="BF24">
        <v>0.67689048896104764</v>
      </c>
      <c r="BG24">
        <v>0.68097267410012485</v>
      </c>
      <c r="BH24">
        <v>0.68518023316218557</v>
      </c>
      <c r="BI24">
        <v>0.68952005958615903</v>
      </c>
      <c r="BJ24">
        <v>0.69399910207659832</v>
      </c>
      <c r="BK24">
        <v>0.69862438869561116</v>
      </c>
      <c r="BL24">
        <v>0.70340305027165473</v>
      </c>
      <c r="BM24">
        <v>0.70834234332935531</v>
      </c>
      <c r="BN24">
        <v>0.71344967272497273</v>
      </c>
      <c r="BO24">
        <v>0.7187326141565159</v>
      </c>
      <c r="BP24">
        <v>0.72419893670519642</v>
      </c>
      <c r="BQ24">
        <v>0.72985662555537956</v>
      </c>
      <c r="BR24">
        <v>0.73571390503306311</v>
      </c>
      <c r="BS24">
        <v>0.74177926209786638</v>
      </c>
      <c r="BT24">
        <v>0.74806147042029847</v>
      </c>
      <c r="BU24">
        <v>0.75442617081799501</v>
      </c>
      <c r="BV24">
        <v>0.76063008036238289</v>
      </c>
      <c r="BW24">
        <v>0.7666772610983178</v>
      </c>
      <c r="BX24">
        <v>0.77257167245158165</v>
      </c>
      <c r="BY24">
        <v>0.77831717382133925</v>
      </c>
      <c r="BZ24">
        <v>0.78391752710710161</v>
      </c>
      <c r="CA24">
        <v>0.7893763991718511</v>
      </c>
      <c r="CB24">
        <v>0.79469736424294046</v>
      </c>
      <c r="CC24">
        <v>0.79988390625233852</v>
      </c>
      <c r="CD24">
        <v>0.80493942111775452</v>
      </c>
      <c r="CE24">
        <v>0.80986721896613401</v>
      </c>
      <c r="CF24">
        <v>0.81467052630098358</v>
      </c>
      <c r="CG24">
        <v>0.8193524881149421</v>
      </c>
      <c r="CH24">
        <v>0.82391616994898242</v>
      </c>
      <c r="CI24">
        <v>0.82836455989959179</v>
      </c>
      <c r="CJ24">
        <v>0.83270057057524471</v>
      </c>
      <c r="CK24">
        <v>0.83692704100345006</v>
      </c>
      <c r="CL24">
        <v>0.84104673848962019</v>
      </c>
      <c r="CM24">
        <v>0.84506236042897986</v>
      </c>
      <c r="CN24">
        <v>0.84897653607270118</v>
      </c>
      <c r="CO24">
        <v>0.85279182824942046</v>
      </c>
      <c r="CP24">
        <v>0.8565107350432648</v>
      </c>
      <c r="CQ24">
        <v>0.86013569142948676</v>
      </c>
      <c r="CR24">
        <v>0.86366907086877842</v>
      </c>
      <c r="CS24">
        <v>0.86711318686130801</v>
      </c>
      <c r="CT24">
        <v>0.87047029446149704</v>
      </c>
      <c r="CU24">
        <v>0.87374259175453028</v>
      </c>
      <c r="CV24">
        <v>0.87693222129556425</v>
      </c>
      <c r="CW24">
        <v>0.88004127151257738</v>
      </c>
      <c r="CX24">
        <v>0.88307177807378023</v>
      </c>
      <c r="CY24">
        <v>0.88602572522048029</v>
      </c>
      <c r="CZ24">
        <v>0.8889050470662756</v>
      </c>
      <c r="DA24">
        <v>0.89171162886342648</v>
      </c>
      <c r="DB24">
        <v>0.89444730823723506</v>
      </c>
      <c r="DC24">
        <v>0.89711387638924089</v>
      </c>
      <c r="DD24">
        <v>0.8997130792700202</v>
      </c>
      <c r="DE24">
        <v>0.9022466187223569</v>
      </c>
    </row>
    <row r="25" spans="1:109" x14ac:dyDescent="0.2">
      <c r="A25" t="s">
        <v>475</v>
      </c>
      <c r="B25">
        <v>0.55213714599609376</v>
      </c>
      <c r="C25">
        <v>0.58717420817280608</v>
      </c>
      <c r="D25">
        <v>0.58357611224694617</v>
      </c>
      <c r="E25">
        <v>0.55931342381162774</v>
      </c>
      <c r="F25">
        <v>0.57797259733992801</v>
      </c>
      <c r="G25">
        <v>0.60803900352825269</v>
      </c>
      <c r="H25">
        <v>0.65401711985782829</v>
      </c>
      <c r="I25">
        <v>0.70010723787827256</v>
      </c>
      <c r="J25">
        <v>0.74036497180619465</v>
      </c>
      <c r="K25">
        <v>0.77521849014203281</v>
      </c>
      <c r="L25">
        <v>0.80539325712125565</v>
      </c>
      <c r="M25">
        <v>0.83151735034699348</v>
      </c>
      <c r="N25">
        <v>0.85413453401363004</v>
      </c>
      <c r="O25">
        <v>0.87371557717521253</v>
      </c>
      <c r="P25">
        <v>0.77166852087683924</v>
      </c>
      <c r="Q25">
        <v>0.78760233157250892</v>
      </c>
      <c r="R25">
        <v>0.80242422233379018</v>
      </c>
      <c r="S25">
        <v>0.80679890537142496</v>
      </c>
      <c r="T25">
        <v>0.81107672505918038</v>
      </c>
      <c r="U25">
        <v>0.81525982612582171</v>
      </c>
      <c r="V25">
        <v>0.81935030581196233</v>
      </c>
      <c r="W25">
        <v>0.82309787341450824</v>
      </c>
      <c r="X25">
        <v>0.82650618430494438</v>
      </c>
      <c r="Y25">
        <v>0.82961157700177257</v>
      </c>
      <c r="Z25">
        <v>0.83244662494268629</v>
      </c>
      <c r="AA25">
        <v>0.83691517390236436</v>
      </c>
      <c r="AB25">
        <v>0.8412645493163099</v>
      </c>
      <c r="AC25">
        <v>0.84549792947217961</v>
      </c>
      <c r="AD25">
        <v>0.84961840789458709</v>
      </c>
      <c r="AE25">
        <v>0.85362899560568217</v>
      </c>
      <c r="AF25">
        <v>0.85753262332544333</v>
      </c>
      <c r="AG25">
        <v>0.86133214361328825</v>
      </c>
      <c r="AH25">
        <v>0.86503033295256992</v>
      </c>
      <c r="AI25">
        <v>0.85985946557511372</v>
      </c>
      <c r="AJ25">
        <v>0.8548948161816613</v>
      </c>
      <c r="AK25">
        <v>0.85012999271589784</v>
      </c>
      <c r="AL25">
        <v>0.84555944449774423</v>
      </c>
      <c r="AM25">
        <v>0.84117839713589426</v>
      </c>
      <c r="AN25">
        <v>0.83698279346335913</v>
      </c>
      <c r="AO25">
        <v>0.83296923967983216</v>
      </c>
      <c r="AP25">
        <v>0.82913495606572707</v>
      </c>
      <c r="AQ25">
        <v>0.83883013422004049</v>
      </c>
      <c r="AR25">
        <v>0.84797519119520837</v>
      </c>
      <c r="AS25">
        <v>0.8566013418185322</v>
      </c>
      <c r="AT25">
        <v>0.86473802973401726</v>
      </c>
      <c r="AU25">
        <v>0.8724130279023764</v>
      </c>
      <c r="AV25">
        <v>0.87965253339849014</v>
      </c>
      <c r="AW25">
        <v>0.88648125682989465</v>
      </c>
      <c r="AX25">
        <v>0.89292250668151019</v>
      </c>
      <c r="AY25">
        <v>0.89899826887450385</v>
      </c>
      <c r="AZ25">
        <v>0.90472928181084455</v>
      </c>
      <c r="BA25">
        <v>0.91013510715970036</v>
      </c>
      <c r="BB25">
        <v>0.91523419662729288</v>
      </c>
      <c r="BC25">
        <v>0.92004395493811519</v>
      </c>
      <c r="BD25">
        <v>0.92458079924248604</v>
      </c>
      <c r="BE25">
        <v>0.92886021515321671</v>
      </c>
      <c r="BF25">
        <v>0.93289680960266075</v>
      </c>
      <c r="BG25">
        <v>0.93670436070056273</v>
      </c>
      <c r="BH25">
        <v>0.94029586476288729</v>
      </c>
      <c r="BI25">
        <v>0.94368358067215008</v>
      </c>
      <c r="BJ25">
        <v>0.94687907172066765</v>
      </c>
      <c r="BK25">
        <v>0.9498932450795482</v>
      </c>
      <c r="BL25">
        <v>0.95273638902814406</v>
      </c>
      <c r="BM25">
        <v>0.95541820807104072</v>
      </c>
      <c r="BN25">
        <v>0.95794785606244648</v>
      </c>
      <c r="BO25">
        <v>0.96033396745104771</v>
      </c>
      <c r="BP25">
        <v>0.96258468675197639</v>
      </c>
      <c r="BQ25">
        <v>0.96470769634648756</v>
      </c>
      <c r="BR25">
        <v>0.966710242704235</v>
      </c>
      <c r="BS25">
        <v>0.96859916111764932</v>
      </c>
      <c r="BT25">
        <v>0.97038089903284508</v>
      </c>
      <c r="BU25">
        <v>0.97206153805669149</v>
      </c>
      <c r="BV25">
        <v>0.97364681471516401</v>
      </c>
      <c r="BW25">
        <v>0.97514214003383126</v>
      </c>
      <c r="BX25">
        <v>0.97655261800731119</v>
      </c>
      <c r="BY25">
        <v>0.97788306302073835</v>
      </c>
      <c r="BZ25">
        <v>0.97913801628270658</v>
      </c>
      <c r="CA25">
        <v>0.98032176132577897</v>
      </c>
      <c r="CB25">
        <v>0.98143833862747132</v>
      </c>
      <c r="CC25">
        <v>0.98249155940161592</v>
      </c>
      <c r="CD25">
        <v>0.98348501860717963</v>
      </c>
      <c r="CE25">
        <v>0.98442210721893897</v>
      </c>
      <c r="CF25">
        <v>0.98530602380189591</v>
      </c>
      <c r="CG25">
        <v>0.98613978542894154</v>
      </c>
      <c r="CH25">
        <v>0.98692623797903201</v>
      </c>
      <c r="CI25">
        <v>0.98766806585102873</v>
      </c>
      <c r="CJ25">
        <v>0.98836780112635825</v>
      </c>
      <c r="CK25">
        <v>0.98902783221176704</v>
      </c>
      <c r="CL25">
        <v>0.98965041199167136</v>
      </c>
      <c r="CM25">
        <v>0.99023766551792858</v>
      </c>
      <c r="CN25">
        <v>0.99079159726327781</v>
      </c>
      <c r="CO25">
        <v>0.99131409796320757</v>
      </c>
      <c r="CP25">
        <v>0.99180695106960426</v>
      </c>
      <c r="CQ25">
        <v>0.99227183883820924</v>
      </c>
      <c r="CR25">
        <v>0.99271034807066305</v>
      </c>
      <c r="CS25">
        <v>0.99312397553073639</v>
      </c>
      <c r="CT25">
        <v>0.99351413305323455</v>
      </c>
      <c r="CU25">
        <v>0.99388215236301358</v>
      </c>
      <c r="CV25">
        <v>0.9942292896205579</v>
      </c>
      <c r="CW25">
        <v>0.99455672970963283</v>
      </c>
      <c r="CX25">
        <v>0.99486559028164945</v>
      </c>
      <c r="CY25">
        <v>0.99515692557054447</v>
      </c>
      <c r="CZ25">
        <v>0.99543172999119722</v>
      </c>
      <c r="DA25">
        <v>0.99569094153366688</v>
      </c>
      <c r="DB25">
        <v>0.99593544496483399</v>
      </c>
      <c r="DC25">
        <v>0.99616607484837594</v>
      </c>
      <c r="DD25">
        <v>0.9963836183933833</v>
      </c>
      <c r="DE25">
        <v>0.99658881814134126</v>
      </c>
    </row>
    <row r="26" spans="1:109" x14ac:dyDescent="0.2">
      <c r="A26" t="s">
        <v>476</v>
      </c>
      <c r="B26">
        <v>0.65300369262695313</v>
      </c>
      <c r="C26">
        <v>0.64759984897599676</v>
      </c>
      <c r="D26">
        <v>0.69490619747108118</v>
      </c>
      <c r="E26">
        <v>0.73586212130988915</v>
      </c>
      <c r="F26">
        <v>0.77132010424138797</v>
      </c>
      <c r="G26">
        <v>0.75398638251707084</v>
      </c>
      <c r="H26">
        <v>0.78701135679522072</v>
      </c>
      <c r="I26">
        <v>0.81560304426091135</v>
      </c>
      <c r="J26">
        <v>0.84035657125083529</v>
      </c>
      <c r="K26">
        <v>0.86178717408517891</v>
      </c>
      <c r="L26">
        <v>0.88034092353794702</v>
      </c>
      <c r="M26">
        <v>0.89640400964975819</v>
      </c>
      <c r="N26">
        <v>0.91031078014336142</v>
      </c>
      <c r="O26">
        <v>0.92235069975878003</v>
      </c>
      <c r="P26">
        <v>0.34013319951884968</v>
      </c>
      <c r="Q26">
        <v>0.33604370288817065</v>
      </c>
      <c r="R26">
        <v>0.33187805136881932</v>
      </c>
      <c r="S26">
        <v>0.32890669854664373</v>
      </c>
      <c r="T26">
        <v>0.326050617398981</v>
      </c>
      <c r="U26">
        <v>0.32330566025630103</v>
      </c>
      <c r="V26">
        <v>0.32066793104805774</v>
      </c>
      <c r="W26">
        <v>0.31813397671434723</v>
      </c>
      <c r="X26">
        <v>0.31569911917279331</v>
      </c>
      <c r="Y26">
        <v>0.31335904948716448</v>
      </c>
      <c r="Z26">
        <v>0.31110999608894102</v>
      </c>
      <c r="AA26">
        <v>0.31505374498318295</v>
      </c>
      <c r="AB26">
        <v>0.31894077109788843</v>
      </c>
      <c r="AC26">
        <v>0.32276609392693567</v>
      </c>
      <c r="AD26">
        <v>0.32652566864789445</v>
      </c>
      <c r="AE26">
        <v>0.33021625146356703</v>
      </c>
      <c r="AF26">
        <v>0.33383527931615686</v>
      </c>
      <c r="AG26">
        <v>0.33738076326382993</v>
      </c>
      <c r="AH26">
        <v>0.34085119468832381</v>
      </c>
      <c r="AI26">
        <v>0.34024745199165279</v>
      </c>
      <c r="AJ26">
        <v>0.33974338581492208</v>
      </c>
      <c r="AK26">
        <v>0.33934111542607454</v>
      </c>
      <c r="AL26">
        <v>0.33904297046965598</v>
      </c>
      <c r="AM26">
        <v>0.33885142985517047</v>
      </c>
      <c r="AN26">
        <v>0.33876907228497583</v>
      </c>
      <c r="AO26">
        <v>0.33879853682308408</v>
      </c>
      <c r="AP26">
        <v>0.3389424920991691</v>
      </c>
      <c r="AQ26">
        <v>0.35582687832522186</v>
      </c>
      <c r="AR26">
        <v>0.37228001236092317</v>
      </c>
      <c r="AS26">
        <v>0.38831290902488663</v>
      </c>
      <c r="AT26">
        <v>0.40393630180097145</v>
      </c>
      <c r="AU26">
        <v>0.419160650023988</v>
      </c>
      <c r="AV26">
        <v>0.43399614588186974</v>
      </c>
      <c r="AW26">
        <v>0.44845272123899976</v>
      </c>
      <c r="AX26">
        <v>0.46254005428525896</v>
      </c>
      <c r="AY26">
        <v>0.476267576015248</v>
      </c>
      <c r="AZ26">
        <v>0.48964447654202026</v>
      </c>
      <c r="BA26">
        <v>0.5026797112495528</v>
      </c>
      <c r="BB26">
        <v>0.515382006788074</v>
      </c>
      <c r="BC26">
        <v>0.52775986691626164</v>
      </c>
      <c r="BD26">
        <v>0.53982157819422283</v>
      </c>
      <c r="BE26">
        <v>0.5515752155310667</v>
      </c>
      <c r="BF26">
        <v>0.56302864759078364</v>
      </c>
      <c r="BG26">
        <v>0.57418954206005068</v>
      </c>
      <c r="BH26">
        <v>0.58506537078148935</v>
      </c>
      <c r="BI26">
        <v>0.5956634147558123</v>
      </c>
      <c r="BJ26">
        <v>0.60599076901620796</v>
      </c>
      <c r="BK26">
        <v>0.61605434737822606</v>
      </c>
      <c r="BL26">
        <v>0.62586088706834397</v>
      </c>
      <c r="BM26">
        <v>0.63541695323431291</v>
      </c>
      <c r="BN26">
        <v>0.64472894334030284</v>
      </c>
      <c r="BO26">
        <v>0.65380309144978932</v>
      </c>
      <c r="BP26">
        <v>0.66264547239904881</v>
      </c>
      <c r="BQ26">
        <v>0.67126200586405638</v>
      </c>
      <c r="BR26">
        <v>0.67965846032350985</v>
      </c>
      <c r="BS26">
        <v>0.68784045692063145</v>
      </c>
      <c r="BT26">
        <v>0.69581347322633369</v>
      </c>
      <c r="BU26">
        <v>0.70358284690626871</v>
      </c>
      <c r="BV26">
        <v>0.71115377929421519</v>
      </c>
      <c r="BW26">
        <v>0.71853133887419618</v>
      </c>
      <c r="BX26">
        <v>0.72572046467365836</v>
      </c>
      <c r="BY26">
        <v>0.73272596956998426</v>
      </c>
      <c r="BZ26">
        <v>0.7395525435125514</v>
      </c>
      <c r="CA26">
        <v>0.74620475666249542</v>
      </c>
      <c r="CB26">
        <v>0.75268706245227901</v>
      </c>
      <c r="CC26">
        <v>0.75900380056711458</v>
      </c>
      <c r="CD26">
        <v>0.76515919985023728</v>
      </c>
      <c r="CE26">
        <v>0.77115738113397314</v>
      </c>
      <c r="CF26">
        <v>0.77700235999849732</v>
      </c>
      <c r="CG26">
        <v>0.78269804946012955</v>
      </c>
      <c r="CH26">
        <v>0.78824826259096692</v>
      </c>
      <c r="CI26">
        <v>0.79365671507160673</v>
      </c>
      <c r="CJ26">
        <v>0.79892702767866985</v>
      </c>
      <c r="CK26">
        <v>0.80406272870878814</v>
      </c>
      <c r="CL26">
        <v>0.80906725634068066</v>
      </c>
      <c r="CM26">
        <v>0.81394396093689791</v>
      </c>
      <c r="CN26">
        <v>0.81869610728677678</v>
      </c>
      <c r="CO26">
        <v>0.82332687679210725</v>
      </c>
      <c r="CP26">
        <v>0.82783936959697313</v>
      </c>
      <c r="CQ26">
        <v>0.83223660666319443</v>
      </c>
      <c r="CR26">
        <v>0.83652153179275934</v>
      </c>
      <c r="CS26">
        <v>0.84069701359860038</v>
      </c>
      <c r="CT26">
        <v>0.84476584742503413</v>
      </c>
      <c r="CU26">
        <v>0.84873075721914981</v>
      </c>
      <c r="CV26">
        <v>0.85259439735440046</v>
      </c>
      <c r="CW26">
        <v>0.85635935440761601</v>
      </c>
      <c r="CX26">
        <v>0.86002814889062973</v>
      </c>
      <c r="CY26">
        <v>0.8636032369376756</v>
      </c>
      <c r="CZ26">
        <v>0.8670870119496874</v>
      </c>
      <c r="DA26">
        <v>0.87048180619660009</v>
      </c>
      <c r="DB26">
        <v>0.87378989237872606</v>
      </c>
      <c r="DC26">
        <v>0.87701348514825095</v>
      </c>
      <c r="DD26">
        <v>0.88015474259186899</v>
      </c>
      <c r="DE26">
        <v>0.88321576767554921</v>
      </c>
    </row>
    <row r="27" spans="1:109" x14ac:dyDescent="0.2">
      <c r="A27" t="s">
        <v>477</v>
      </c>
      <c r="B27">
        <v>0.33300739288330078</v>
      </c>
      <c r="C27">
        <v>0.36396638670925963</v>
      </c>
      <c r="D27">
        <v>0.33143609355697606</v>
      </c>
      <c r="E27">
        <v>0.31247492185421655</v>
      </c>
      <c r="F27">
        <v>0.31834035187449206</v>
      </c>
      <c r="G27">
        <v>0.31687543323468448</v>
      </c>
      <c r="H27">
        <v>0.37022141167762934</v>
      </c>
      <c r="I27">
        <v>0.44018279980772379</v>
      </c>
      <c r="J27">
        <v>0.51527732132560367</v>
      </c>
      <c r="K27">
        <v>0.58034670309008507</v>
      </c>
      <c r="L27">
        <v>0.63668114293934408</v>
      </c>
      <c r="M27">
        <v>0.68545322324919733</v>
      </c>
      <c r="N27">
        <v>0.72767811843082686</v>
      </c>
      <c r="O27">
        <v>0.76423472544394622</v>
      </c>
      <c r="P27">
        <v>0.59665181226496977</v>
      </c>
      <c r="Q27">
        <v>0.58099267108955455</v>
      </c>
      <c r="R27">
        <v>0.5658273220622041</v>
      </c>
      <c r="S27">
        <v>0.5652069639364905</v>
      </c>
      <c r="T27">
        <v>0.56460323574478177</v>
      </c>
      <c r="U27">
        <v>0.56401569168860521</v>
      </c>
      <c r="V27">
        <v>0.56344389792000316</v>
      </c>
      <c r="W27">
        <v>0.56288743222117588</v>
      </c>
      <c r="X27">
        <v>0.56234588369271188</v>
      </c>
      <c r="Y27">
        <v>0.56181885245017593</v>
      </c>
      <c r="Z27">
        <v>0.56130594932883104</v>
      </c>
      <c r="AA27">
        <v>0.56131958312853003</v>
      </c>
      <c r="AB27">
        <v>0.56133287718751756</v>
      </c>
      <c r="AC27">
        <v>0.56134583997179388</v>
      </c>
      <c r="AD27">
        <v>0.56135847973639486</v>
      </c>
      <c r="AE27">
        <v>0.56137080453064914</v>
      </c>
      <c r="AF27">
        <v>0.56138282220330415</v>
      </c>
      <c r="AG27">
        <v>0.56139454040752423</v>
      </c>
      <c r="AH27">
        <v>0.56140596660576458</v>
      </c>
      <c r="AI27">
        <v>0.56472529180692355</v>
      </c>
      <c r="AJ27">
        <v>0.56796164640806091</v>
      </c>
      <c r="AK27">
        <v>0.57111710436097429</v>
      </c>
      <c r="AL27">
        <v>0.57419368777649538</v>
      </c>
      <c r="AM27">
        <v>0.57719336822031808</v>
      </c>
      <c r="AN27">
        <v>0.5801180679764365</v>
      </c>
      <c r="AO27">
        <v>0.58296966127900118</v>
      </c>
      <c r="AP27">
        <v>0.58574997551338392</v>
      </c>
      <c r="AQ27">
        <v>0.58513684671922128</v>
      </c>
      <c r="AR27">
        <v>0.58453907067869504</v>
      </c>
      <c r="AS27">
        <v>0.58395626295863812</v>
      </c>
      <c r="AT27">
        <v>0.58338804875209527</v>
      </c>
      <c r="AU27">
        <v>0.58283406263728255</v>
      </c>
      <c r="AV27">
        <v>0.58229394834258286</v>
      </c>
      <c r="AW27">
        <v>0.58176735851742534</v>
      </c>
      <c r="AX27">
        <v>0.58125395450890216</v>
      </c>
      <c r="AY27">
        <v>0.5807534061439793</v>
      </c>
      <c r="AZ27">
        <v>0.58026539151715995</v>
      </c>
      <c r="BA27">
        <v>0.57978959678346564</v>
      </c>
      <c r="BB27">
        <v>0.57932571595660054</v>
      </c>
      <c r="BC27">
        <v>0.57887345071216989</v>
      </c>
      <c r="BD27">
        <v>0.57843251019582598</v>
      </c>
      <c r="BE27">
        <v>0.57800261083621818</v>
      </c>
      <c r="BF27">
        <v>0.5775834761626264</v>
      </c>
      <c r="BG27">
        <v>0.57717483662716118</v>
      </c>
      <c r="BH27">
        <v>0.57677642943141616</v>
      </c>
      <c r="BI27">
        <v>0.5763879983574608</v>
      </c>
      <c r="BJ27">
        <v>0.57600929360306496</v>
      </c>
      <c r="BK27">
        <v>0.57564007162104991</v>
      </c>
      <c r="BL27">
        <v>0.57528009496266186</v>
      </c>
      <c r="BM27">
        <v>0.57492913212486696</v>
      </c>
      <c r="BN27">
        <v>0.5745869574014707</v>
      </c>
      <c r="BO27">
        <v>0.57425335073796491</v>
      </c>
      <c r="BP27">
        <v>0.57392809759000929</v>
      </c>
      <c r="BQ27">
        <v>0.5736109887854568</v>
      </c>
      <c r="BR27">
        <v>0.57330182038983402</v>
      </c>
      <c r="BS27">
        <v>0.57300039357518961</v>
      </c>
      <c r="BT27">
        <v>0.57270651449222687</v>
      </c>
      <c r="BU27">
        <v>0.57241999414563827</v>
      </c>
      <c r="BV27">
        <v>0.57214064827256139</v>
      </c>
      <c r="BW27">
        <v>0.57186829722407861</v>
      </c>
      <c r="BX27">
        <v>0.5716027658496835</v>
      </c>
      <c r="BY27">
        <v>0.57134388338464093</v>
      </c>
      <c r="BZ27">
        <v>0.57109148334016724</v>
      </c>
      <c r="CA27">
        <v>0.57084540339636003</v>
      </c>
      <c r="CB27">
        <v>0.57060548529780963</v>
      </c>
      <c r="CC27">
        <v>0.5703715747518241</v>
      </c>
      <c r="CD27">
        <v>0.57014352132920265</v>
      </c>
      <c r="CE27">
        <v>0.56992117836749379</v>
      </c>
      <c r="CF27">
        <v>0.5697044028766759</v>
      </c>
      <c r="CG27">
        <v>0.56949305544719953</v>
      </c>
      <c r="CH27">
        <v>0.56928700016033218</v>
      </c>
      <c r="CI27">
        <v>0.56908610450074859</v>
      </c>
      <c r="CJ27">
        <v>0.56889023927130877</v>
      </c>
      <c r="CK27">
        <v>0.56869927850997126</v>
      </c>
      <c r="CL27">
        <v>0.56851309940878558</v>
      </c>
      <c r="CM27">
        <v>0.56833158223491442</v>
      </c>
      <c r="CN27">
        <v>0.56815461025363201</v>
      </c>
      <c r="CO27">
        <v>0.56798206965325204</v>
      </c>
      <c r="CP27">
        <v>0.56781384947193436</v>
      </c>
      <c r="CQ27">
        <v>0.56764984152632481</v>
      </c>
      <c r="CR27">
        <v>0.56748994034198197</v>
      </c>
      <c r="CS27">
        <v>0.56733404308554591</v>
      </c>
      <c r="CT27">
        <v>0.5671820494986054</v>
      </c>
      <c r="CU27">
        <v>0.56703386183322146</v>
      </c>
      <c r="CV27">
        <v>0.56688938478906459</v>
      </c>
      <c r="CW27">
        <v>0.56674852545212717</v>
      </c>
      <c r="CX27">
        <v>0.56661119323496945</v>
      </c>
      <c r="CY27">
        <v>0.56647729981846251</v>
      </c>
      <c r="CZ27">
        <v>0.56634675909498966</v>
      </c>
      <c r="DA27">
        <v>0.56621948711307002</v>
      </c>
      <c r="DB27">
        <v>0.56609540202336917</v>
      </c>
      <c r="DC27">
        <v>0.56597442402606113</v>
      </c>
      <c r="DD27">
        <v>0.56585647531950867</v>
      </c>
      <c r="DE27">
        <v>0.56574148005022851</v>
      </c>
    </row>
    <row r="28" spans="1:109" x14ac:dyDescent="0.2">
      <c r="A28" t="s">
        <v>478</v>
      </c>
      <c r="B28">
        <v>0.7371634674072266</v>
      </c>
      <c r="C28">
        <v>0.70201229319027614</v>
      </c>
      <c r="D28">
        <v>0.62119790290914279</v>
      </c>
      <c r="E28">
        <v>0.5605007059509356</v>
      </c>
      <c r="F28">
        <v>0.53064420478990226</v>
      </c>
      <c r="G28">
        <v>0.55836743981104031</v>
      </c>
      <c r="H28">
        <v>0.58033134111830953</v>
      </c>
      <c r="I28">
        <v>0.59934679882663555</v>
      </c>
      <c r="J28">
        <v>0.61580961327834083</v>
      </c>
      <c r="K28">
        <v>0.63006245240682535</v>
      </c>
      <c r="L28">
        <v>0.64240198425409212</v>
      </c>
      <c r="M28">
        <v>0.65308505201603784</v>
      </c>
      <c r="N28">
        <v>0.66233402014699683</v>
      </c>
      <c r="O28">
        <v>0.6703414028009016</v>
      </c>
      <c r="P28">
        <v>0.62824385742499789</v>
      </c>
      <c r="Q28">
        <v>0.64124643556927308</v>
      </c>
      <c r="R28">
        <v>0.65379423430566297</v>
      </c>
      <c r="S28">
        <v>0.65836442628929492</v>
      </c>
      <c r="T28">
        <v>0.662826724573505</v>
      </c>
      <c r="U28">
        <v>0.66718367632708098</v>
      </c>
      <c r="V28">
        <v>0.67143776858491167</v>
      </c>
      <c r="W28">
        <v>0.67559142966763563</v>
      </c>
      <c r="X28">
        <v>0.67964703056777553</v>
      </c>
      <c r="Y28">
        <v>0.68360688630314725</v>
      </c>
      <c r="Z28">
        <v>0.68747325723831887</v>
      </c>
      <c r="AA28">
        <v>0.68898705544626238</v>
      </c>
      <c r="AB28">
        <v>0.69046315985645357</v>
      </c>
      <c r="AC28">
        <v>0.69190250904999362</v>
      </c>
      <c r="AD28">
        <v>0.69330601823717641</v>
      </c>
      <c r="AE28">
        <v>0.69467457983942515</v>
      </c>
      <c r="AF28">
        <v>0.69600906405673835</v>
      </c>
      <c r="AG28">
        <v>0.69731031942100685</v>
      </c>
      <c r="AH28">
        <v>0.69857917333555275</v>
      </c>
      <c r="AI28">
        <v>0.69704978888314129</v>
      </c>
      <c r="AJ28">
        <v>0.69555862591228768</v>
      </c>
      <c r="AK28">
        <v>0.69410472921408417</v>
      </c>
      <c r="AL28">
        <v>0.69268716745164505</v>
      </c>
      <c r="AM28">
        <v>0.69130503256351128</v>
      </c>
      <c r="AN28">
        <v>0.68995743918196473</v>
      </c>
      <c r="AO28">
        <v>0.68864352406587925</v>
      </c>
      <c r="AP28">
        <v>0.68736244554774595</v>
      </c>
      <c r="AQ28">
        <v>0.68392458104197751</v>
      </c>
      <c r="AR28">
        <v>0.68057012237884784</v>
      </c>
      <c r="AS28">
        <v>0.67729704605377306</v>
      </c>
      <c r="AT28">
        <v>0.67410337765430317</v>
      </c>
      <c r="AU28">
        <v>0.67098719066910073</v>
      </c>
      <c r="AV28">
        <v>0.66794660532581429</v>
      </c>
      <c r="AW28">
        <v>0.66497978745714659</v>
      </c>
      <c r="AX28">
        <v>0.6620849473944328</v>
      </c>
      <c r="AY28">
        <v>0.65926033888806157</v>
      </c>
      <c r="AZ28">
        <v>0.65650425805408796</v>
      </c>
      <c r="BA28">
        <v>0.65381504234640198</v>
      </c>
      <c r="BB28">
        <v>0.65119106955383399</v>
      </c>
      <c r="BC28">
        <v>0.64863075682159077</v>
      </c>
      <c r="BD28">
        <v>0.64613255969643246</v>
      </c>
      <c r="BE28">
        <v>0.64369497119501484</v>
      </c>
      <c r="BF28">
        <v>0.64131652089483415</v>
      </c>
      <c r="BG28">
        <v>0.63899577404722641</v>
      </c>
      <c r="BH28">
        <v>0.63673133071188659</v>
      </c>
      <c r="BI28">
        <v>0.63452182491238485</v>
      </c>
      <c r="BJ28">
        <v>0.63236592381217049</v>
      </c>
      <c r="BK28">
        <v>0.63026232691056772</v>
      </c>
      <c r="BL28">
        <v>0.62820976525827632</v>
      </c>
      <c r="BM28">
        <v>0.6262070006919056</v>
      </c>
      <c r="BN28">
        <v>0.62425282508707913</v>
      </c>
      <c r="BO28">
        <v>0.62234605962965994</v>
      </c>
      <c r="BP28">
        <v>0.62048555410465622</v>
      </c>
      <c r="BQ28">
        <v>0.61867018620237924</v>
      </c>
      <c r="BR28">
        <v>0.61689886084143419</v>
      </c>
      <c r="BS28">
        <v>0.61517050950813601</v>
      </c>
      <c r="BT28">
        <v>0.61348408961195167</v>
      </c>
      <c r="BU28">
        <v>0.61183858385658008</v>
      </c>
      <c r="BV28">
        <v>0.61023299962628996</v>
      </c>
      <c r="BW28">
        <v>0.60866636838714605</v>
      </c>
      <c r="BX28">
        <v>0.60713774510276175</v>
      </c>
      <c r="BY28">
        <v>0.60564620766422661</v>
      </c>
      <c r="BZ28">
        <v>0.60419085633386405</v>
      </c>
      <c r="CA28">
        <v>0.60277081320248393</v>
      </c>
      <c r="CB28">
        <v>0.60138522165980302</v>
      </c>
      <c r="CC28">
        <v>0.60003324587771312</v>
      </c>
      <c r="CD28">
        <v>0.59871407030608625</v>
      </c>
      <c r="CE28">
        <v>0.59742689918081127</v>
      </c>
      <c r="CF28">
        <v>0.59617095604376669</v>
      </c>
      <c r="CG28">
        <v>0.59494548327443897</v>
      </c>
      <c r="CH28">
        <v>0.5937497416329045</v>
      </c>
      <c r="CI28">
        <v>0.59258300981389889</v>
      </c>
      <c r="CJ28">
        <v>0.59144458401170519</v>
      </c>
      <c r="CK28">
        <v>0.59033377749559868</v>
      </c>
      <c r="CL28">
        <v>0.58924992019559097</v>
      </c>
      <c r="CM28">
        <v>0.58819235829822514</v>
      </c>
      <c r="CN28">
        <v>0.58716045385217674</v>
      </c>
      <c r="CO28">
        <v>0.58615358438342335</v>
      </c>
      <c r="CP28">
        <v>0.58517114251975089</v>
      </c>
      <c r="CQ28">
        <v>0.58421253562436926</v>
      </c>
      <c r="CR28">
        <v>0.58327718543841711</v>
      </c>
      <c r="CS28">
        <v>0.58236452773213976</v>
      </c>
      <c r="CT28">
        <v>0.58147401196452964</v>
      </c>
      <c r="CU28">
        <v>0.58060510095122431</v>
      </c>
      <c r="CV28">
        <v>0.579757270540462</v>
      </c>
      <c r="CW28">
        <v>0.57893000929689808</v>
      </c>
      <c r="CX28">
        <v>0.57812281819309275</v>
      </c>
      <c r="CY28">
        <v>0.57733521030848367</v>
      </c>
      <c r="CZ28">
        <v>0.57656671053566155</v>
      </c>
      <c r="DA28">
        <v>0.57581685529377202</v>
      </c>
      <c r="DB28">
        <v>0.57508519224887056</v>
      </c>
      <c r="DC28">
        <v>0.57437128004106142</v>
      </c>
      <c r="DD28">
        <v>0.57367468801825738</v>
      </c>
      <c r="DE28">
        <v>0.57299499597639791</v>
      </c>
    </row>
    <row r="29" spans="1:109" x14ac:dyDescent="0.2">
      <c r="A29" t="s">
        <v>479</v>
      </c>
      <c r="B29">
        <v>0.53973793029785155</v>
      </c>
      <c r="C29">
        <v>0.53799314759298256</v>
      </c>
      <c r="D29">
        <v>0.60001314702707664</v>
      </c>
      <c r="E29">
        <v>0.65370755494718091</v>
      </c>
      <c r="F29">
        <v>0.70019400235442864</v>
      </c>
      <c r="G29">
        <v>0.67865430993147102</v>
      </c>
      <c r="H29">
        <v>0.65180428307724736</v>
      </c>
      <c r="I29">
        <v>0.6285586154259849</v>
      </c>
      <c r="J29">
        <v>0.60843345624135092</v>
      </c>
      <c r="K29">
        <v>0.59100990711886037</v>
      </c>
      <c r="L29">
        <v>0.57592530275679277</v>
      </c>
      <c r="M29">
        <v>0.56286566220018563</v>
      </c>
      <c r="N29">
        <v>0.55155915343309725</v>
      </c>
      <c r="O29">
        <v>0.54177043528682556</v>
      </c>
      <c r="P29">
        <v>0.79316411345837001</v>
      </c>
      <c r="Q29">
        <v>0.81383319015276989</v>
      </c>
      <c r="R29">
        <v>0.83243680935552222</v>
      </c>
      <c r="S29">
        <v>0.82783382516609194</v>
      </c>
      <c r="T29">
        <v>0.82433761417572793</v>
      </c>
      <c r="U29">
        <v>0.82186642021739398</v>
      </c>
      <c r="V29">
        <v>0.82034383989581294</v>
      </c>
      <c r="W29">
        <v>0.81969893435478736</v>
      </c>
      <c r="X29">
        <v>0.81986589693497647</v>
      </c>
      <c r="Y29">
        <v>0.82078373087320344</v>
      </c>
      <c r="Z29">
        <v>0.82239593694956958</v>
      </c>
      <c r="AA29">
        <v>0.80674633159495213</v>
      </c>
      <c r="AB29">
        <v>0.79158946958377563</v>
      </c>
      <c r="AC29">
        <v>0.77691153029876281</v>
      </c>
      <c r="AD29">
        <v>0.76269902363529951</v>
      </c>
      <c r="AE29">
        <v>0.74893878461561936</v>
      </c>
      <c r="AF29">
        <v>0.73561796794657019</v>
      </c>
      <c r="AG29">
        <v>0.72272404253286315</v>
      </c>
      <c r="AH29">
        <v>0.71024478595686724</v>
      </c>
      <c r="AI29">
        <v>0.71386672613240643</v>
      </c>
      <c r="AJ29">
        <v>0.71744339205575136</v>
      </c>
      <c r="AK29">
        <v>0.7209753496550545</v>
      </c>
      <c r="AL29">
        <v>0.72446315778436632</v>
      </c>
      <c r="AM29">
        <v>0.72790736831206171</v>
      </c>
      <c r="AN29">
        <v>0.73130852620816089</v>
      </c>
      <c r="AO29">
        <v>0.73466716963055889</v>
      </c>
      <c r="AP29">
        <v>0.73798383001017687</v>
      </c>
      <c r="AQ29">
        <v>0.74125903213504962</v>
      </c>
      <c r="AR29">
        <v>0.74449329423336152</v>
      </c>
      <c r="AS29">
        <v>0.74768712805544446</v>
      </c>
      <c r="AT29">
        <v>0.75084103895475141</v>
      </c>
      <c r="AU29">
        <v>0.75395552596781701</v>
      </c>
      <c r="AV29">
        <v>0.75703108189321933</v>
      </c>
      <c r="AW29">
        <v>0.76006819336955411</v>
      </c>
      <c r="AX29">
        <v>0.76306734095243467</v>
      </c>
      <c r="AY29">
        <v>0.76602899919052925</v>
      </c>
      <c r="AZ29">
        <v>0.76895363670064765</v>
      </c>
      <c r="BA29">
        <v>0.77184171624188957</v>
      </c>
      <c r="BB29">
        <v>0.77469369478886596</v>
      </c>
      <c r="BC29">
        <v>0.77751002360400512</v>
      </c>
      <c r="BD29">
        <v>0.78029114830895507</v>
      </c>
      <c r="BE29">
        <v>0.78303750895509316</v>
      </c>
      <c r="BF29">
        <v>0.78574954009315445</v>
      </c>
      <c r="BG29">
        <v>0.78842767084199006</v>
      </c>
      <c r="BH29">
        <v>0.79107232495646518</v>
      </c>
      <c r="BI29">
        <v>0.79368392089450934</v>
      </c>
      <c r="BJ29">
        <v>0.79626287188332801</v>
      </c>
      <c r="BK29">
        <v>0.79880958598478635</v>
      </c>
      <c r="BL29">
        <v>0.80132446615997655</v>
      </c>
      <c r="BM29">
        <v>0.80380791033297683</v>
      </c>
      <c r="BN29">
        <v>0.8062603114538146</v>
      </c>
      <c r="BO29">
        <v>0.80868205756064193</v>
      </c>
      <c r="BP29">
        <v>0.81107353184113395</v>
      </c>
      <c r="BQ29">
        <v>0.81343511269311974</v>
      </c>
      <c r="BR29">
        <v>0.81576717378445573</v>
      </c>
      <c r="BS29">
        <v>0.81807008411214999</v>
      </c>
      <c r="BT29">
        <v>0.82034420806074815</v>
      </c>
      <c r="BU29">
        <v>0.82258990545998878</v>
      </c>
      <c r="BV29">
        <v>0.82480753164173892</v>
      </c>
      <c r="BW29">
        <v>0.82699743749621724</v>
      </c>
      <c r="BX29">
        <v>0.82915996952751447</v>
      </c>
      <c r="BY29">
        <v>0.83129546990842051</v>
      </c>
      <c r="BZ29">
        <v>0.83340427653456528</v>
      </c>
      <c r="CA29">
        <v>0.83548672307788319</v>
      </c>
      <c r="CB29">
        <v>0.83754313903940969</v>
      </c>
      <c r="CC29">
        <v>0.83957384980141703</v>
      </c>
      <c r="CD29">
        <v>0.84157917667889937</v>
      </c>
      <c r="CE29">
        <v>0.84355943697041313</v>
      </c>
      <c r="CF29">
        <v>0.84551494400828298</v>
      </c>
      <c r="CG29">
        <v>0.84744600720817942</v>
      </c>
      <c r="CH29">
        <v>0.84935293211807716</v>
      </c>
      <c r="CI29">
        <v>0.85123602046660118</v>
      </c>
      <c r="CJ29">
        <v>0.85309557021076865</v>
      </c>
      <c r="CK29">
        <v>0.85493187558313399</v>
      </c>
      <c r="CL29">
        <v>0.85674522713834478</v>
      </c>
      <c r="CM29">
        <v>0.85853591179911548</v>
      </c>
      <c r="CN29">
        <v>0.86030421290162651</v>
      </c>
      <c r="CO29">
        <v>0.86205041024035622</v>
      </c>
      <c r="CP29">
        <v>0.86377478011235176</v>
      </c>
      <c r="CQ29">
        <v>0.86547759536094737</v>
      </c>
      <c r="CR29">
        <v>0.86715912541893558</v>
      </c>
      <c r="CS29">
        <v>0.86881963635119885</v>
      </c>
      <c r="CT29">
        <v>0.8704593908968089</v>
      </c>
      <c r="CU29">
        <v>0.8720786485105988</v>
      </c>
      <c r="CV29">
        <v>0.87367766540421632</v>
      </c>
      <c r="CW29">
        <v>0.87525669458666366</v>
      </c>
      <c r="CX29">
        <v>0.87681598590433041</v>
      </c>
      <c r="CY29">
        <v>0.87835578608052622</v>
      </c>
      <c r="CZ29">
        <v>0.87987633875451965</v>
      </c>
      <c r="DA29">
        <v>0.88137788452008814</v>
      </c>
      <c r="DB29">
        <v>0.88286066096358706</v>
      </c>
      <c r="DC29">
        <v>0.88432490270154218</v>
      </c>
      <c r="DD29">
        <v>0.88577084141777296</v>
      </c>
      <c r="DE29">
        <v>0.88719870590005079</v>
      </c>
    </row>
    <row r="30" spans="1:109" x14ac:dyDescent="0.2">
      <c r="A30" t="s">
        <v>480</v>
      </c>
      <c r="B30">
        <v>0.68254425048828127</v>
      </c>
      <c r="C30">
        <v>0.60972951698798816</v>
      </c>
      <c r="D30">
        <v>0.57130248649228776</v>
      </c>
      <c r="E30">
        <v>0.58423724247617947</v>
      </c>
      <c r="F30">
        <v>0.64004941463770471</v>
      </c>
      <c r="G30">
        <v>0.67635301685780713</v>
      </c>
      <c r="H30">
        <v>0.71900936389050063</v>
      </c>
      <c r="I30">
        <v>0.75672966825764043</v>
      </c>
      <c r="J30">
        <v>0.78938638267299543</v>
      </c>
      <c r="K30">
        <v>0.81765924563894488</v>
      </c>
      <c r="L30">
        <v>0.84213674726769161</v>
      </c>
      <c r="M30">
        <v>0.86332837850457356</v>
      </c>
      <c r="N30">
        <v>0.88167523601034836</v>
      </c>
      <c r="O30">
        <v>0.89755920343949913</v>
      </c>
      <c r="P30">
        <v>0.29716283696870005</v>
      </c>
      <c r="Q30">
        <v>0.29187206716090075</v>
      </c>
      <c r="R30">
        <v>0.28668866971547141</v>
      </c>
      <c r="S30">
        <v>0.30555773032620637</v>
      </c>
      <c r="T30">
        <v>0.32313705048649333</v>
      </c>
      <c r="U30">
        <v>0.33952103372860204</v>
      </c>
      <c r="V30">
        <v>0.35479647801110686</v>
      </c>
      <c r="W30">
        <v>0.36904327867615033</v>
      </c>
      <c r="X30">
        <v>0.38233505318792926</v>
      </c>
      <c r="Y30">
        <v>0.39473969842433143</v>
      </c>
      <c r="Z30">
        <v>0.4063198894843002</v>
      </c>
      <c r="AA30">
        <v>0.40827726686403903</v>
      </c>
      <c r="AB30">
        <v>0.41018026313032652</v>
      </c>
      <c r="AC30">
        <v>0.41203032710589221</v>
      </c>
      <c r="AD30">
        <v>0.41382886989135143</v>
      </c>
      <c r="AE30">
        <v>0.41557726583660592</v>
      </c>
      <c r="AF30">
        <v>0.4172768534872634</v>
      </c>
      <c r="AG30">
        <v>0.41892893650672397</v>
      </c>
      <c r="AH30">
        <v>0.42053478457456467</v>
      </c>
      <c r="AI30">
        <v>0.42402444957147783</v>
      </c>
      <c r="AJ30">
        <v>0.42744743765118837</v>
      </c>
      <c r="AK30">
        <v>0.43080502737960064</v>
      </c>
      <c r="AL30">
        <v>0.4340984714594216</v>
      </c>
      <c r="AM30">
        <v>0.43732899732739555</v>
      </c>
      <c r="AN30">
        <v>0.44049780773509145</v>
      </c>
      <c r="AO30">
        <v>0.44360608131374829</v>
      </c>
      <c r="AP30">
        <v>0.44665497312367047</v>
      </c>
      <c r="AQ30">
        <v>0.45502670872749285</v>
      </c>
      <c r="AR30">
        <v>0.4632380284568362</v>
      </c>
      <c r="AS30">
        <v>0.47129779714508069</v>
      </c>
      <c r="AT30">
        <v>0.4792144609288036</v>
      </c>
      <c r="AU30">
        <v>0.48699607118067584</v>
      </c>
      <c r="AV30">
        <v>0.49465030659925463</v>
      </c>
      <c r="AW30">
        <v>0.50218449362924678</v>
      </c>
      <c r="AX30">
        <v>0.50960562536654086</v>
      </c>
      <c r="AY30">
        <v>0.51692037908548572</v>
      </c>
      <c r="AZ30">
        <v>0.52413513251117705</v>
      </c>
      <c r="BA30">
        <v>0.5312559789466117</v>
      </c>
      <c r="BB30">
        <v>0.53828874135322535</v>
      </c>
      <c r="BC30">
        <v>0.54523898547334182</v>
      </c>
      <c r="BD30">
        <v>0.55211203207423776</v>
      </c>
      <c r="BE30">
        <v>0.55891296838572757</v>
      </c>
      <c r="BF30">
        <v>0.56564665879625231</v>
      </c>
      <c r="BG30">
        <v>0.57231775486631387</v>
      </c>
      <c r="BH30">
        <v>0.57893070471262431</v>
      </c>
      <c r="BI30">
        <v>0.58548976181146695</v>
      </c>
      <c r="BJ30">
        <v>0.5919989932654055</v>
      </c>
      <c r="BK30">
        <v>0.59846228757358255</v>
      </c>
      <c r="BL30">
        <v>0.60488336194235104</v>
      </c>
      <c r="BM30">
        <v>0.61126576916984421</v>
      </c>
      <c r="BN30">
        <v>0.61761290413526715</v>
      </c>
      <c r="BO30">
        <v>0.62392800992114616</v>
      </c>
      <c r="BP30">
        <v>0.63021418359447978</v>
      </c>
      <c r="BQ30">
        <v>0.6364743816706554</v>
      </c>
      <c r="BR30">
        <v>0.64271142528212077</v>
      </c>
      <c r="BS30">
        <v>0.64892800507209136</v>
      </c>
      <c r="BT30">
        <v>0.65512668583202982</v>
      </c>
      <c r="BU30">
        <v>0.66130991090022528</v>
      </c>
      <c r="BV30">
        <v>0.6674800063375167</v>
      </c>
      <c r="BW30">
        <v>0.6736391848950366</v>
      </c>
      <c r="BX30">
        <v>0.67978954978777995</v>
      </c>
      <c r="BY30">
        <v>0.68593309828682691</v>
      </c>
      <c r="BZ30">
        <v>0.69207172514215032</v>
      </c>
      <c r="CA30">
        <v>0.6982072258471147</v>
      </c>
      <c r="CB30">
        <v>0.70434129975501925</v>
      </c>
      <c r="CC30">
        <v>0.71047555305733934</v>
      </c>
      <c r="CD30">
        <v>0.71661150163267728</v>
      </c>
      <c r="CE30">
        <v>0.72275057377484275</v>
      </c>
      <c r="CF30">
        <v>0.72889411280793182</v>
      </c>
      <c r="CG30">
        <v>0.7350433795957666</v>
      </c>
      <c r="CH30">
        <v>0.7410981729595012</v>
      </c>
      <c r="CI30">
        <v>0.74701460207847159</v>
      </c>
      <c r="CJ30">
        <v>0.75279582885483998</v>
      </c>
      <c r="CK30">
        <v>0.75844494293492482</v>
      </c>
      <c r="CL30">
        <v>0.7639649633603921</v>
      </c>
      <c r="CM30">
        <v>0.76935884018171463</v>
      </c>
      <c r="CN30">
        <v>0.77462945603475974</v>
      </c>
      <c r="CO30">
        <v>0.77977962768134901</v>
      </c>
      <c r="CP30">
        <v>0.78481210751461317</v>
      </c>
      <c r="CQ30">
        <v>0.78972958502994661</v>
      </c>
      <c r="CR30">
        <v>0.79453468826234752</v>
      </c>
      <c r="CS30">
        <v>0.79922998519091193</v>
      </c>
      <c r="CT30">
        <v>0.80381798511123226</v>
      </c>
      <c r="CU30">
        <v>0.80830113997643382</v>
      </c>
      <c r="CV30">
        <v>0.81268184570756574</v>
      </c>
      <c r="CW30">
        <v>0.81696244347404723</v>
      </c>
      <c r="CX30">
        <v>0.82114522094485254</v>
      </c>
      <c r="CY30">
        <v>0.8252324135111041</v>
      </c>
      <c r="CZ30">
        <v>0.82922620548072712</v>
      </c>
      <c r="DA30">
        <v>0.83312873124580344</v>
      </c>
      <c r="DB30">
        <v>0.83694207642324947</v>
      </c>
      <c r="DC30">
        <v>0.84066827896942709</v>
      </c>
      <c r="DD30">
        <v>0.84430933026928323</v>
      </c>
      <c r="DE30">
        <v>0.84786717620060115</v>
      </c>
    </row>
    <row r="31" spans="1:109" x14ac:dyDescent="0.2">
      <c r="A31" t="s">
        <v>481</v>
      </c>
      <c r="B31">
        <v>0.33077934265136721</v>
      </c>
      <c r="C31">
        <v>0.32803417387110301</v>
      </c>
      <c r="D31">
        <v>0.30214063634924154</v>
      </c>
      <c r="E31">
        <v>0.29663787013087478</v>
      </c>
      <c r="F31">
        <v>0.32493634080901412</v>
      </c>
      <c r="G31">
        <v>0.32015063355080081</v>
      </c>
      <c r="H31">
        <v>0.35436974366382412</v>
      </c>
      <c r="I31">
        <v>0.38233720949576261</v>
      </c>
      <c r="J31">
        <v>0.40555946400022264</v>
      </c>
      <c r="K31">
        <v>0.42568158560073938</v>
      </c>
      <c r="L31">
        <v>0.44391233863488011</v>
      </c>
      <c r="M31">
        <v>0.46112616367838338</v>
      </c>
      <c r="N31">
        <v>0.47796298899568002</v>
      </c>
      <c r="O31">
        <v>0.49489221111514847</v>
      </c>
      <c r="P31">
        <v>0.49036528050372619</v>
      </c>
      <c r="Q31">
        <v>0.49012190515906884</v>
      </c>
      <c r="R31">
        <v>0.48957852202028007</v>
      </c>
      <c r="S31">
        <v>0.49495461529800522</v>
      </c>
      <c r="T31">
        <v>0.5013822325086873</v>
      </c>
      <c r="U31">
        <v>0.50879014540575318</v>
      </c>
      <c r="V31">
        <v>0.51711671205152299</v>
      </c>
      <c r="W31">
        <v>0.52630985179461487</v>
      </c>
      <c r="X31">
        <v>0.53632621379288647</v>
      </c>
      <c r="Y31">
        <v>0.54683210463194454</v>
      </c>
      <c r="Z31">
        <v>0.55709995367177756</v>
      </c>
      <c r="AA31">
        <v>0.50757813743691016</v>
      </c>
      <c r="AB31">
        <v>0.46395666967891563</v>
      </c>
      <c r="AC31">
        <v>0.42546413502712027</v>
      </c>
      <c r="AD31">
        <v>0.39143261251836287</v>
      </c>
      <c r="AE31">
        <v>0.36128374089809034</v>
      </c>
      <c r="AF31">
        <v>0.33451663666395726</v>
      </c>
      <c r="AG31">
        <v>0.31069742730845784</v>
      </c>
      <c r="AH31">
        <v>0.28945019032848007</v>
      </c>
      <c r="AI31">
        <v>0.30209184632541963</v>
      </c>
      <c r="AJ31">
        <v>0.31450858991766956</v>
      </c>
      <c r="AK31">
        <v>0.32670442260549182</v>
      </c>
      <c r="AL31">
        <v>0.33868327469696863</v>
      </c>
      <c r="AM31">
        <v>0.35044900657460898</v>
      </c>
      <c r="AN31">
        <v>0.36200540993942049</v>
      </c>
      <c r="AO31">
        <v>0.37335620903284761</v>
      </c>
      <c r="AP31">
        <v>0.38450506183696981</v>
      </c>
      <c r="AQ31">
        <v>0.38325797796373112</v>
      </c>
      <c r="AR31">
        <v>0.38243905687880508</v>
      </c>
      <c r="AS31">
        <v>0.38200668229086449</v>
      </c>
      <c r="AT31">
        <v>0.38192407711859927</v>
      </c>
      <c r="AU31">
        <v>0.38215893772275367</v>
      </c>
      <c r="AV31">
        <v>0.38268307603127061</v>
      </c>
      <c r="AW31">
        <v>0.38347207625530405</v>
      </c>
      <c r="AX31">
        <v>0.38450497064182648</v>
      </c>
      <c r="AY31">
        <v>0.38576393701185863</v>
      </c>
      <c r="AZ31">
        <v>0.38723401957024312</v>
      </c>
      <c r="BA31">
        <v>0.38890287354735198</v>
      </c>
      <c r="BB31">
        <v>0.390760533569392</v>
      </c>
      <c r="BC31">
        <v>0.39279920519230072</v>
      </c>
      <c r="BD31">
        <v>0.39501307872755109</v>
      </c>
      <c r="BE31">
        <v>0.39739816429954045</v>
      </c>
      <c r="BF31">
        <v>0.39995214697468739</v>
      </c>
      <c r="BG31">
        <v>0.40267426076933971</v>
      </c>
      <c r="BH31">
        <v>0.40556518035963529</v>
      </c>
      <c r="BI31">
        <v>0.40862692936811679</v>
      </c>
      <c r="BJ31">
        <v>0.41186280417895427</v>
      </c>
      <c r="BK31">
        <v>0.41527731232840209</v>
      </c>
      <c r="BL31">
        <v>0.4188761246239438</v>
      </c>
      <c r="BM31">
        <v>0.42266604026040749</v>
      </c>
      <c r="BN31">
        <v>0.42665496432137523</v>
      </c>
      <c r="BO31">
        <v>0.43085189717768391</v>
      </c>
      <c r="BP31">
        <v>0.43526693542075107</v>
      </c>
      <c r="BQ31">
        <v>0.43991128409653218</v>
      </c>
      <c r="BR31">
        <v>0.44479728013634101</v>
      </c>
      <c r="BS31">
        <v>0.44993842701419562</v>
      </c>
      <c r="BT31">
        <v>0.45534944079784007</v>
      </c>
      <c r="BU31">
        <v>0.46104630790353107</v>
      </c>
      <c r="BV31">
        <v>0.46704389580948047</v>
      </c>
      <c r="BW31">
        <v>0.47335393349706656</v>
      </c>
      <c r="BX31">
        <v>0.47998917198545299</v>
      </c>
      <c r="BY31">
        <v>0.48696341796759057</v>
      </c>
      <c r="BZ31">
        <v>0.49429157286819952</v>
      </c>
      <c r="CA31">
        <v>0.50189976731854746</v>
      </c>
      <c r="CB31">
        <v>0.50939349932435474</v>
      </c>
      <c r="CC31">
        <v>0.51677449093035832</v>
      </c>
      <c r="CD31">
        <v>0.52404443827377489</v>
      </c>
      <c r="CE31">
        <v>0.53120501197407033</v>
      </c>
      <c r="CF31">
        <v>0.53825785751686417</v>
      </c>
      <c r="CG31">
        <v>0.54520459563205947</v>
      </c>
      <c r="CH31">
        <v>0.55204682266628313</v>
      </c>
      <c r="CI31">
        <v>0.55878611094972297</v>
      </c>
      <c r="CJ31">
        <v>0.56542400915744628</v>
      </c>
      <c r="CK31">
        <v>0.57196204266528239</v>
      </c>
      <c r="CL31">
        <v>0.57840171390035067</v>
      </c>
      <c r="CM31">
        <v>0.58474450268631561</v>
      </c>
      <c r="CN31">
        <v>0.59099186658344727</v>
      </c>
      <c r="CO31">
        <v>0.59714524122356571</v>
      </c>
      <c r="CP31">
        <v>0.60320604063994621</v>
      </c>
      <c r="CQ31">
        <v>0.60917565759226167</v>
      </c>
      <c r="CR31">
        <v>0.61505546388663546</v>
      </c>
      <c r="CS31">
        <v>0.62084681069088032</v>
      </c>
      <c r="CT31">
        <v>0.62655102884499381</v>
      </c>
      <c r="CU31">
        <v>0.63216942916698249</v>
      </c>
      <c r="CV31">
        <v>0.63770330275408549</v>
      </c>
      <c r="CW31">
        <v>0.64315392127946625</v>
      </c>
      <c r="CX31">
        <v>0.6485225372844402</v>
      </c>
      <c r="CY31">
        <v>0.65381038446630646</v>
      </c>
      <c r="CZ31">
        <v>0.65901867796184888</v>
      </c>
      <c r="DA31">
        <v>0.66414861462657215</v>
      </c>
      <c r="DB31">
        <v>0.66920137330973695</v>
      </c>
      <c r="DC31">
        <v>0.67417811512525672</v>
      </c>
      <c r="DD31">
        <v>0.67907998371851996</v>
      </c>
      <c r="DE31">
        <v>0.68390810552919723</v>
      </c>
    </row>
    <row r="32" spans="1:109" x14ac:dyDescent="0.2">
      <c r="A32" t="s">
        <v>482</v>
      </c>
      <c r="B32">
        <v>0.72533958435058599</v>
      </c>
      <c r="C32">
        <v>0.63960987295360372</v>
      </c>
      <c r="D32">
        <v>0.56659169018303568</v>
      </c>
      <c r="E32">
        <v>0.5129405657093622</v>
      </c>
      <c r="F32">
        <v>0.45594386231060652</v>
      </c>
      <c r="G32">
        <v>0.49634242524750749</v>
      </c>
      <c r="H32">
        <v>0.4456169632049467</v>
      </c>
      <c r="I32">
        <v>0.4041639238458668</v>
      </c>
      <c r="J32">
        <v>0.37052341551692836</v>
      </c>
      <c r="K32">
        <v>0.34353281904133137</v>
      </c>
      <c r="L32">
        <v>0.32237547562360019</v>
      </c>
      <c r="M32">
        <v>0.30652480511459212</v>
      </c>
      <c r="N32">
        <v>0.29570771317660277</v>
      </c>
      <c r="O32">
        <v>0.28987531806997408</v>
      </c>
      <c r="P32">
        <v>0.52394420849726187</v>
      </c>
      <c r="Q32">
        <v>0.51760852435126004</v>
      </c>
      <c r="R32">
        <v>0.5112353010965468</v>
      </c>
      <c r="S32">
        <v>0.50929921645246823</v>
      </c>
      <c r="T32">
        <v>0.50732785258412771</v>
      </c>
      <c r="U32">
        <v>0.50532435010476884</v>
      </c>
      <c r="V32">
        <v>0.50329175700260953</v>
      </c>
      <c r="W32">
        <v>0.50123319631002594</v>
      </c>
      <c r="X32">
        <v>0.4991518261662054</v>
      </c>
      <c r="Y32">
        <v>0.49705081090593406</v>
      </c>
      <c r="Z32">
        <v>0.49493329886926929</v>
      </c>
      <c r="AA32">
        <v>0.50124663263340341</v>
      </c>
      <c r="AB32">
        <v>0.50748104972548591</v>
      </c>
      <c r="AC32">
        <v>0.51363753660391731</v>
      </c>
      <c r="AD32">
        <v>0.51971706739636836</v>
      </c>
      <c r="AE32">
        <v>0.52572060405391374</v>
      </c>
      <c r="AF32">
        <v>0.53164909650323977</v>
      </c>
      <c r="AG32">
        <v>0.53750348279694926</v>
      </c>
      <c r="AH32">
        <v>0.54328468926198736</v>
      </c>
      <c r="AI32">
        <v>0.53737132429189394</v>
      </c>
      <c r="AJ32">
        <v>0.5317478244262358</v>
      </c>
      <c r="AK32">
        <v>0.52640131504449461</v>
      </c>
      <c r="AL32">
        <v>0.52131950540240135</v>
      </c>
      <c r="AM32">
        <v>0.51649066276167321</v>
      </c>
      <c r="AN32">
        <v>0.5119035877854845</v>
      </c>
      <c r="AO32">
        <v>0.50754759110327197</v>
      </c>
      <c r="AP32">
        <v>0.50341247096129482</v>
      </c>
      <c r="AQ32">
        <v>0.50283959596521288</v>
      </c>
      <c r="AR32">
        <v>0.50232727450698178</v>
      </c>
      <c r="AS32">
        <v>0.5018741008970462</v>
      </c>
      <c r="AT32">
        <v>0.50147891783778697</v>
      </c>
      <c r="AU32">
        <v>0.50114079397160705</v>
      </c>
      <c r="AV32">
        <v>0.50085900446103004</v>
      </c>
      <c r="AW32">
        <v>0.50063301414300221</v>
      </c>
      <c r="AX32">
        <v>0.5004624628854033</v>
      </c>
      <c r="AY32">
        <v>0.50034715284119224</v>
      </c>
      <c r="AZ32">
        <v>0.50028703734908331</v>
      </c>
      <c r="BA32">
        <v>0.50028221127244299</v>
      </c>
      <c r="BB32">
        <v>0.50033290260263108</v>
      </c>
      <c r="BC32">
        <v>0.50043946518110738</v>
      </c>
      <c r="BD32">
        <v>0.50060237241766392</v>
      </c>
      <c r="BE32">
        <v>0.50082221190116849</v>
      </c>
      <c r="BF32">
        <v>0.50109968081503831</v>
      </c>
      <c r="BG32">
        <v>0.50143558208292704</v>
      </c>
      <c r="BH32">
        <v>0.50183082118130284</v>
      </c>
      <c r="BI32">
        <v>0.50228640356510623</v>
      </c>
      <c r="BJ32">
        <v>0.50280343266082006</v>
      </c>
      <c r="BK32">
        <v>0.5033831083883018</v>
      </c>
      <c r="BL32">
        <v>0.50402672617882738</v>
      </c>
      <c r="BM32">
        <v>0.50473567646213247</v>
      </c>
      <c r="BN32">
        <v>0.50551144459995412</v>
      </c>
      <c r="BO32">
        <v>0.50635561124776995</v>
      </c>
      <c r="BP32">
        <v>0.50726985313020523</v>
      </c>
      <c r="BQ32">
        <v>0.50825594421900366</v>
      </c>
      <c r="BR32">
        <v>0.50931575730559486</v>
      </c>
      <c r="BS32">
        <v>0.51045126596320134</v>
      </c>
      <c r="BT32">
        <v>0.51166454689615382</v>
      </c>
      <c r="BU32">
        <v>0.51295778267666681</v>
      </c>
      <c r="BV32">
        <v>0.51433059423789329</v>
      </c>
      <c r="BW32">
        <v>0.51577808237297984</v>
      </c>
      <c r="BX32">
        <v>0.51729554871372718</v>
      </c>
      <c r="BY32">
        <v>0.51887848847099027</v>
      </c>
      <c r="BZ32">
        <v>0.52052258342644131</v>
      </c>
      <c r="CA32">
        <v>0.52222369516697509</v>
      </c>
      <c r="CB32">
        <v>0.52397785855334678</v>
      </c>
      <c r="CC32">
        <v>0.52578127541493547</v>
      </c>
      <c r="CD32">
        <v>0.52763030846281644</v>
      </c>
      <c r="CE32">
        <v>0.52952147541360262</v>
      </c>
      <c r="CF32">
        <v>0.53145144331678729</v>
      </c>
      <c r="CG32">
        <v>0.53341702307857497</v>
      </c>
      <c r="CH32">
        <v>0.53541516417543789</v>
      </c>
      <c r="CI32">
        <v>0.53744294955087613</v>
      </c>
      <c r="CJ32">
        <v>0.53949759068908609</v>
      </c>
      <c r="CK32">
        <v>0.54157642285946828</v>
      </c>
      <c r="CL32">
        <v>0.54367690052611539</v>
      </c>
      <c r="CM32">
        <v>0.54579659291662985</v>
      </c>
      <c r="CN32">
        <v>0.54793317974481648</v>
      </c>
      <c r="CO32">
        <v>0.55008444708198767</v>
      </c>
      <c r="CP32">
        <v>0.55224828337180198</v>
      </c>
      <c r="CQ32">
        <v>0.55442267558373381</v>
      </c>
      <c r="CR32">
        <v>0.55660570550044319</v>
      </c>
      <c r="CS32">
        <v>0.55879554613447813</v>
      </c>
      <c r="CT32">
        <v>0.56099045826990079</v>
      </c>
      <c r="CU32">
        <v>0.5631887871245822</v>
      </c>
      <c r="CV32">
        <v>0.56538895912905518</v>
      </c>
      <c r="CW32">
        <v>0.56758947881795985</v>
      </c>
      <c r="CX32">
        <v>0.5697889258302502</v>
      </c>
      <c r="CY32">
        <v>0.57198595201446356</v>
      </c>
      <c r="CZ32">
        <v>0.57417927863548124</v>
      </c>
      <c r="DA32">
        <v>0.57636769367933127</v>
      </c>
      <c r="DB32">
        <v>0.57855004925270226</v>
      </c>
      <c r="DC32">
        <v>0.58072525907395167</v>
      </c>
      <c r="DD32">
        <v>0.58289229605250115</v>
      </c>
      <c r="DE32">
        <v>0.58505018995361813</v>
      </c>
    </row>
    <row r="33" spans="1:109" x14ac:dyDescent="0.2">
      <c r="A33" t="s">
        <v>483</v>
      </c>
      <c r="B33">
        <v>0.34302524566650389</v>
      </c>
      <c r="C33">
        <v>0.42829046174151414</v>
      </c>
      <c r="D33">
        <v>0.50503699711112449</v>
      </c>
      <c r="E33">
        <v>0.49577803398737935</v>
      </c>
      <c r="F33">
        <v>0.53048428252988789</v>
      </c>
      <c r="G33">
        <v>0.49567155937933915</v>
      </c>
      <c r="H33">
        <v>0.48700776664342826</v>
      </c>
      <c r="I33">
        <v>0.4860368918190367</v>
      </c>
      <c r="J33">
        <v>0.49142378528445269</v>
      </c>
      <c r="K33">
        <v>0.50168788957552579</v>
      </c>
      <c r="L33">
        <v>0.51557548458977809</v>
      </c>
      <c r="M33">
        <v>0.53204329195550548</v>
      </c>
      <c r="N33">
        <v>0.55023415282154808</v>
      </c>
      <c r="O33">
        <v>0.5694530428406015</v>
      </c>
      <c r="P33">
        <v>0.91722509031563249</v>
      </c>
      <c r="Q33">
        <v>0.92757195402617842</v>
      </c>
      <c r="R33">
        <v>0.93662545977290612</v>
      </c>
      <c r="S33">
        <v>0.93784626853634134</v>
      </c>
      <c r="T33">
        <v>0.93855598330694512</v>
      </c>
      <c r="U33">
        <v>0.93808756048642483</v>
      </c>
      <c r="V33">
        <v>0.93663305540258668</v>
      </c>
      <c r="W33">
        <v>0.93434397608822495</v>
      </c>
      <c r="X33">
        <v>0.93134664763013575</v>
      </c>
      <c r="Y33">
        <v>0.92774423451237698</v>
      </c>
      <c r="Z33">
        <v>0.9236216038127123</v>
      </c>
      <c r="AA33">
        <v>0.92457633376505344</v>
      </c>
      <c r="AB33">
        <v>0.92551912959299032</v>
      </c>
      <c r="AC33">
        <v>0.92645014047307794</v>
      </c>
      <c r="AD33">
        <v>0.92736951371716447</v>
      </c>
      <c r="AE33">
        <v>0.92827739479569993</v>
      </c>
      <c r="AF33">
        <v>0.92917392736075366</v>
      </c>
      <c r="AG33">
        <v>0.93005925326874428</v>
      </c>
      <c r="AH33">
        <v>0.93093351260288493</v>
      </c>
      <c r="AI33">
        <v>0.93590505340042129</v>
      </c>
      <c r="AJ33">
        <v>0.94051873297128985</v>
      </c>
      <c r="AK33">
        <v>0.94480031086625516</v>
      </c>
      <c r="AL33">
        <v>0.94877369241325427</v>
      </c>
      <c r="AM33">
        <v>0.95246106218798088</v>
      </c>
      <c r="AN33">
        <v>0.95588300787699632</v>
      </c>
      <c r="AO33">
        <v>0.95905863522493162</v>
      </c>
      <c r="AP33">
        <v>0.9620056747075646</v>
      </c>
      <c r="AQ33">
        <v>0.96209116663292937</v>
      </c>
      <c r="AR33">
        <v>0.96153705876470064</v>
      </c>
      <c r="AS33">
        <v>0.96040486951907789</v>
      </c>
      <c r="AT33">
        <v>0.95874917282115701</v>
      </c>
      <c r="AU33">
        <v>0.9566185420581228</v>
      </c>
      <c r="AV33">
        <v>0.95405634089941282</v>
      </c>
      <c r="AW33">
        <v>0.95110138985273696</v>
      </c>
      <c r="AX33">
        <v>0.94778853127781781</v>
      </c>
      <c r="AY33">
        <v>0.94414911088185849</v>
      </c>
      <c r="AZ33">
        <v>0.94021139009907839</v>
      </c>
      <c r="BA33">
        <v>0.93600090094189248</v>
      </c>
      <c r="BB33">
        <v>0.93154075270695158</v>
      </c>
      <c r="BC33">
        <v>0.9268518981805457</v>
      </c>
      <c r="BD33">
        <v>0.921953365607175</v>
      </c>
      <c r="BE33">
        <v>0.91686246158170093</v>
      </c>
      <c r="BF33">
        <v>0.91159494913839789</v>
      </c>
      <c r="BG33">
        <v>0.90616520459296501</v>
      </c>
      <c r="BH33">
        <v>0.90058635611047222</v>
      </c>
      <c r="BI33">
        <v>0.8948704064957792</v>
      </c>
      <c r="BJ33">
        <v>0.88902834231175931</v>
      </c>
      <c r="BK33">
        <v>0.88307023110795568</v>
      </c>
      <c r="BL33">
        <v>0.87700530827490264</v>
      </c>
      <c r="BM33">
        <v>0.87084205481685673</v>
      </c>
      <c r="BN33">
        <v>0.86458826714979842</v>
      </c>
      <c r="BO33">
        <v>0.85825111987566483</v>
      </c>
      <c r="BP33">
        <v>0.85183722235253712</v>
      </c>
      <c r="BQ33">
        <v>0.84535266976963164</v>
      </c>
      <c r="BR33">
        <v>0.83880308934195846</v>
      </c>
      <c r="BS33">
        <v>0.83219368215957101</v>
      </c>
      <c r="BT33">
        <v>0.8255292611581293</v>
      </c>
      <c r="BU33">
        <v>0.81881428561912883</v>
      </c>
      <c r="BV33">
        <v>0.81205289255804647</v>
      </c>
      <c r="BW33">
        <v>0.80524897433380649</v>
      </c>
      <c r="BX33">
        <v>0.79840628278233006</v>
      </c>
      <c r="BY33">
        <v>0.79152843779908699</v>
      </c>
      <c r="BZ33">
        <v>0.78461893491685475</v>
      </c>
      <c r="CA33">
        <v>0.77768115200883514</v>
      </c>
      <c r="CB33">
        <v>0.7707183552310517</v>
      </c>
      <c r="CC33">
        <v>0.76373370430367826</v>
      </c>
      <c r="CD33">
        <v>0.75673025721840281</v>
      </c>
      <c r="CE33">
        <v>0.74971097444790036</v>
      </c>
      <c r="CF33">
        <v>0.74267872272379143</v>
      </c>
      <c r="CG33">
        <v>0.73563627844094737</v>
      </c>
      <c r="CH33">
        <v>0.72858633073852463</v>
      </c>
      <c r="CI33">
        <v>0.72153251300300802</v>
      </c>
      <c r="CJ33">
        <v>0.71447871756482306</v>
      </c>
      <c r="CK33">
        <v>0.70742859682072534</v>
      </c>
      <c r="CL33">
        <v>0.70038557871812834</v>
      </c>
      <c r="CM33">
        <v>0.69335288099253045</v>
      </c>
      <c r="CN33">
        <v>0.68633352428110472</v>
      </c>
      <c r="CO33">
        <v>0.67933034422145044</v>
      </c>
      <c r="CP33">
        <v>0.67234600263222588</v>
      </c>
      <c r="CQ33">
        <v>0.66538299786164135</v>
      </c>
      <c r="CR33">
        <v>0.65844367438038021</v>
      </c>
      <c r="CS33">
        <v>0.65153023168725632</v>
      </c>
      <c r="CT33">
        <v>0.64464473258865396</v>
      </c>
      <c r="CU33">
        <v>0.637789110906399</v>
      </c>
      <c r="CV33">
        <v>0.63096517866306945</v>
      </c>
      <c r="CW33">
        <v>0.62417463278876661</v>
      </c>
      <c r="CX33">
        <v>0.61741906138895719</v>
      </c>
      <c r="CY33">
        <v>0.61069994960908536</v>
      </c>
      <c r="CZ33">
        <v>0.60401868512818147</v>
      </c>
      <c r="DA33">
        <v>0.59737656331060884</v>
      </c>
      <c r="DB33">
        <v>0.59077479204233907</v>
      </c>
      <c r="DC33">
        <v>0.58421508961577007</v>
      </c>
      <c r="DD33">
        <v>0.57770034841165774</v>
      </c>
      <c r="DE33">
        <v>0.57123319638099535</v>
      </c>
    </row>
    <row r="34" spans="1:109" x14ac:dyDescent="0.2">
      <c r="A34" t="s">
        <v>484</v>
      </c>
      <c r="B34">
        <v>0.81556205749511723</v>
      </c>
      <c r="C34">
        <v>0.81544634853073472</v>
      </c>
      <c r="D34">
        <v>0.84022091042316327</v>
      </c>
      <c r="E34">
        <v>0.86166972442561329</v>
      </c>
      <c r="F34">
        <v>0.87904913920808114</v>
      </c>
      <c r="G34">
        <v>0.81273885840460813</v>
      </c>
      <c r="H34">
        <v>0.80282732468868856</v>
      </c>
      <c r="I34">
        <v>0.77636961116158865</v>
      </c>
      <c r="J34">
        <v>0.74011793677244109</v>
      </c>
      <c r="K34">
        <v>0.69814655888039179</v>
      </c>
      <c r="L34">
        <v>0.65309191544836398</v>
      </c>
      <c r="M34">
        <v>0.60676390163304972</v>
      </c>
      <c r="N34">
        <v>0.56044632186835885</v>
      </c>
      <c r="O34">
        <v>0.5150701453752804</v>
      </c>
      <c r="P34">
        <v>0.91314660408722648</v>
      </c>
      <c r="Q34">
        <v>0.92400327857632314</v>
      </c>
      <c r="R34">
        <v>0.93350286875428279</v>
      </c>
      <c r="S34">
        <v>0.93926405786038569</v>
      </c>
      <c r="T34">
        <v>0.94452610814208371</v>
      </c>
      <c r="U34">
        <v>0.9493322640687808</v>
      </c>
      <c r="V34">
        <v>0.95372202348861501</v>
      </c>
      <c r="W34">
        <v>0.9577314622288321</v>
      </c>
      <c r="X34">
        <v>0.9613935305733794</v>
      </c>
      <c r="Y34">
        <v>0.96473832405422699</v>
      </c>
      <c r="Z34">
        <v>0.96779333078182628</v>
      </c>
      <c r="AA34">
        <v>0.96836392642266789</v>
      </c>
      <c r="AB34">
        <v>0.96892441299624954</v>
      </c>
      <c r="AC34">
        <v>0.96947496960180279</v>
      </c>
      <c r="AD34">
        <v>0.97001577216551349</v>
      </c>
      <c r="AE34">
        <v>0.97054699349673723</v>
      </c>
      <c r="AF34">
        <v>0.97106880334321954</v>
      </c>
      <c r="AG34">
        <v>0.97158136844533749</v>
      </c>
      <c r="AH34">
        <v>0.97208485258938004</v>
      </c>
      <c r="AI34">
        <v>0.97074937013313989</v>
      </c>
      <c r="AJ34">
        <v>0.96944264489280263</v>
      </c>
      <c r="AK34">
        <v>0.96816407358889123</v>
      </c>
      <c r="AL34">
        <v>0.96691306513495967</v>
      </c>
      <c r="AM34">
        <v>0.96568904040493508</v>
      </c>
      <c r="AN34">
        <v>0.96449143200447263</v>
      </c>
      <c r="AO34">
        <v>0.96331968404626966</v>
      </c>
      <c r="AP34">
        <v>0.9621732519292826</v>
      </c>
      <c r="AQ34">
        <v>0.96057587669026911</v>
      </c>
      <c r="AR34">
        <v>0.95871640157971449</v>
      </c>
      <c r="AS34">
        <v>0.95660896066040768</v>
      </c>
      <c r="AT34">
        <v>0.95426714432380133</v>
      </c>
      <c r="AU34">
        <v>0.95170401765962909</v>
      </c>
      <c r="AV34">
        <v>0.94893213824633249</v>
      </c>
      <c r="AW34">
        <v>0.9459635733797882</v>
      </c>
      <c r="AX34">
        <v>0.94280991675731518</v>
      </c>
      <c r="AY34">
        <v>0.93948230463344107</v>
      </c>
      <c r="AZ34">
        <v>0.93599143146342467</v>
      </c>
      <c r="BA34">
        <v>0.93234756505006078</v>
      </c>
      <c r="BB34">
        <v>0.92856056120883701</v>
      </c>
      <c r="BC34">
        <v>0.92463987796607006</v>
      </c>
      <c r="BD34">
        <v>0.92059458930421656</v>
      </c>
      <c r="BE34">
        <v>0.91643339846813654</v>
      </c>
      <c r="BF34">
        <v>0.91216465084568177</v>
      </c>
      <c r="BG34">
        <v>0.90779634643558549</v>
      </c>
      <c r="BH34">
        <v>0.9033361519152483</v>
      </c>
      <c r="BI34">
        <v>0.89879141232064219</v>
      </c>
      <c r="BJ34">
        <v>0.8941691623501935</v>
      </c>
      <c r="BK34">
        <v>0.88947613730415465</v>
      </c>
      <c r="BL34">
        <v>0.88471878367063495</v>
      </c>
      <c r="BM34">
        <v>0.87990326936912733</v>
      </c>
      <c r="BN34">
        <v>0.87503549366205013</v>
      </c>
      <c r="BO34">
        <v>0.87012109674450699</v>
      </c>
      <c r="BP34">
        <v>0.86516546902216906</v>
      </c>
      <c r="BQ34">
        <v>0.86017376008688551</v>
      </c>
      <c r="BR34">
        <v>0.85515088739934675</v>
      </c>
      <c r="BS34">
        <v>0.8501015446878436</v>
      </c>
      <c r="BT34">
        <v>0.84503021007189849</v>
      </c>
      <c r="BU34">
        <v>0.8399411539192837</v>
      </c>
      <c r="BV34">
        <v>0.83483844644468486</v>
      </c>
      <c r="BW34">
        <v>0.82972596505802565</v>
      </c>
      <c r="BX34">
        <v>0.82460740147022593</v>
      </c>
      <c r="BY34">
        <v>0.81948626856393603</v>
      </c>
      <c r="BZ34">
        <v>0.81436590703656364</v>
      </c>
      <c r="CA34">
        <v>0.80924949182268957</v>
      </c>
      <c r="CB34">
        <v>0.80414003830275771</v>
      </c>
      <c r="CC34">
        <v>0.79904040830471601</v>
      </c>
      <c r="CD34">
        <v>0.79395331590508722</v>
      </c>
      <c r="CE34">
        <v>0.78888133303575136</v>
      </c>
      <c r="CF34">
        <v>0.78382689490253399</v>
      </c>
      <c r="CG34">
        <v>0.77879230522151111</v>
      </c>
      <c r="CH34">
        <v>0.77377974127876281</v>
      </c>
      <c r="CI34">
        <v>0.76879125881913579</v>
      </c>
      <c r="CJ34">
        <v>0.76382879676940652</v>
      </c>
      <c r="CK34">
        <v>0.75889418180107338</v>
      </c>
      <c r="CL34">
        <v>0.75398913273785051</v>
      </c>
      <c r="CM34">
        <v>0.74911526481277857</v>
      </c>
      <c r="CN34">
        <v>0.74427409377972364</v>
      </c>
      <c r="CO34">
        <v>0.73946703988388585</v>
      </c>
      <c r="CP34">
        <v>0.73469543169580365</v>
      </c>
      <c r="CQ34">
        <v>0.72996050981320015</v>
      </c>
      <c r="CR34">
        <v>0.72526343043488672</v>
      </c>
      <c r="CS34">
        <v>0.72060526881081244</v>
      </c>
      <c r="CT34">
        <v>0.71598702257222058</v>
      </c>
      <c r="CU34">
        <v>0.71140961494575494</v>
      </c>
      <c r="CV34">
        <v>0.70687389785524013</v>
      </c>
      <c r="CW34">
        <v>0.70238065491474677</v>
      </c>
      <c r="CX34">
        <v>0.69793060431644272</v>
      </c>
      <c r="CY34">
        <v>0.6935244016166221</v>
      </c>
      <c r="CZ34">
        <v>0.68916264242320291</v>
      </c>
      <c r="DA34">
        <v>0.68484586498788058</v>
      </c>
      <c r="DB34">
        <v>0.68057455270602851</v>
      </c>
      <c r="DC34">
        <v>0.67634913652734052</v>
      </c>
      <c r="DD34">
        <v>0.67216999728011917</v>
      </c>
      <c r="DE34">
        <v>0.6680374679120229</v>
      </c>
    </row>
    <row r="35" spans="1:109" x14ac:dyDescent="0.2">
      <c r="A35" t="s">
        <v>485</v>
      </c>
      <c r="B35">
        <v>0.74665122985839849</v>
      </c>
      <c r="C35">
        <v>0.77970729560728558</v>
      </c>
      <c r="D35">
        <v>0.80927948340188294</v>
      </c>
      <c r="E35">
        <v>0.83488188793302776</v>
      </c>
      <c r="F35">
        <v>0.85704741462078027</v>
      </c>
      <c r="G35">
        <v>0.84969346099705212</v>
      </c>
      <c r="H35">
        <v>0.86987067571873133</v>
      </c>
      <c r="I35">
        <v>0.88630776656083632</v>
      </c>
      <c r="J35">
        <v>0.89113182920052414</v>
      </c>
      <c r="K35">
        <v>0.88532788481442082</v>
      </c>
      <c r="L35">
        <v>0.87166241792070065</v>
      </c>
      <c r="M35">
        <v>0.85235068681638515</v>
      </c>
      <c r="N35">
        <v>0.8291548638529348</v>
      </c>
      <c r="O35">
        <v>0.8034657602944375</v>
      </c>
      <c r="P35">
        <v>0.51647374265423474</v>
      </c>
      <c r="Q35">
        <v>0.51441164714024545</v>
      </c>
      <c r="R35">
        <v>0.51240110112318171</v>
      </c>
      <c r="S35">
        <v>0.52907844649497038</v>
      </c>
      <c r="T35">
        <v>0.54516387300702196</v>
      </c>
      <c r="U35">
        <v>0.5606783892748386</v>
      </c>
      <c r="V35">
        <v>0.57564225826793047</v>
      </c>
      <c r="W35">
        <v>0.59007502377457488</v>
      </c>
      <c r="X35">
        <v>0.60399553592727739</v>
      </c>
      <c r="Y35">
        <v>0.61742197582227387</v>
      </c>
      <c r="Z35">
        <v>0.63037187926522686</v>
      </c>
      <c r="AA35">
        <v>0.62927594635082185</v>
      </c>
      <c r="AB35">
        <v>0.62820736387316667</v>
      </c>
      <c r="AC35">
        <v>0.62716544926640294</v>
      </c>
      <c r="AD35">
        <v>0.62614953699899456</v>
      </c>
      <c r="AE35">
        <v>0.62515897814861365</v>
      </c>
      <c r="AF35">
        <v>0.62419313998763648</v>
      </c>
      <c r="AG35">
        <v>0.62325140557898318</v>
      </c>
      <c r="AH35">
        <v>0.62233317338204419</v>
      </c>
      <c r="AI35">
        <v>0.6117165885500383</v>
      </c>
      <c r="AJ35">
        <v>0.60138927111854801</v>
      </c>
      <c r="AK35">
        <v>0.59134333949190709</v>
      </c>
      <c r="AL35">
        <v>0.58157112682229228</v>
      </c>
      <c r="AM35">
        <v>0.57206517515854283</v>
      </c>
      <c r="AN35">
        <v>0.5628182297544061</v>
      </c>
      <c r="AO35">
        <v>0.55382323353186502</v>
      </c>
      <c r="AP35">
        <v>0.5450733216953213</v>
      </c>
      <c r="AQ35">
        <v>0.55569705188368079</v>
      </c>
      <c r="AR35">
        <v>0.56607269012998129</v>
      </c>
      <c r="AS35">
        <v>0.57620603003125725</v>
      </c>
      <c r="AT35">
        <v>0.58610272988886891</v>
      </c>
      <c r="AU35">
        <v>0.5957683158680106</v>
      </c>
      <c r="AV35">
        <v>0.60520818508343677</v>
      </c>
      <c r="AW35">
        <v>0.61442760861312773</v>
      </c>
      <c r="AX35">
        <v>0.62343173444157896</v>
      </c>
      <c r="AY35">
        <v>0.63222559033435621</v>
      </c>
      <c r="AZ35">
        <v>0.64081408664552275</v>
      </c>
      <c r="BA35">
        <v>0.6492020190595057</v>
      </c>
      <c r="BB35">
        <v>0.65739407126893257</v>
      </c>
      <c r="BC35">
        <v>0.66539481758993313</v>
      </c>
      <c r="BD35">
        <v>0.67320872551636746</v>
      </c>
      <c r="BE35">
        <v>0.68084015821440569</v>
      </c>
      <c r="BF35">
        <v>0.68829337695885318</v>
      </c>
      <c r="BG35">
        <v>0.6955725435125808</v>
      </c>
      <c r="BH35">
        <v>0.70268172245038951</v>
      </c>
      <c r="BI35">
        <v>0.7096248834286063</v>
      </c>
      <c r="BJ35">
        <v>0.71640590340167964</v>
      </c>
      <c r="BK35">
        <v>0.72302856878701083</v>
      </c>
      <c r="BL35">
        <v>0.72949657757923181</v>
      </c>
      <c r="BM35">
        <v>0.73581354141510824</v>
      </c>
      <c r="BN35">
        <v>0.74198298759022219</v>
      </c>
      <c r="BO35">
        <v>0.74800836102855961</v>
      </c>
      <c r="BP35">
        <v>0.7538930262061031</v>
      </c>
      <c r="BQ35">
        <v>0.75964026902950366</v>
      </c>
      <c r="BR35">
        <v>0.76525329867088043</v>
      </c>
      <c r="BS35">
        <v>0.77073524935977311</v>
      </c>
      <c r="BT35">
        <v>0.77608918213324751</v>
      </c>
      <c r="BU35">
        <v>0.78131808654513202</v>
      </c>
      <c r="BV35">
        <v>0.78642488233533792</v>
      </c>
      <c r="BW35">
        <v>0.79141242106019793</v>
      </c>
      <c r="BX35">
        <v>0.79628348768473101</v>
      </c>
      <c r="BY35">
        <v>0.80104080213772422</v>
      </c>
      <c r="BZ35">
        <v>0.80568702083049926</v>
      </c>
      <c r="CA35">
        <v>0.81022473814021168</v>
      </c>
      <c r="CB35">
        <v>0.81465648785851108</v>
      </c>
      <c r="CC35">
        <v>0.81898474460637183</v>
      </c>
      <c r="CD35">
        <v>0.82321192521588304</v>
      </c>
      <c r="CE35">
        <v>0.82734039007977067</v>
      </c>
      <c r="CF35">
        <v>0.8313724444694045</v>
      </c>
      <c r="CG35">
        <v>0.83531033982202629</v>
      </c>
      <c r="CH35">
        <v>0.83915627499791767</v>
      </c>
      <c r="CI35">
        <v>0.84291239750821023</v>
      </c>
      <c r="CJ35">
        <v>0.84658080471402231</v>
      </c>
      <c r="CK35">
        <v>0.85016354499759361</v>
      </c>
      <c r="CL35">
        <v>0.8536626189060702</v>
      </c>
      <c r="CM35">
        <v>0.85707998026857934</v>
      </c>
      <c r="CN35">
        <v>0.8604175372872177</v>
      </c>
      <c r="CO35">
        <v>0.86367715360256203</v>
      </c>
      <c r="CP35">
        <v>0.86686064933429752</v>
      </c>
      <c r="CQ35">
        <v>0.8699698020975446</v>
      </c>
      <c r="CR35">
        <v>0.87300634799545196</v>
      </c>
      <c r="CS35">
        <v>0.87597198258860975</v>
      </c>
      <c r="CT35">
        <v>0.87886836184182493</v>
      </c>
      <c r="CU35">
        <v>0.88169710304878612</v>
      </c>
      <c r="CV35">
        <v>0.88445978573513595</v>
      </c>
      <c r="CW35">
        <v>0.88715795254045371</v>
      </c>
      <c r="CX35">
        <v>0.88979311007964157</v>
      </c>
      <c r="CY35">
        <v>0.8923667297841954</v>
      </c>
      <c r="CZ35">
        <v>0.89488024872382921</v>
      </c>
      <c r="DA35">
        <v>0.89733507040891303</v>
      </c>
      <c r="DB35">
        <v>0.89973256557417169</v>
      </c>
      <c r="DC35">
        <v>0.9020740729440816</v>
      </c>
      <c r="DD35">
        <v>0.90436089998039426</v>
      </c>
      <c r="DE35">
        <v>0.90659432361220282</v>
      </c>
    </row>
    <row r="36" spans="1:109" x14ac:dyDescent="0.2">
      <c r="A36" t="s">
        <v>486</v>
      </c>
      <c r="B36">
        <v>0.42901557922363281</v>
      </c>
      <c r="C36">
        <v>0.5056647745092242</v>
      </c>
      <c r="D36">
        <v>0.51240846287643227</v>
      </c>
      <c r="E36">
        <v>0.57786296143835325</v>
      </c>
      <c r="F36">
        <v>0.63453081983980975</v>
      </c>
      <c r="G36">
        <v>0.60694236516579969</v>
      </c>
      <c r="H36">
        <v>0.62343973214197634</v>
      </c>
      <c r="I36">
        <v>0.63772248544912224</v>
      </c>
      <c r="J36">
        <v>0.65008791578278524</v>
      </c>
      <c r="K36">
        <v>0.66079340540712617</v>
      </c>
      <c r="L36">
        <v>0.67006178547998729</v>
      </c>
      <c r="M36">
        <v>0.67808597420832817</v>
      </c>
      <c r="N36">
        <v>0.68503299237567417</v>
      </c>
      <c r="O36">
        <v>0.6910474398234242</v>
      </c>
      <c r="P36">
        <v>0.49905539301984359</v>
      </c>
      <c r="Q36">
        <v>0.5049064120200909</v>
      </c>
      <c r="R36">
        <v>0.51061119560805479</v>
      </c>
      <c r="S36">
        <v>0.50965111691668619</v>
      </c>
      <c r="T36">
        <v>0.50871472098544002</v>
      </c>
      <c r="U36">
        <v>0.5078014236193622</v>
      </c>
      <c r="V36">
        <v>0.50691065503413923</v>
      </c>
      <c r="W36">
        <v>0.50604185950062341</v>
      </c>
      <c r="X36">
        <v>0.50519449499812696</v>
      </c>
      <c r="Y36">
        <v>0.50436803287626797</v>
      </c>
      <c r="Z36">
        <v>0.50356195752515831</v>
      </c>
      <c r="AA36">
        <v>0.50403192280816755</v>
      </c>
      <c r="AB36">
        <v>0.50449036121311919</v>
      </c>
      <c r="AC36">
        <v>0.50493755546072161</v>
      </c>
      <c r="AD36">
        <v>0.50537378133736877</v>
      </c>
      <c r="AE36">
        <v>0.50579930786521832</v>
      </c>
      <c r="AF36">
        <v>0.50621439746809882</v>
      </c>
      <c r="AG36">
        <v>0.5066193061333476</v>
      </c>
      <c r="AH36">
        <v>0.50701428356967904</v>
      </c>
      <c r="AI36">
        <v>0.50691521125805761</v>
      </c>
      <c r="AJ36">
        <v>0.50681862638551833</v>
      </c>
      <c r="AK36">
        <v>0.50672446649916114</v>
      </c>
      <c r="AL36">
        <v>0.50663267071411</v>
      </c>
      <c r="AM36">
        <v>0.50654317967414431</v>
      </c>
      <c r="AN36">
        <v>0.50645593551331847</v>
      </c>
      <c r="AO36">
        <v>0.50637088181854495</v>
      </c>
      <c r="AP36">
        <v>0.50628796359311701</v>
      </c>
      <c r="AQ36">
        <v>0.49944372668762571</v>
      </c>
      <c r="AR36">
        <v>0.4927722221653224</v>
      </c>
      <c r="AS36">
        <v>0.48626909066860252</v>
      </c>
      <c r="AT36">
        <v>0.47993008285975675</v>
      </c>
      <c r="AU36">
        <v>0.47375105664432876</v>
      </c>
      <c r="AV36">
        <v>0.46772797446454861</v>
      </c>
      <c r="AW36">
        <v>0.46185690066107349</v>
      </c>
      <c r="AX36">
        <v>0.45613399890131201</v>
      </c>
      <c r="AY36">
        <v>0.45055552967265144</v>
      </c>
      <c r="AZ36">
        <v>0.44511784783895009</v>
      </c>
      <c r="BA36">
        <v>0.43981740025869775</v>
      </c>
      <c r="BB36">
        <v>0.43465072346328859</v>
      </c>
      <c r="BC36">
        <v>0.42961444139388855</v>
      </c>
      <c r="BD36">
        <v>0.42470526319541918</v>
      </c>
      <c r="BE36">
        <v>0.41991998106621592</v>
      </c>
      <c r="BF36">
        <v>0.41525546816195591</v>
      </c>
      <c r="BG36">
        <v>0.41070867655248594</v>
      </c>
      <c r="BH36">
        <v>0.40627663523021496</v>
      </c>
      <c r="BI36">
        <v>0.40195644816877024</v>
      </c>
      <c r="BJ36">
        <v>0.39774529243064843</v>
      </c>
      <c r="BK36">
        <v>0.39364041632262509</v>
      </c>
      <c r="BL36">
        <v>0.38963913759771707</v>
      </c>
      <c r="BM36">
        <v>0.38573884170252354</v>
      </c>
      <c r="BN36">
        <v>0.38193698006879961</v>
      </c>
      <c r="BO36">
        <v>0.37823106844814691</v>
      </c>
      <c r="BP36">
        <v>0.37461868528873227</v>
      </c>
      <c r="BQ36">
        <v>0.37109747015297462</v>
      </c>
      <c r="BR36">
        <v>0.36766512217516545</v>
      </c>
      <c r="BS36">
        <v>0.36431939855801537</v>
      </c>
      <c r="BT36">
        <v>0.36105811310714431</v>
      </c>
      <c r="BU36">
        <v>0.35787913480255762</v>
      </c>
      <c r="BV36">
        <v>0.35478038640617499</v>
      </c>
      <c r="BW36">
        <v>0.3517598431045017</v>
      </c>
      <c r="BX36">
        <v>0.34881553118555597</v>
      </c>
      <c r="BY36">
        <v>0.34594552674918738</v>
      </c>
      <c r="BZ36">
        <v>0.34314795444994373</v>
      </c>
      <c r="CA36">
        <v>0.34042098627166517</v>
      </c>
      <c r="CB36">
        <v>0.33776284033300458</v>
      </c>
      <c r="CC36">
        <v>0.33517177972309381</v>
      </c>
      <c r="CD36">
        <v>0.33264611136659483</v>
      </c>
      <c r="CE36">
        <v>0.33018418491739465</v>
      </c>
      <c r="CF36">
        <v>0.32778439168022028</v>
      </c>
      <c r="CG36">
        <v>0.32544516355947006</v>
      </c>
      <c r="CH36">
        <v>0.32316497203457373</v>
      </c>
      <c r="CI36">
        <v>0.32094232716121196</v>
      </c>
      <c r="CJ36">
        <v>0.31877577659774303</v>
      </c>
      <c r="CK36">
        <v>0.31666390465619981</v>
      </c>
      <c r="CL36">
        <v>0.31460533137723762</v>
      </c>
      <c r="CM36">
        <v>0.31259871162842823</v>
      </c>
      <c r="CN36">
        <v>0.31064273422531058</v>
      </c>
      <c r="CO36">
        <v>0.30873612107462423</v>
      </c>
      <c r="CP36">
        <v>0.30687762633916565</v>
      </c>
      <c r="CQ36">
        <v>0.30506603562372142</v>
      </c>
      <c r="CR36">
        <v>0.30330016518154668</v>
      </c>
      <c r="CS36">
        <v>0.30157886114087001</v>
      </c>
      <c r="CT36">
        <v>0.29990099875091975</v>
      </c>
      <c r="CU36">
        <v>0.29826548164697869</v>
      </c>
      <c r="CV36">
        <v>0.29667124113398696</v>
      </c>
      <c r="CW36">
        <v>0.29511723548822538</v>
      </c>
      <c r="CX36">
        <v>0.29360244927662227</v>
      </c>
      <c r="CY36">
        <v>0.29212589269323974</v>
      </c>
      <c r="CZ36">
        <v>0.29068660091250531</v>
      </c>
      <c r="DA36">
        <v>0.28928363345876629</v>
      </c>
      <c r="DB36">
        <v>0.28791607359175547</v>
      </c>
      <c r="DC36">
        <v>0.28658302770756594</v>
      </c>
      <c r="DD36">
        <v>0.285283624754744</v>
      </c>
      <c r="DE36">
        <v>0.2840170156651185</v>
      </c>
    </row>
    <row r="37" spans="1:109" x14ac:dyDescent="0.2">
      <c r="A37" t="s">
        <v>487</v>
      </c>
      <c r="B37">
        <v>0.46971038818359373</v>
      </c>
      <c r="C37">
        <v>0.46066358661429635</v>
      </c>
      <c r="D37">
        <v>0.5068385554305268</v>
      </c>
      <c r="E37">
        <v>0.50358255810827146</v>
      </c>
      <c r="F37">
        <v>0.50700593955422402</v>
      </c>
      <c r="G37">
        <v>0.50199936862816563</v>
      </c>
      <c r="H37">
        <v>0.45608538716736047</v>
      </c>
      <c r="I37">
        <v>0.4163349184107078</v>
      </c>
      <c r="J37">
        <v>0.38192056975043126</v>
      </c>
      <c r="K37">
        <v>0.35212601811982031</v>
      </c>
      <c r="L37">
        <v>0.3263310999700601</v>
      </c>
      <c r="M37">
        <v>0.30399890277501257</v>
      </c>
      <c r="N37">
        <v>0.2846645893779714</v>
      </c>
      <c r="O37">
        <v>0.26792572256293612</v>
      </c>
      <c r="P37">
        <v>0.63639103002523334</v>
      </c>
      <c r="Q37">
        <v>0.62428069933616182</v>
      </c>
      <c r="R37">
        <v>0.61255070805545209</v>
      </c>
      <c r="S37">
        <v>0.61216940091406369</v>
      </c>
      <c r="T37">
        <v>0.61176811896314065</v>
      </c>
      <c r="U37">
        <v>0.61139721543073944</v>
      </c>
      <c r="V37">
        <v>0.61110155490176787</v>
      </c>
      <c r="W37">
        <v>0.61092131716696529</v>
      </c>
      <c r="X37">
        <v>0.61088804721997203</v>
      </c>
      <c r="Y37">
        <v>0.61102993853104481</v>
      </c>
      <c r="Z37">
        <v>0.61136439075756654</v>
      </c>
      <c r="AA37">
        <v>0.61106205114474033</v>
      </c>
      <c r="AB37">
        <v>0.6097856528676735</v>
      </c>
      <c r="AC37">
        <v>0.60766078467592932</v>
      </c>
      <c r="AD37">
        <v>0.60479822780778247</v>
      </c>
      <c r="AE37">
        <v>0.60129565975667509</v>
      </c>
      <c r="AF37">
        <v>0.59723916758734474</v>
      </c>
      <c r="AG37">
        <v>0.59270459208449711</v>
      </c>
      <c r="AH37">
        <v>0.58775872131558182</v>
      </c>
      <c r="AI37">
        <v>0.58060174991527258</v>
      </c>
      <c r="AJ37">
        <v>0.57394997503263456</v>
      </c>
      <c r="AK37">
        <v>0.56778001320407645</v>
      </c>
      <c r="AL37">
        <v>0.56207045024310676</v>
      </c>
      <c r="AM37">
        <v>0.55680171325946537</v>
      </c>
      <c r="AN37">
        <v>0.55195595348825777</v>
      </c>
      <c r="AO37">
        <v>0.54751693891897646</v>
      </c>
      <c r="AP37">
        <v>0.54346995587182489</v>
      </c>
      <c r="AQ37">
        <v>0.53454538070818114</v>
      </c>
      <c r="AR37">
        <v>0.52610558764906168</v>
      </c>
      <c r="AS37">
        <v>0.51814065546172317</v>
      </c>
      <c r="AT37">
        <v>0.51064103270700789</v>
      </c>
      <c r="AU37">
        <v>0.50359750527588454</v>
      </c>
      <c r="AV37">
        <v>0.49700117299039004</v>
      </c>
      <c r="AW37">
        <v>0.49084343438743794</v>
      </c>
      <c r="AX37">
        <v>0.48511597875718954</v>
      </c>
      <c r="AY37">
        <v>0.47981078451585235</v>
      </c>
      <c r="AZ37">
        <v>0.47492012303841014</v>
      </c>
      <c r="BA37">
        <v>0.47043656714663784</v>
      </c>
      <c r="BB37">
        <v>0.46635300353191012</v>
      </c>
      <c r="BC37">
        <v>0.46266264848355376</v>
      </c>
      <c r="BD37">
        <v>0.45935906638669233</v>
      </c>
      <c r="BE37">
        <v>0.4564361905451873</v>
      </c>
      <c r="BF37">
        <v>0.45388834597313016</v>
      </c>
      <c r="BG37">
        <v>0.45171027388106127</v>
      </c>
      <c r="BH37">
        <v>0.44989715766004762</v>
      </c>
      <c r="BI37">
        <v>0.44844465023781777</v>
      </c>
      <c r="BJ37">
        <v>0.44734890274655942</v>
      </c>
      <c r="BK37">
        <v>0.44660659450221674</v>
      </c>
      <c r="BL37">
        <v>0.44621496435083552</v>
      </c>
      <c r="BM37">
        <v>0.4461718434894606</v>
      </c>
      <c r="BN37">
        <v>0.44647568991812897</v>
      </c>
      <c r="BO37">
        <v>0.4471256247265093</v>
      </c>
      <c r="BP37">
        <v>0.44812147046462525</v>
      </c>
      <c r="BQ37">
        <v>0.44946379189280633</v>
      </c>
      <c r="BR37">
        <v>0.45115393945249477</v>
      </c>
      <c r="BS37">
        <v>0.45319409584779374</v>
      </c>
      <c r="BT37">
        <v>0.45558732617870062</v>
      </c>
      <c r="BU37">
        <v>0.45833763212191875</v>
      </c>
      <c r="BV37">
        <v>0.46145001071514113</v>
      </c>
      <c r="BW37">
        <v>0.4649303644905956</v>
      </c>
      <c r="BX37">
        <v>0.4687852785739674</v>
      </c>
      <c r="BY37">
        <v>0.47302205439671879</v>
      </c>
      <c r="BZ37">
        <v>0.47764874630778059</v>
      </c>
      <c r="CA37">
        <v>0.48267420123823163</v>
      </c>
      <c r="CB37">
        <v>0.48810502379672099</v>
      </c>
      <c r="CC37">
        <v>0.49393431415764882</v>
      </c>
      <c r="CD37">
        <v>0.50015513243945531</v>
      </c>
      <c r="CE37">
        <v>0.50676050052886001</v>
      </c>
      <c r="CF37">
        <v>0.51374340401416041</v>
      </c>
      <c r="CG37">
        <v>0.52109679423527488</v>
      </c>
      <c r="CH37">
        <v>0.5288135904550566</v>
      </c>
      <c r="CI37">
        <v>0.53688668215365609</v>
      </c>
      <c r="CJ37">
        <v>0.54530893144534309</v>
      </c>
      <c r="CK37">
        <v>0.55407317561516811</v>
      </c>
      <c r="CL37">
        <v>0.56317222977113213</v>
      </c>
      <c r="CM37">
        <v>0.57259888960609939</v>
      </c>
      <c r="CN37">
        <v>0.58234593426250858</v>
      </c>
      <c r="CO37">
        <v>0.59240612929199044</v>
      </c>
      <c r="CP37">
        <v>0.60232854094546817</v>
      </c>
      <c r="CQ37">
        <v>0.61200940271290361</v>
      </c>
      <c r="CR37">
        <v>0.62145459485299637</v>
      </c>
      <c r="CS37">
        <v>0.63066985447620072</v>
      </c>
      <c r="CT37">
        <v>0.63966077902950746</v>
      </c>
      <c r="CU37">
        <v>0.64843282969639315</v>
      </c>
      <c r="CV37">
        <v>0.65699133471400095</v>
      </c>
      <c r="CW37">
        <v>0.66534149260956899</v>
      </c>
      <c r="CX37">
        <v>0.67348837535807105</v>
      </c>
      <c r="CY37">
        <v>0.68143693146298834</v>
      </c>
      <c r="CZ37">
        <v>0.68919198896208322</v>
      </c>
      <c r="DA37">
        <v>0.69675825836000094</v>
      </c>
      <c r="DB37">
        <v>0.70414033548948041</v>
      </c>
      <c r="DC37">
        <v>0.71134270430291191</v>
      </c>
      <c r="DD37">
        <v>0.71836973959593764</v>
      </c>
      <c r="DE37">
        <v>0.72522570966474942</v>
      </c>
    </row>
    <row r="38" spans="1:109" x14ac:dyDescent="0.2">
      <c r="A38" t="s">
        <v>488</v>
      </c>
      <c r="B38">
        <v>0.69426445007324222</v>
      </c>
      <c r="C38">
        <v>0.71739534701741181</v>
      </c>
      <c r="D38">
        <v>0.63518884259113684</v>
      </c>
      <c r="E38">
        <v>0.57619199226650353</v>
      </c>
      <c r="F38">
        <v>0.55115811846437068</v>
      </c>
      <c r="G38">
        <v>0.57491909148417608</v>
      </c>
      <c r="H38">
        <v>0.51305839237949391</v>
      </c>
      <c r="I38">
        <v>0.46193387723271329</v>
      </c>
      <c r="J38">
        <v>0.42079659790258106</v>
      </c>
      <c r="K38">
        <v>0.38829246851065469</v>
      </c>
      <c r="L38">
        <v>0.36309290414920287</v>
      </c>
      <c r="M38">
        <v>0.34417772078089903</v>
      </c>
      <c r="N38">
        <v>0.33079365933311877</v>
      </c>
      <c r="O38">
        <v>0.32243412397877197</v>
      </c>
      <c r="P38">
        <v>0.62550762425137851</v>
      </c>
      <c r="Q38">
        <v>0.6415906473076467</v>
      </c>
      <c r="R38">
        <v>0.65698296569973746</v>
      </c>
      <c r="S38">
        <v>0.62796203308378151</v>
      </c>
      <c r="T38">
        <v>0.60075831946401359</v>
      </c>
      <c r="U38">
        <v>0.57525803508309514</v>
      </c>
      <c r="V38">
        <v>0.55135451541675118</v>
      </c>
      <c r="W38">
        <v>0.52894777500930501</v>
      </c>
      <c r="X38">
        <v>0.50794408924692824</v>
      </c>
      <c r="Y38">
        <v>0.488255602319215</v>
      </c>
      <c r="Z38">
        <v>0.46979995972923222</v>
      </c>
      <c r="AA38">
        <v>0.47489988894325202</v>
      </c>
      <c r="AB38">
        <v>0.47987978127821468</v>
      </c>
      <c r="AC38">
        <v>0.4847424620384978</v>
      </c>
      <c r="AD38">
        <v>0.48949069002937562</v>
      </c>
      <c r="AE38">
        <v>0.49412715912220645</v>
      </c>
      <c r="AF38">
        <v>0.49865449978278015</v>
      </c>
      <c r="AG38">
        <v>0.50307528056369322</v>
      </c>
      <c r="AH38">
        <v>0.50739200956159769</v>
      </c>
      <c r="AI38">
        <v>0.50663753129644262</v>
      </c>
      <c r="AJ38">
        <v>0.50590147212658843</v>
      </c>
      <c r="AK38">
        <v>0.5051833823862365</v>
      </c>
      <c r="AL38">
        <v>0.50448282338728967</v>
      </c>
      <c r="AM38">
        <v>0.50379936715135332</v>
      </c>
      <c r="AN38">
        <v>0.50313259614827932</v>
      </c>
      <c r="AO38">
        <v>0.50248210304109275</v>
      </c>
      <c r="AP38">
        <v>0.5018474904371456</v>
      </c>
      <c r="AQ38">
        <v>0.5079832841170383</v>
      </c>
      <c r="AR38">
        <v>0.51395042477783093</v>
      </c>
      <c r="AS38">
        <v>0.51975354814268115</v>
      </c>
      <c r="AT38">
        <v>0.52539716251378876</v>
      </c>
      <c r="AU38">
        <v>0.53088565227478401</v>
      </c>
      <c r="AV38">
        <v>0.53622328129684582</v>
      </c>
      <c r="AW38">
        <v>0.54141419625119769</v>
      </c>
      <c r="AX38">
        <v>0.54646242983055293</v>
      </c>
      <c r="AY38">
        <v>0.55137190388201363</v>
      </c>
      <c r="AZ38">
        <v>0.55614643245385598</v>
      </c>
      <c r="BA38">
        <v>0.5607897247585697</v>
      </c>
      <c r="BB38">
        <v>0.56530538805445285</v>
      </c>
      <c r="BC38">
        <v>0.56969693044800096</v>
      </c>
      <c r="BD38">
        <v>0.57396776361926793</v>
      </c>
      <c r="BE38">
        <v>0.57812120547231527</v>
      </c>
      <c r="BF38">
        <v>0.58216048271280918</v>
      </c>
      <c r="BG38">
        <v>0.58608873335476808</v>
      </c>
      <c r="BH38">
        <v>0.58990900915840749</v>
      </c>
      <c r="BI38">
        <v>0.59362427800097683</v>
      </c>
      <c r="BJ38">
        <v>0.59723742618242925</v>
      </c>
      <c r="BK38">
        <v>0.60075126066771645</v>
      </c>
      <c r="BL38">
        <v>0.60416851126744964</v>
      </c>
      <c r="BM38">
        <v>0.60749183275862195</v>
      </c>
      <c r="BN38">
        <v>0.61072380694703809</v>
      </c>
      <c r="BO38">
        <v>0.61386694467305558</v>
      </c>
      <c r="BP38">
        <v>0.61692368776219397</v>
      </c>
      <c r="BQ38">
        <v>0.6198964109221281</v>
      </c>
      <c r="BR38">
        <v>0.6227874235875398</v>
      </c>
      <c r="BS38">
        <v>0.62559897171426015</v>
      </c>
      <c r="BT38">
        <v>0.6283332395240967</v>
      </c>
      <c r="BU38">
        <v>0.63099235120170072</v>
      </c>
      <c r="BV38">
        <v>0.6335783725447941</v>
      </c>
      <c r="BW38">
        <v>0.63609331256903556</v>
      </c>
      <c r="BX38">
        <v>0.63853912506877541</v>
      </c>
      <c r="BY38">
        <v>0.6409177101349095</v>
      </c>
      <c r="BZ38">
        <v>0.64323091563101276</v>
      </c>
      <c r="CA38">
        <v>0.6454805386288982</v>
      </c>
      <c r="CB38">
        <v>0.64766832680471753</v>
      </c>
      <c r="CC38">
        <v>0.64979597979668735</v>
      </c>
      <c r="CD38">
        <v>0.65186515052549554</v>
      </c>
      <c r="CE38">
        <v>0.6538774464784145</v>
      </c>
      <c r="CF38">
        <v>0.65583443095811766</v>
      </c>
      <c r="CG38">
        <v>0.65773762429717098</v>
      </c>
      <c r="CH38">
        <v>0.65958850503914102</v>
      </c>
      <c r="CI38">
        <v>0.66138851108723895</v>
      </c>
      <c r="CJ38">
        <v>0.66313904082139152</v>
      </c>
      <c r="CK38">
        <v>0.66484145418460805</v>
      </c>
      <c r="CL38">
        <v>0.66649707373948586</v>
      </c>
      <c r="CM38">
        <v>0.66810718569567662</v>
      </c>
      <c r="CN38">
        <v>0.6696730409091104</v>
      </c>
      <c r="CO38">
        <v>0.67119585585375474</v>
      </c>
      <c r="CP38">
        <v>0.67267681356666287</v>
      </c>
      <c r="CQ38">
        <v>0.67411706456704579</v>
      </c>
      <c r="CR38">
        <v>0.67551772775008212</v>
      </c>
      <c r="CS38">
        <v>0.67687989125615966</v>
      </c>
      <c r="CT38">
        <v>0.67820461331622506</v>
      </c>
      <c r="CU38">
        <v>0.67949292307389653</v>
      </c>
      <c r="CV38">
        <v>0.68074582138498052</v>
      </c>
      <c r="CW38">
        <v>0.68196428159501143</v>
      </c>
      <c r="CX38">
        <v>0.68314925029541929</v>
      </c>
      <c r="CY38">
        <v>0.68430164805891347</v>
      </c>
      <c r="CZ38">
        <v>0.68542237015465268</v>
      </c>
      <c r="DA38">
        <v>0.68651228724375724</v>
      </c>
      <c r="DB38">
        <v>0.68757224605570377</v>
      </c>
      <c r="DC38">
        <v>0.68860307004612886</v>
      </c>
      <c r="DD38">
        <v>0.68960556003655071</v>
      </c>
      <c r="DE38">
        <v>0.69058049483650774</v>
      </c>
    </row>
    <row r="39" spans="1:109" x14ac:dyDescent="0.2">
      <c r="A39" t="s">
        <v>489</v>
      </c>
      <c r="B39">
        <v>0.51738662719726558</v>
      </c>
      <c r="C39">
        <v>0.51266714984007311</v>
      </c>
      <c r="D39">
        <v>0.5733159441283322</v>
      </c>
      <c r="E39">
        <v>0.50977780733653044</v>
      </c>
      <c r="F39">
        <v>0.46819310066906128</v>
      </c>
      <c r="G39">
        <v>0.47479686091968304</v>
      </c>
      <c r="H39">
        <v>0.54530035717486314</v>
      </c>
      <c r="I39">
        <v>0.60633943363828713</v>
      </c>
      <c r="J39">
        <v>0.65918459811102048</v>
      </c>
      <c r="K39">
        <v>0.7049358048781087</v>
      </c>
      <c r="L39">
        <v>0.74454534988624066</v>
      </c>
      <c r="M39">
        <v>0.77883769246287082</v>
      </c>
      <c r="N39">
        <v>0.80852661615920551</v>
      </c>
      <c r="O39">
        <v>0.83423008591421333</v>
      </c>
      <c r="P39">
        <f t="shared" ref="P39:AG39" si="0">MIN(P22:P38)</f>
        <v>0.29716283696870005</v>
      </c>
      <c r="Q39">
        <f t="shared" si="0"/>
        <v>0.29187206716090075</v>
      </c>
      <c r="R39">
        <f t="shared" si="0"/>
        <v>0.28668866971547141</v>
      </c>
      <c r="S39">
        <f t="shared" si="0"/>
        <v>0.30555773032620637</v>
      </c>
      <c r="T39">
        <f t="shared" si="0"/>
        <v>0.32313705048649333</v>
      </c>
      <c r="U39">
        <f t="shared" si="0"/>
        <v>0.32330566025630103</v>
      </c>
      <c r="V39">
        <f t="shared" si="0"/>
        <v>0.32066793104805774</v>
      </c>
      <c r="W39">
        <f t="shared" si="0"/>
        <v>0.31813397671434723</v>
      </c>
      <c r="X39">
        <f t="shared" si="0"/>
        <v>0.31569911917279331</v>
      </c>
      <c r="Y39">
        <f t="shared" si="0"/>
        <v>0.31335904948716448</v>
      </c>
      <c r="Z39">
        <f t="shared" si="0"/>
        <v>0.31110999608894102</v>
      </c>
      <c r="AA39">
        <f t="shared" si="0"/>
        <v>0.31505374498318295</v>
      </c>
      <c r="AB39">
        <f t="shared" si="0"/>
        <v>0.31894077109788843</v>
      </c>
      <c r="AC39">
        <f t="shared" si="0"/>
        <v>0.32276609392693567</v>
      </c>
      <c r="AD39">
        <f t="shared" si="0"/>
        <v>0.32652566864789445</v>
      </c>
      <c r="AE39">
        <f t="shared" si="0"/>
        <v>0.33021625146356703</v>
      </c>
      <c r="AF39">
        <f t="shared" si="0"/>
        <v>0.33383527931615686</v>
      </c>
      <c r="AG39">
        <f t="shared" si="0"/>
        <v>0.31069742730845784</v>
      </c>
      <c r="AH39">
        <f t="shared" ref="AH39:BM39" si="1">MIN(AH22:AH38)</f>
        <v>0.28945019032848007</v>
      </c>
      <c r="AI39">
        <f t="shared" si="1"/>
        <v>0.30209184632541963</v>
      </c>
      <c r="AJ39">
        <f t="shared" si="1"/>
        <v>0.31450858991766956</v>
      </c>
      <c r="AK39">
        <f t="shared" si="1"/>
        <v>0.32670442260549182</v>
      </c>
      <c r="AL39">
        <f t="shared" si="1"/>
        <v>0.33868327469696863</v>
      </c>
      <c r="AM39">
        <f t="shared" si="1"/>
        <v>0.33885142985517047</v>
      </c>
      <c r="AN39">
        <f t="shared" si="1"/>
        <v>0.33876907228497583</v>
      </c>
      <c r="AO39">
        <f t="shared" si="1"/>
        <v>0.33879853682308408</v>
      </c>
      <c r="AP39">
        <f t="shared" si="1"/>
        <v>0.3389424920991691</v>
      </c>
      <c r="AQ39">
        <f t="shared" si="1"/>
        <v>0.35582687832522186</v>
      </c>
      <c r="AR39">
        <f t="shared" si="1"/>
        <v>0.37228001236092317</v>
      </c>
      <c r="AS39">
        <f t="shared" si="1"/>
        <v>0.38200668229086449</v>
      </c>
      <c r="AT39">
        <f t="shared" si="1"/>
        <v>0.38192407711859927</v>
      </c>
      <c r="AU39">
        <f t="shared" si="1"/>
        <v>0.38215893772275367</v>
      </c>
      <c r="AV39">
        <f t="shared" si="1"/>
        <v>0.38268307603127061</v>
      </c>
      <c r="AW39">
        <f t="shared" si="1"/>
        <v>0.38347207625530405</v>
      </c>
      <c r="AX39">
        <f t="shared" si="1"/>
        <v>0.38450497064182648</v>
      </c>
      <c r="AY39">
        <f t="shared" si="1"/>
        <v>0.38576393701185863</v>
      </c>
      <c r="AZ39">
        <f t="shared" si="1"/>
        <v>0.38723401957024312</v>
      </c>
      <c r="BA39">
        <f t="shared" si="1"/>
        <v>0.38890287354735198</v>
      </c>
      <c r="BB39">
        <f t="shared" si="1"/>
        <v>0.390760533569392</v>
      </c>
      <c r="BC39">
        <f t="shared" si="1"/>
        <v>0.39279920519230072</v>
      </c>
      <c r="BD39">
        <f t="shared" si="1"/>
        <v>0.39501307872755109</v>
      </c>
      <c r="BE39">
        <f t="shared" si="1"/>
        <v>0.39739816429954045</v>
      </c>
      <c r="BF39">
        <f t="shared" si="1"/>
        <v>0.39995214697468739</v>
      </c>
      <c r="BG39">
        <f t="shared" si="1"/>
        <v>0.40267426076933971</v>
      </c>
      <c r="BH39">
        <f t="shared" si="1"/>
        <v>0.40556518035963529</v>
      </c>
      <c r="BI39">
        <f t="shared" si="1"/>
        <v>0.40195644816877024</v>
      </c>
      <c r="BJ39">
        <f t="shared" si="1"/>
        <v>0.39774529243064843</v>
      </c>
      <c r="BK39">
        <f t="shared" si="1"/>
        <v>0.39364041632262509</v>
      </c>
      <c r="BL39">
        <f t="shared" si="1"/>
        <v>0.38963913759771707</v>
      </c>
      <c r="BM39">
        <f t="shared" si="1"/>
        <v>0.38573884170252354</v>
      </c>
      <c r="BN39">
        <f t="shared" ref="BN39:CS39" si="2">MIN(BN22:BN38)</f>
        <v>0.38193698006879961</v>
      </c>
      <c r="BO39">
        <f t="shared" si="2"/>
        <v>0.37823106844814691</v>
      </c>
      <c r="BP39">
        <f t="shared" si="2"/>
        <v>0.37461868528873227</v>
      </c>
      <c r="BQ39">
        <f t="shared" si="2"/>
        <v>0.37109747015297462</v>
      </c>
      <c r="BR39">
        <f t="shared" si="2"/>
        <v>0.36766512217516545</v>
      </c>
      <c r="BS39">
        <f t="shared" si="2"/>
        <v>0.36431939855801537</v>
      </c>
      <c r="BT39">
        <f t="shared" si="2"/>
        <v>0.36105811310714431</v>
      </c>
      <c r="BU39">
        <f t="shared" si="2"/>
        <v>0.35787913480255762</v>
      </c>
      <c r="BV39">
        <f t="shared" si="2"/>
        <v>0.35478038640617499</v>
      </c>
      <c r="BW39">
        <f t="shared" si="2"/>
        <v>0.3517598431045017</v>
      </c>
      <c r="BX39">
        <f t="shared" si="2"/>
        <v>0.34881553118555597</v>
      </c>
      <c r="BY39">
        <f t="shared" si="2"/>
        <v>0.34594552674918738</v>
      </c>
      <c r="BZ39">
        <f t="shared" si="2"/>
        <v>0.34314795444994373</v>
      </c>
      <c r="CA39">
        <f t="shared" si="2"/>
        <v>0.34042098627166517</v>
      </c>
      <c r="CB39">
        <f t="shared" si="2"/>
        <v>0.33776284033300458</v>
      </c>
      <c r="CC39">
        <f t="shared" si="2"/>
        <v>0.33517177972309381</v>
      </c>
      <c r="CD39">
        <f t="shared" si="2"/>
        <v>0.33264611136659483</v>
      </c>
      <c r="CE39">
        <f t="shared" si="2"/>
        <v>0.33018418491739465</v>
      </c>
      <c r="CF39">
        <f t="shared" si="2"/>
        <v>0.32778439168022028</v>
      </c>
      <c r="CG39">
        <f t="shared" si="2"/>
        <v>0.32544516355947006</v>
      </c>
      <c r="CH39">
        <f t="shared" si="2"/>
        <v>0.32316497203457373</v>
      </c>
      <c r="CI39">
        <f t="shared" si="2"/>
        <v>0.32094232716121196</v>
      </c>
      <c r="CJ39">
        <f t="shared" si="2"/>
        <v>0.31877577659774303</v>
      </c>
      <c r="CK39">
        <f t="shared" si="2"/>
        <v>0.31666390465619981</v>
      </c>
      <c r="CL39">
        <f t="shared" si="2"/>
        <v>0.31460533137723762</v>
      </c>
      <c r="CM39">
        <f t="shared" si="2"/>
        <v>0.31259871162842823</v>
      </c>
      <c r="CN39">
        <f t="shared" si="2"/>
        <v>0.31064273422531058</v>
      </c>
      <c r="CO39">
        <f t="shared" si="2"/>
        <v>0.30873612107462423</v>
      </c>
      <c r="CP39">
        <f t="shared" si="2"/>
        <v>0.30687762633916565</v>
      </c>
      <c r="CQ39">
        <f t="shared" si="2"/>
        <v>0.30506603562372142</v>
      </c>
      <c r="CR39">
        <f t="shared" si="2"/>
        <v>0.30330016518154668</v>
      </c>
      <c r="CS39">
        <f t="shared" si="2"/>
        <v>0.30157886114087001</v>
      </c>
      <c r="CT39">
        <f t="shared" ref="CT39:DE39" si="3">MIN(CT22:CT38)</f>
        <v>0.29990099875091975</v>
      </c>
      <c r="CU39">
        <f t="shared" si="3"/>
        <v>0.29826548164697869</v>
      </c>
      <c r="CV39">
        <f t="shared" si="3"/>
        <v>0.29667124113398696</v>
      </c>
      <c r="CW39">
        <f t="shared" si="3"/>
        <v>0.29511723548822538</v>
      </c>
      <c r="CX39">
        <f t="shared" si="3"/>
        <v>0.29360244927662227</v>
      </c>
      <c r="CY39">
        <f t="shared" si="3"/>
        <v>0.29212589269323974</v>
      </c>
      <c r="CZ39">
        <f t="shared" si="3"/>
        <v>0.29068660091250531</v>
      </c>
      <c r="DA39">
        <f t="shared" si="3"/>
        <v>0.28928363345876629</v>
      </c>
      <c r="DB39">
        <f t="shared" si="3"/>
        <v>0.28791607359175547</v>
      </c>
      <c r="DC39">
        <f t="shared" si="3"/>
        <v>0.28658302770756594</v>
      </c>
      <c r="DD39">
        <f t="shared" si="3"/>
        <v>0.285283624754744</v>
      </c>
      <c r="DE39">
        <f t="shared" si="3"/>
        <v>0.2840170156651185</v>
      </c>
    </row>
    <row r="41" spans="1:109" x14ac:dyDescent="0.2">
      <c r="A41" t="s">
        <v>243</v>
      </c>
      <c r="B41">
        <v>2017</v>
      </c>
      <c r="C41">
        <v>2018</v>
      </c>
      <c r="D41">
        <v>2019</v>
      </c>
      <c r="E41">
        <v>2020</v>
      </c>
      <c r="F41">
        <v>2021</v>
      </c>
      <c r="G41">
        <v>2022</v>
      </c>
      <c r="H41">
        <v>2023</v>
      </c>
      <c r="I41">
        <v>2024</v>
      </c>
      <c r="J41">
        <v>2025</v>
      </c>
      <c r="K41">
        <v>2026</v>
      </c>
      <c r="L41">
        <v>2027</v>
      </c>
      <c r="M41">
        <v>2028</v>
      </c>
      <c r="N41">
        <v>2029</v>
      </c>
      <c r="O41">
        <v>2030</v>
      </c>
      <c r="P41">
        <v>2018.75</v>
      </c>
      <c r="Q41">
        <v>2018.875</v>
      </c>
      <c r="R41">
        <v>2019</v>
      </c>
      <c r="S41">
        <v>2019.125</v>
      </c>
      <c r="T41">
        <v>2019.25</v>
      </c>
      <c r="U41">
        <v>2019.375</v>
      </c>
      <c r="V41">
        <v>2019.5</v>
      </c>
      <c r="W41">
        <v>2019.625</v>
      </c>
      <c r="X41">
        <v>2019.75</v>
      </c>
      <c r="Y41">
        <v>2019.875</v>
      </c>
      <c r="Z41">
        <v>2020</v>
      </c>
      <c r="AA41">
        <v>2020.125</v>
      </c>
      <c r="AB41">
        <v>2020.25</v>
      </c>
      <c r="AC41">
        <v>2020.375</v>
      </c>
      <c r="AD41">
        <v>2020.5</v>
      </c>
      <c r="AE41">
        <v>2020.625</v>
      </c>
      <c r="AF41">
        <v>2020.75</v>
      </c>
      <c r="AG41">
        <v>2020.875</v>
      </c>
      <c r="AH41">
        <v>2021</v>
      </c>
      <c r="AI41">
        <v>2021.125</v>
      </c>
      <c r="AJ41">
        <v>2021.25</v>
      </c>
      <c r="AK41">
        <v>2021.375</v>
      </c>
      <c r="AL41">
        <v>2021.5</v>
      </c>
      <c r="AM41">
        <v>2021.625</v>
      </c>
      <c r="AN41">
        <v>2021.75</v>
      </c>
      <c r="AO41">
        <v>2021.875</v>
      </c>
      <c r="AP41">
        <v>2022</v>
      </c>
      <c r="AQ41">
        <v>2022.125</v>
      </c>
      <c r="AR41">
        <v>2022.25</v>
      </c>
      <c r="AS41">
        <v>2022.375</v>
      </c>
      <c r="AT41">
        <v>2022.5</v>
      </c>
      <c r="AU41">
        <v>2022.625</v>
      </c>
      <c r="AV41">
        <v>2022.75</v>
      </c>
      <c r="AW41">
        <v>2022.875</v>
      </c>
      <c r="AX41">
        <v>2023</v>
      </c>
      <c r="AY41">
        <v>2023.125</v>
      </c>
      <c r="AZ41">
        <v>2023.25</v>
      </c>
      <c r="BA41">
        <v>2023.375</v>
      </c>
      <c r="BB41">
        <v>2023.5</v>
      </c>
      <c r="BC41">
        <v>2023.625</v>
      </c>
      <c r="BD41">
        <v>2023.75</v>
      </c>
      <c r="BE41">
        <v>2023.875</v>
      </c>
      <c r="BF41">
        <v>2024</v>
      </c>
      <c r="BG41">
        <v>2024.125</v>
      </c>
      <c r="BH41">
        <v>2024.25</v>
      </c>
      <c r="BI41">
        <v>2024.375</v>
      </c>
      <c r="BJ41">
        <v>2024.5</v>
      </c>
      <c r="BK41">
        <v>2024.625</v>
      </c>
      <c r="BL41">
        <v>2024.75</v>
      </c>
      <c r="BM41">
        <v>2024.875</v>
      </c>
      <c r="BN41">
        <v>2025</v>
      </c>
      <c r="BO41">
        <v>2025.125</v>
      </c>
      <c r="BP41">
        <v>2025.25</v>
      </c>
      <c r="BQ41">
        <v>2025.375</v>
      </c>
      <c r="BR41">
        <v>2025.5</v>
      </c>
      <c r="BS41">
        <v>2025.625</v>
      </c>
      <c r="BT41">
        <v>2025.75</v>
      </c>
      <c r="BU41">
        <v>2025.875</v>
      </c>
      <c r="BV41">
        <v>2026</v>
      </c>
      <c r="BW41">
        <v>2026.125</v>
      </c>
      <c r="BX41">
        <v>2026.25</v>
      </c>
      <c r="BY41">
        <v>2026.375</v>
      </c>
      <c r="BZ41">
        <v>2026.5</v>
      </c>
      <c r="CA41">
        <v>2026.625</v>
      </c>
      <c r="CB41">
        <v>2026.75</v>
      </c>
      <c r="CC41">
        <v>2026.875</v>
      </c>
      <c r="CD41">
        <v>2027</v>
      </c>
      <c r="CE41">
        <v>2027.125</v>
      </c>
      <c r="CF41">
        <v>2027.25</v>
      </c>
      <c r="CG41">
        <v>2027.375</v>
      </c>
      <c r="CH41">
        <v>2027.5</v>
      </c>
      <c r="CI41">
        <v>2027.625</v>
      </c>
      <c r="CJ41">
        <v>2027.75</v>
      </c>
      <c r="CK41">
        <v>2027.875</v>
      </c>
      <c r="CL41">
        <v>2028</v>
      </c>
      <c r="CM41">
        <v>2028.125</v>
      </c>
      <c r="CN41">
        <v>2028.25</v>
      </c>
      <c r="CO41">
        <v>2028.375</v>
      </c>
      <c r="CP41">
        <v>2028.5</v>
      </c>
      <c r="CQ41">
        <v>2028.625</v>
      </c>
      <c r="CR41">
        <v>2028.75</v>
      </c>
      <c r="CS41">
        <v>2028.875</v>
      </c>
      <c r="CT41">
        <v>2029</v>
      </c>
      <c r="CU41">
        <v>2029.125</v>
      </c>
      <c r="CV41">
        <v>2029.25</v>
      </c>
      <c r="CW41">
        <v>2029.375</v>
      </c>
      <c r="CX41">
        <v>2029.5</v>
      </c>
      <c r="CY41">
        <v>2029.625</v>
      </c>
      <c r="CZ41">
        <v>2029.75</v>
      </c>
      <c r="DA41">
        <v>2029.875</v>
      </c>
      <c r="DB41">
        <v>2030</v>
      </c>
      <c r="DC41">
        <v>2030.125</v>
      </c>
      <c r="DD41">
        <v>2030.25</v>
      </c>
      <c r="DE41">
        <v>2030.375</v>
      </c>
    </row>
    <row r="42" spans="1:109" x14ac:dyDescent="0.2">
      <c r="A42" s="33" t="s">
        <v>895</v>
      </c>
      <c r="B42">
        <v>0.58068820055793302</v>
      </c>
      <c r="C42">
        <v>0.58570041541033535</v>
      </c>
      <c r="D42">
        <v>0.58371690157127387</v>
      </c>
      <c r="E42">
        <v>0.57571946544215602</v>
      </c>
      <c r="F42">
        <v>0.58411442307363959</v>
      </c>
      <c r="G42">
        <v>0.58347842821687856</v>
      </c>
      <c r="H42">
        <v>0.5943771591886412</v>
      </c>
      <c r="I42">
        <v>0.60418856662343023</v>
      </c>
      <c r="J42">
        <v>0.62189911819688148</v>
      </c>
      <c r="K42">
        <v>0.64266417340572435</v>
      </c>
      <c r="L42">
        <v>0.66268230631959546</v>
      </c>
      <c r="M42">
        <v>0.68183761873156423</v>
      </c>
      <c r="N42">
        <v>0.70019402545516141</v>
      </c>
      <c r="O42">
        <v>0.71821342122755616</v>
      </c>
      <c r="P42">
        <v>0.76861344694699518</v>
      </c>
      <c r="Q42">
        <v>0.74078569149280205</v>
      </c>
      <c r="R42">
        <v>0.7140645200788116</v>
      </c>
      <c r="S42">
        <v>0.71815965750351607</v>
      </c>
      <c r="T42">
        <v>0.72219614480710981</v>
      </c>
      <c r="U42">
        <v>0.72617482197036753</v>
      </c>
      <c r="V42">
        <v>0.73009651694394884</v>
      </c>
      <c r="W42">
        <v>0.73396204582069247</v>
      </c>
      <c r="X42">
        <v>0.7377722130054426</v>
      </c>
      <c r="Y42">
        <v>0.74152781138244295</v>
      </c>
      <c r="Z42">
        <v>0.74522962248033386</v>
      </c>
      <c r="AA42">
        <v>0.72486397792828017</v>
      </c>
      <c r="AB42">
        <v>0.70492615608460263</v>
      </c>
      <c r="AC42">
        <v>0.68542854859281499</v>
      </c>
      <c r="AD42">
        <v>0.66638082878456595</v>
      </c>
      <c r="AE42">
        <v>0.64779016757389174</v>
      </c>
      <c r="AF42">
        <v>0.62966145286834685</v>
      </c>
      <c r="AG42">
        <v>0.6119975061435271</v>
      </c>
      <c r="AH42">
        <v>0.59479929175838575</v>
      </c>
      <c r="AI42">
        <v>0.5947859010229859</v>
      </c>
      <c r="AJ42">
        <v>0.59547707499285352</v>
      </c>
      <c r="AK42">
        <v>0.59684066643862654</v>
      </c>
      <c r="AL42">
        <v>0.59884564652874961</v>
      </c>
      <c r="AM42">
        <v>0.6014621474086097</v>
      </c>
      <c r="AN42">
        <v>0.60466148771852068</v>
      </c>
      <c r="AO42">
        <v>0.60841618396459551</v>
      </c>
      <c r="AP42">
        <v>0.61269995024315838</v>
      </c>
      <c r="AQ42">
        <v>0.65967446571318911</v>
      </c>
      <c r="AR42">
        <v>0.70095157653524853</v>
      </c>
      <c r="AS42">
        <v>0.73722230462617655</v>
      </c>
      <c r="AT42">
        <v>0.76909385983064016</v>
      </c>
      <c r="AU42">
        <v>0.79709980524768975</v>
      </c>
      <c r="AV42">
        <v>0.82170898963392613</v>
      </c>
      <c r="AW42">
        <v>0.84333339642103267</v>
      </c>
      <c r="AX42">
        <v>0.86233504074841605</v>
      </c>
      <c r="AY42">
        <v>0.87903202997448171</v>
      </c>
      <c r="AZ42">
        <v>0.89370388912582832</v>
      </c>
      <c r="BA42">
        <v>0.90659624043793829</v>
      </c>
      <c r="BB42">
        <v>0.91792491532776022</v>
      </c>
      <c r="BC42">
        <v>0.92787956763689561</v>
      </c>
      <c r="BD42">
        <v>0.9366268486348529</v>
      </c>
      <c r="BE42">
        <v>0.94431319693523574</v>
      </c>
      <c r="BF42">
        <v>0.95106729003097545</v>
      </c>
      <c r="BG42">
        <v>0.95700219848986567</v>
      </c>
      <c r="BH42">
        <v>0.96221727887388109</v>
      </c>
      <c r="BI42">
        <v>0.96679983707172545</v>
      </c>
      <c r="BJ42">
        <v>0.97082658989053072</v>
      </c>
      <c r="BK42">
        <v>0.97436494937527951</v>
      </c>
      <c r="BL42">
        <v>0.97747415135679738</v>
      </c>
      <c r="BM42">
        <v>0.98020624712138615</v>
      </c>
      <c r="BN42">
        <v>0.98260697480368353</v>
      </c>
      <c r="BO42">
        <v>0.98471652509077479</v>
      </c>
      <c r="BP42">
        <v>0.98657021405624212</v>
      </c>
      <c r="BQ42">
        <v>0.98819907438809673</v>
      </c>
      <c r="BR42">
        <v>0.98963037490836536</v>
      </c>
      <c r="BS42">
        <v>0.99088807708163185</v>
      </c>
      <c r="BT42">
        <v>0.9919932361549636</v>
      </c>
      <c r="BU42">
        <v>0.99296435364472302</v>
      </c>
      <c r="BV42">
        <v>0.99381768707126172</v>
      </c>
      <c r="BW42">
        <v>0.99456752212677979</v>
      </c>
      <c r="BX42">
        <v>0.99522641183272331</v>
      </c>
      <c r="BY42">
        <v>0.99580538669046492</v>
      </c>
      <c r="BZ42">
        <v>0.99631413934340995</v>
      </c>
      <c r="CA42">
        <v>0.99676118684196324</v>
      </c>
      <c r="CB42">
        <v>0.99715401322784225</v>
      </c>
      <c r="CC42">
        <v>0.99749919482474669</v>
      </c>
      <c r="CD42">
        <v>0.99780251033288103</v>
      </c>
      <c r="CE42">
        <v>0.99806903757042753</v>
      </c>
      <c r="CF42">
        <v>0.99830323848152203</v>
      </c>
      <c r="CG42">
        <v>0.99850903383385603</v>
      </c>
      <c r="CH42">
        <v>0.99868986885642008</v>
      </c>
      <c r="CI42">
        <v>0.99884877091623259</v>
      </c>
      <c r="CJ42">
        <v>0.99898840019962398</v>
      </c>
      <c r="CK42">
        <v>0.99911109424653177</v>
      </c>
      <c r="CL42">
        <v>0.99921890708335925</v>
      </c>
      <c r="CM42">
        <v>0.99931364360952113</v>
      </c>
      <c r="CN42">
        <v>0.99939688981334363</v>
      </c>
      <c r="CO42">
        <v>0.99947003932316425</v>
      </c>
      <c r="CP42">
        <v>0.99953431673812498</v>
      </c>
      <c r="CQ42">
        <v>0.99959079812923979</v>
      </c>
      <c r="CR42">
        <v>0.99964042905394646</v>
      </c>
      <c r="CS42">
        <v>0.99968404038572545</v>
      </c>
      <c r="CT42">
        <v>0.99972236222378863</v>
      </c>
      <c r="CU42">
        <v>0.99975603611570241</v>
      </c>
      <c r="CV42">
        <v>0.99978562579756347</v>
      </c>
      <c r="CW42">
        <v>0.99981162663152945</v>
      </c>
      <c r="CX42">
        <v>0.99983447389869839</v>
      </c>
      <c r="CY42">
        <v>0.99985455008616897</v>
      </c>
      <c r="CZ42">
        <v>0.99987219129027327</v>
      </c>
      <c r="DA42">
        <v>0.99988769284318046</v>
      </c>
      <c r="DB42">
        <v>0.99990131425706541</v>
      </c>
      <c r="DC42">
        <v>0.99991328356861353</v>
      </c>
      <c r="DD42">
        <v>0.99992380115659274</v>
      </c>
      <c r="DE42">
        <v>0.99993304309640318</v>
      </c>
    </row>
    <row r="43" spans="1:109" x14ac:dyDescent="0.2">
      <c r="A43" t="s">
        <v>473</v>
      </c>
      <c r="B43">
        <v>0.93385078430175783</v>
      </c>
      <c r="C43">
        <v>0.92762374342173204</v>
      </c>
      <c r="D43">
        <v>0.83706282074076577</v>
      </c>
      <c r="E43">
        <v>0.74584692773209538</v>
      </c>
      <c r="F43">
        <v>0.66278927617000094</v>
      </c>
      <c r="G43">
        <v>0.70805658939738658</v>
      </c>
      <c r="H43">
        <v>0.74724719894360669</v>
      </c>
      <c r="I43">
        <v>0.74724774203938926</v>
      </c>
      <c r="J43">
        <v>0.77322871389117265</v>
      </c>
      <c r="K43">
        <v>0.80367058929380819</v>
      </c>
      <c r="L43">
        <v>0.83002593419282056</v>
      </c>
      <c r="M43">
        <v>0.85284332620822045</v>
      </c>
      <c r="N43">
        <v>0.87259770166334683</v>
      </c>
      <c r="O43">
        <v>0.88970024122434122</v>
      </c>
      <c r="P43">
        <v>0.42217974344454889</v>
      </c>
      <c r="Q43">
        <v>0.42417870830355514</v>
      </c>
      <c r="R43">
        <v>0.42567074538832739</v>
      </c>
      <c r="S43">
        <v>0.42800453863980725</v>
      </c>
      <c r="T43">
        <v>0.43024642168021998</v>
      </c>
      <c r="U43">
        <v>0.43240643421441527</v>
      </c>
      <c r="V43">
        <v>0.43450368778361509</v>
      </c>
      <c r="W43">
        <v>0.43655407645984989</v>
      </c>
      <c r="X43">
        <v>0.43857101532737042</v>
      </c>
      <c r="Y43">
        <v>0.44056590474496155</v>
      </c>
      <c r="Z43">
        <v>0.44254853130928906</v>
      </c>
      <c r="AA43">
        <v>0.45354127606639122</v>
      </c>
      <c r="AB43">
        <v>0.46426560010385293</v>
      </c>
      <c r="AC43">
        <v>0.4747278424276648</v>
      </c>
      <c r="AD43">
        <v>0.48493419466875259</v>
      </c>
      <c r="AE43">
        <v>0.49489070448763212</v>
      </c>
      <c r="AF43">
        <v>0.50460327890043344</v>
      </c>
      <c r="AG43">
        <v>0.51407768752811978</v>
      </c>
      <c r="AH43">
        <v>0.52331956577068395</v>
      </c>
      <c r="AI43">
        <v>0.52288183621552942</v>
      </c>
      <c r="AJ43">
        <v>0.52246237401821394</v>
      </c>
      <c r="AK43">
        <v>0.52206363112305454</v>
      </c>
      <c r="AL43">
        <v>0.52168766492200025</v>
      </c>
      <c r="AM43">
        <v>0.52133618244369784</v>
      </c>
      <c r="AN43">
        <v>0.52101057939886408</v>
      </c>
      <c r="AO43">
        <v>0.52071197477871434</v>
      </c>
      <c r="AP43">
        <v>0.52044124159285976</v>
      </c>
      <c r="AQ43">
        <v>0.52364375087860071</v>
      </c>
      <c r="AR43">
        <v>0.52674472627536451</v>
      </c>
      <c r="AS43">
        <v>0.52975826676186233</v>
      </c>
      <c r="AT43">
        <v>0.53269703757372833</v>
      </c>
      <c r="AU43">
        <v>0.53557246247506418</v>
      </c>
      <c r="AV43">
        <v>0.53839488464458674</v>
      </c>
      <c r="AW43">
        <v>0.54117370229079975</v>
      </c>
      <c r="AX43">
        <v>0.54391748374726234</v>
      </c>
      <c r="AY43">
        <v>0.54663406577490692</v>
      </c>
      <c r="AZ43">
        <v>0.54933063802093596</v>
      </c>
      <c r="BA43">
        <v>0.5520138159878778</v>
      </c>
      <c r="BB43">
        <v>0.55468970440536036</v>
      </c>
      <c r="BC43">
        <v>0.55736394992402971</v>
      </c>
      <c r="BD43">
        <v>0.56004178749372635</v>
      </c>
      <c r="BE43">
        <v>0.56272808135158814</v>
      </c>
      <c r="BF43">
        <v>0.56542736138870386</v>
      </c>
      <c r="BG43">
        <v>0.56814385553698743</v>
      </c>
      <c r="BH43">
        <v>0.57088151871469939</v>
      </c>
      <c r="BI43">
        <v>0.57364405878460467</v>
      </c>
      <c r="BJ43">
        <v>0.57643495990932969</v>
      </c>
      <c r="BK43">
        <v>0.57925750363110762</v>
      </c>
      <c r="BL43">
        <v>0.58211478795545235</v>
      </c>
      <c r="BM43">
        <v>0.58500974467855571</v>
      </c>
      <c r="BN43">
        <v>0.58794515516489387</v>
      </c>
      <c r="BO43">
        <v>0.59092366475350644</v>
      </c>
      <c r="BP43">
        <v>0.59394779594773539</v>
      </c>
      <c r="BQ43">
        <v>0.59701996052313377</v>
      </c>
      <c r="BR43">
        <v>0.60014247067116755</v>
      </c>
      <c r="BS43">
        <v>0.60331754928173698</v>
      </c>
      <c r="BT43">
        <v>0.60654733945503947</v>
      </c>
      <c r="BU43">
        <v>0.60983391332253933</v>
      </c>
      <c r="BV43">
        <v>0.61317928024754009</v>
      </c>
      <c r="BW43">
        <v>0.61658539446783212</v>
      </c>
      <c r="BX43">
        <v>0.62005416119294743</v>
      </c>
      <c r="BY43">
        <v>0.62358744010539557</v>
      </c>
      <c r="BZ43">
        <v>0.62718704863328611</v>
      </c>
      <c r="CA43">
        <v>0.63085476501552618</v>
      </c>
      <c r="CB43">
        <v>0.63459233117844893</v>
      </c>
      <c r="CC43">
        <v>0.63840145544068172</v>
      </c>
      <c r="CD43">
        <v>0.64228381506125642</v>
      </c>
      <c r="CE43">
        <v>0.64624105864437187</v>
      </c>
      <c r="CF43">
        <v>0.65027480841281671</v>
      </c>
      <c r="CG43">
        <v>0.65438666236081644</v>
      </c>
      <c r="CH43">
        <v>0.65857819629597525</v>
      </c>
      <c r="CI43">
        <v>0.66285096577900959</v>
      </c>
      <c r="CJ43">
        <v>0.66720650796911263</v>
      </c>
      <c r="CK43">
        <v>0.67164634338202578</v>
      </c>
      <c r="CL43">
        <v>0.67617197756721792</v>
      </c>
      <c r="CM43">
        <v>0.68078490270997072</v>
      </c>
      <c r="CN43">
        <v>0.68548659916363686</v>
      </c>
      <c r="CO43">
        <v>0.69027853691686059</v>
      </c>
      <c r="CP43">
        <v>0.69516217700012839</v>
      </c>
      <c r="CQ43">
        <v>0.70013897283563797</v>
      </c>
      <c r="CR43">
        <v>0.70521037153413935</v>
      </c>
      <c r="CS43">
        <v>0.71037781514209752</v>
      </c>
      <c r="CT43">
        <v>0.71564274184225862</v>
      </c>
      <c r="CU43">
        <v>0.72100658711045784</v>
      </c>
      <c r="CV43">
        <v>0.72647078483129168</v>
      </c>
      <c r="CW43">
        <v>0.73203676837508025</v>
      </c>
      <c r="CX43">
        <v>0.7377059716383717</v>
      </c>
      <c r="CY43">
        <v>0.74347983005007956</v>
      </c>
      <c r="CZ43">
        <v>0.74935978154520277</v>
      </c>
      <c r="DA43">
        <v>0.75534726750794678</v>
      </c>
      <c r="DB43">
        <v>0.7614437336859482</v>
      </c>
      <c r="DC43">
        <v>0.76760010505333187</v>
      </c>
      <c r="DD43">
        <v>0.7735976002402708</v>
      </c>
      <c r="DE43">
        <v>0.77944031933092273</v>
      </c>
    </row>
    <row r="44" spans="1:109" x14ac:dyDescent="0.2">
      <c r="A44" t="s">
        <v>474</v>
      </c>
      <c r="B44">
        <v>0.36852024078369139</v>
      </c>
      <c r="C44">
        <v>0.39332890623941064</v>
      </c>
      <c r="D44">
        <v>0.43267104377250326</v>
      </c>
      <c r="E44">
        <v>0.4659646130986107</v>
      </c>
      <c r="F44">
        <v>0.52028622283819392</v>
      </c>
      <c r="G44">
        <v>0.48554648063208877</v>
      </c>
      <c r="H44">
        <v>0.49719328806324414</v>
      </c>
      <c r="I44">
        <v>0.52187334306696365</v>
      </c>
      <c r="J44">
        <v>0.56596529579110899</v>
      </c>
      <c r="K44">
        <v>0.62314838300127828</v>
      </c>
      <c r="L44">
        <v>0.67373710685078458</v>
      </c>
      <c r="M44">
        <v>0.7175347785585926</v>
      </c>
      <c r="N44">
        <v>0.7554530318976449</v>
      </c>
      <c r="O44">
        <v>0.78828112252941729</v>
      </c>
      <c r="P44">
        <v>0.59165753244020913</v>
      </c>
      <c r="Q44">
        <v>0.58987953842507901</v>
      </c>
      <c r="R44">
        <v>0.58758058382332135</v>
      </c>
      <c r="S44">
        <v>0.5835375304675422</v>
      </c>
      <c r="T44">
        <v>0.57960169439788278</v>
      </c>
      <c r="U44">
        <v>0.57577317320422927</v>
      </c>
      <c r="V44">
        <v>0.57206160602155809</v>
      </c>
      <c r="W44">
        <v>0.56847441645268559</v>
      </c>
      <c r="X44">
        <v>0.56501738575662463</v>
      </c>
      <c r="Y44">
        <v>0.56169499531670486</v>
      </c>
      <c r="Z44">
        <v>0.5585107311270946</v>
      </c>
      <c r="AA44">
        <v>0.55927015598825924</v>
      </c>
      <c r="AB44">
        <v>0.5605708098442802</v>
      </c>
      <c r="AC44">
        <v>0.56239539452826315</v>
      </c>
      <c r="AD44">
        <v>0.56472682189351842</v>
      </c>
      <c r="AE44">
        <v>0.56754822528633642</v>
      </c>
      <c r="AF44">
        <v>0.57084296988706529</v>
      </c>
      <c r="AG44">
        <v>0.57459466198623399</v>
      </c>
      <c r="AH44">
        <v>0.57878715725908947</v>
      </c>
      <c r="AI44">
        <v>0.58547313916353916</v>
      </c>
      <c r="AJ44">
        <v>0.59177198417544741</v>
      </c>
      <c r="AK44">
        <v>0.59770918072409851</v>
      </c>
      <c r="AL44">
        <v>0.60330852646356303</v>
      </c>
      <c r="AM44">
        <v>0.6085922640298238</v>
      </c>
      <c r="AN44">
        <v>0.61358120264887417</v>
      </c>
      <c r="AO44">
        <v>0.61829482744828845</v>
      </c>
      <c r="AP44">
        <v>0.62275139803903778</v>
      </c>
      <c r="AQ44">
        <v>0.62584201209830559</v>
      </c>
      <c r="AR44">
        <v>0.62892734233266434</v>
      </c>
      <c r="AS44">
        <v>0.63201879473929801</v>
      </c>
      <c r="AT44">
        <v>0.6351269583704674</v>
      </c>
      <c r="AU44">
        <v>0.63826172932576175</v>
      </c>
      <c r="AV44">
        <v>0.64143241565062603</v>
      </c>
      <c r="AW44">
        <v>0.644647826873884</v>
      </c>
      <c r="AX44">
        <v>0.64791635109963808</v>
      </c>
      <c r="AY44">
        <v>0.65124602195265058</v>
      </c>
      <c r="AZ44">
        <v>0.65464457720696612</v>
      </c>
      <c r="BA44">
        <v>0.6581195105667943</v>
      </c>
      <c r="BB44">
        <v>0.66167811778902319</v>
      </c>
      <c r="BC44">
        <v>0.66532753498543307</v>
      </c>
      <c r="BD44">
        <v>0.66907477345984712</v>
      </c>
      <c r="BE44">
        <v>0.67292675165007987</v>
      </c>
      <c r="BF44">
        <v>0.67689032465451104</v>
      </c>
      <c r="BG44">
        <v>0.68097231175046324</v>
      </c>
      <c r="BH44">
        <v>0.68517952225269441</v>
      </c>
      <c r="BI44">
        <v>0.68951878001245204</v>
      </c>
      <c r="BJ44">
        <v>0.69399694681852142</v>
      </c>
      <c r="BK44">
        <v>0.69862094492985072</v>
      </c>
      <c r="BL44">
        <v>0.70339777894333355</v>
      </c>
      <c r="BM44">
        <v>0.70833455717912974</v>
      </c>
      <c r="BN44">
        <v>0.71343851274868897</v>
      </c>
      <c r="BO44">
        <v>0.71871702445674357</v>
      </c>
      <c r="BP44">
        <v>0.72417763767744614</v>
      </c>
      <c r="BQ44">
        <v>0.72982808533611543</v>
      </c>
      <c r="BR44">
        <v>0.73567630912139315</v>
      </c>
      <c r="BS44">
        <v>0.74173048104774109</v>
      </c>
      <c r="BT44">
        <v>0.74799902548490227</v>
      </c>
      <c r="BU44">
        <v>0.75436530342338148</v>
      </c>
      <c r="BV44">
        <v>0.76057075065528135</v>
      </c>
      <c r="BW44">
        <v>0.76661943023226686</v>
      </c>
      <c r="BX44">
        <v>0.77251530256149481</v>
      </c>
      <c r="BY44">
        <v>0.77826222799871214</v>
      </c>
      <c r="BZ44">
        <v>0.78386396937584624</v>
      </c>
      <c r="CA44">
        <v>0.78932419446474</v>
      </c>
      <c r="CB44">
        <v>0.79464647837864655</v>
      </c>
      <c r="CC44">
        <v>0.79983430591305449</v>
      </c>
      <c r="CD44">
        <v>0.80489107382737768</v>
      </c>
      <c r="CE44">
        <v>0.8098200930690026</v>
      </c>
      <c r="CF44">
        <v>0.81462459094114992</v>
      </c>
      <c r="CG44">
        <v>0.81930771321596962</v>
      </c>
      <c r="CH44">
        <v>0.82387252619425289</v>
      </c>
      <c r="CI44">
        <v>0.82832201871310995</v>
      </c>
      <c r="CJ44">
        <v>0.8326591041029282</v>
      </c>
      <c r="CK44">
        <v>0.83688662209489162</v>
      </c>
      <c r="CL44">
        <v>0.8410073406803108</v>
      </c>
      <c r="CM44">
        <v>0.84502395792298124</v>
      </c>
      <c r="CN44">
        <v>0.84893910372575532</v>
      </c>
      <c r="CO44">
        <v>0.85275534155248645</v>
      </c>
      <c r="CP44">
        <v>0.85647517010647145</v>
      </c>
      <c r="CQ44">
        <v>0.86010102496649077</v>
      </c>
      <c r="CR44">
        <v>0.86363528018151703</v>
      </c>
      <c r="CS44">
        <v>0.86708024982513765</v>
      </c>
      <c r="CT44">
        <v>0.87043818951070706</v>
      </c>
      <c r="CU44">
        <v>0.87371129786822255</v>
      </c>
      <c r="CV44">
        <v>0.87690171798388983</v>
      </c>
      <c r="CW44">
        <v>0.8800115388033205</v>
      </c>
      <c r="CX44">
        <v>0.88304279649928119</v>
      </c>
      <c r="CY44">
        <v>0.88599747580488941</v>
      </c>
      <c r="CZ44">
        <v>0.88887751131312831</v>
      </c>
      <c r="DA44">
        <v>0.89168478874353274</v>
      </c>
      <c r="DB44">
        <v>0.89442114617687452</v>
      </c>
      <c r="DC44">
        <v>0.89708837525865659</v>
      </c>
      <c r="DD44">
        <v>0.89968822237220269</v>
      </c>
      <c r="DE44">
        <v>0.90222238978211178</v>
      </c>
    </row>
    <row r="45" spans="1:109" x14ac:dyDescent="0.2">
      <c r="A45" t="s">
        <v>475</v>
      </c>
      <c r="B45">
        <v>0.55213714599609376</v>
      </c>
      <c r="C45">
        <v>0.58717420817280608</v>
      </c>
      <c r="D45">
        <v>0.58357611224694617</v>
      </c>
      <c r="E45">
        <v>0.55931342381162774</v>
      </c>
      <c r="F45">
        <v>0.57797259733992801</v>
      </c>
      <c r="G45">
        <v>0.60803900352825269</v>
      </c>
      <c r="H45">
        <v>0.65401711985782829</v>
      </c>
      <c r="I45">
        <v>0.67408296682708191</v>
      </c>
      <c r="J45">
        <v>0.71717801415491766</v>
      </c>
      <c r="K45">
        <v>0.75514415970162607</v>
      </c>
      <c r="L45">
        <v>0.7880137134704116</v>
      </c>
      <c r="M45">
        <v>0.81647084414304982</v>
      </c>
      <c r="N45">
        <v>0.8411078773019437</v>
      </c>
      <c r="O45">
        <v>0.86243762448745498</v>
      </c>
      <c r="P45">
        <v>0.77166852087683924</v>
      </c>
      <c r="Q45">
        <v>0.78760233157250892</v>
      </c>
      <c r="R45">
        <v>0.80242422233379018</v>
      </c>
      <c r="S45">
        <v>0.80679890537142496</v>
      </c>
      <c r="T45">
        <v>0.81107672505918038</v>
      </c>
      <c r="U45">
        <v>0.81525982612582171</v>
      </c>
      <c r="V45">
        <v>0.81935030581196233</v>
      </c>
      <c r="W45">
        <v>0.82309787341450824</v>
      </c>
      <c r="X45">
        <v>0.82650618430494438</v>
      </c>
      <c r="Y45">
        <v>0.82961157700177257</v>
      </c>
      <c r="Z45">
        <v>0.83244662494268629</v>
      </c>
      <c r="AA45">
        <v>0.83691517390236436</v>
      </c>
      <c r="AB45">
        <v>0.8412645493163099</v>
      </c>
      <c r="AC45">
        <v>0.84549792947217961</v>
      </c>
      <c r="AD45">
        <v>0.84961840789458709</v>
      </c>
      <c r="AE45">
        <v>0.85362899560568217</v>
      </c>
      <c r="AF45">
        <v>0.85753262332544333</v>
      </c>
      <c r="AG45">
        <v>0.86133214361328825</v>
      </c>
      <c r="AH45">
        <v>0.86503033295256992</v>
      </c>
      <c r="AI45">
        <v>0.85985946557511372</v>
      </c>
      <c r="AJ45">
        <v>0.8548948161816613</v>
      </c>
      <c r="AK45">
        <v>0.85012999271589784</v>
      </c>
      <c r="AL45">
        <v>0.84555944449774423</v>
      </c>
      <c r="AM45">
        <v>0.84117839713589426</v>
      </c>
      <c r="AN45">
        <v>0.83698279346335913</v>
      </c>
      <c r="AO45">
        <v>0.83296923967983216</v>
      </c>
      <c r="AP45">
        <v>0.82913495606572707</v>
      </c>
      <c r="AQ45">
        <v>0.83883013422004049</v>
      </c>
      <c r="AR45">
        <v>0.84797519119520837</v>
      </c>
      <c r="AS45">
        <v>0.8566013418185322</v>
      </c>
      <c r="AT45">
        <v>0.86473802973401726</v>
      </c>
      <c r="AU45">
        <v>0.8724130279023764</v>
      </c>
      <c r="AV45">
        <v>0.87965253339849014</v>
      </c>
      <c r="AW45">
        <v>0.88648125682989465</v>
      </c>
      <c r="AX45">
        <v>0.89292250668151019</v>
      </c>
      <c r="AY45">
        <v>0.89899826887450385</v>
      </c>
      <c r="AZ45">
        <v>0.90472928181084455</v>
      </c>
      <c r="BA45">
        <v>0.91013510715970036</v>
      </c>
      <c r="BB45">
        <v>0.91523419662729288</v>
      </c>
      <c r="BC45">
        <v>0.92004395493811519</v>
      </c>
      <c r="BD45">
        <v>0.92458079924248604</v>
      </c>
      <c r="BE45">
        <v>0.92886021515321671</v>
      </c>
      <c r="BF45">
        <v>0.93289680960266075</v>
      </c>
      <c r="BG45">
        <v>0.93670436070056273</v>
      </c>
      <c r="BH45">
        <v>0.94029586476288729</v>
      </c>
      <c r="BI45">
        <v>0.94368358067215008</v>
      </c>
      <c r="BJ45">
        <v>0.94687907172066765</v>
      </c>
      <c r="BK45">
        <v>0.9498932450795482</v>
      </c>
      <c r="BL45">
        <v>0.95273638902814406</v>
      </c>
      <c r="BM45">
        <v>0.95541820807104072</v>
      </c>
      <c r="BN45">
        <v>0.95794785606244648</v>
      </c>
      <c r="BO45">
        <v>0.96033396745104771</v>
      </c>
      <c r="BP45">
        <v>0.96258468675197639</v>
      </c>
      <c r="BQ45">
        <v>0.96470769634648756</v>
      </c>
      <c r="BR45">
        <v>0.966710242704235</v>
      </c>
      <c r="BS45">
        <v>0.96859916111764932</v>
      </c>
      <c r="BT45">
        <v>0.97038089903284508</v>
      </c>
      <c r="BU45">
        <v>0.97206153805669149</v>
      </c>
      <c r="BV45">
        <v>0.97364681471516401</v>
      </c>
      <c r="BW45">
        <v>0.97514214003383126</v>
      </c>
      <c r="BX45">
        <v>0.97655261800731119</v>
      </c>
      <c r="BY45">
        <v>0.97788306302073835</v>
      </c>
      <c r="BZ45">
        <v>0.97913801628270658</v>
      </c>
      <c r="CA45">
        <v>0.98032176132577897</v>
      </c>
      <c r="CB45">
        <v>0.98143833862747132</v>
      </c>
      <c r="CC45">
        <v>0.98249155940161592</v>
      </c>
      <c r="CD45">
        <v>0.98348501860717963</v>
      </c>
      <c r="CE45">
        <v>0.98442210721893897</v>
      </c>
      <c r="CF45">
        <v>0.98530602380189591</v>
      </c>
      <c r="CG45">
        <v>0.98613978542894154</v>
      </c>
      <c r="CH45">
        <v>0.98692623797903201</v>
      </c>
      <c r="CI45">
        <v>0.98766806585102873</v>
      </c>
      <c r="CJ45">
        <v>0.98836780112635825</v>
      </c>
      <c r="CK45">
        <v>0.98902783221176704</v>
      </c>
      <c r="CL45">
        <v>0.98965041199167136</v>
      </c>
      <c r="CM45">
        <v>0.99023766551792858</v>
      </c>
      <c r="CN45">
        <v>0.99079159726327781</v>
      </c>
      <c r="CO45">
        <v>0.99131409796320757</v>
      </c>
      <c r="CP45">
        <v>0.99180695106960426</v>
      </c>
      <c r="CQ45">
        <v>0.99227183883820924</v>
      </c>
      <c r="CR45">
        <v>0.99271034807066305</v>
      </c>
      <c r="CS45">
        <v>0.99312397553073639</v>
      </c>
      <c r="CT45">
        <v>0.99351413305323455</v>
      </c>
      <c r="CU45">
        <v>0.99388215236301358</v>
      </c>
      <c r="CV45">
        <v>0.9942292896205579</v>
      </c>
      <c r="CW45">
        <v>0.99455672970963283</v>
      </c>
      <c r="CX45">
        <v>0.99486559028164945</v>
      </c>
      <c r="CY45">
        <v>0.99515692557054447</v>
      </c>
      <c r="CZ45">
        <v>0.99543172999119722</v>
      </c>
      <c r="DA45">
        <v>0.99569094153366688</v>
      </c>
      <c r="DB45">
        <v>0.99593544496483399</v>
      </c>
      <c r="DC45">
        <v>0.99616607484837594</v>
      </c>
      <c r="DD45">
        <v>0.9963836183933833</v>
      </c>
      <c r="DE45">
        <v>0.99658881814134126</v>
      </c>
    </row>
    <row r="46" spans="1:109" x14ac:dyDescent="0.2">
      <c r="A46" t="s">
        <v>476</v>
      </c>
      <c r="B46">
        <v>0.65300369262695313</v>
      </c>
      <c r="C46">
        <v>0.64759984897599676</v>
      </c>
      <c r="D46">
        <v>0.69490619747108118</v>
      </c>
      <c r="E46">
        <v>0.73586212130988915</v>
      </c>
      <c r="F46">
        <v>0.77132010424138797</v>
      </c>
      <c r="G46">
        <v>0.75398638251707084</v>
      </c>
      <c r="H46">
        <v>0.78701135679522072</v>
      </c>
      <c r="I46">
        <v>0.77805721195959576</v>
      </c>
      <c r="J46">
        <v>0.79918954173931922</v>
      </c>
      <c r="K46">
        <v>0.82614642439766495</v>
      </c>
      <c r="L46">
        <v>0.8494846034837471</v>
      </c>
      <c r="M46">
        <v>0.86968985532822973</v>
      </c>
      <c r="N46">
        <v>0.88718274543731412</v>
      </c>
      <c r="O46">
        <v>0.90232738242198307</v>
      </c>
      <c r="P46">
        <v>0.34013319951884968</v>
      </c>
      <c r="Q46">
        <v>0.33604370288817065</v>
      </c>
      <c r="R46">
        <v>0.33187805136881932</v>
      </c>
      <c r="S46">
        <v>0.32890669854664373</v>
      </c>
      <c r="T46">
        <v>0.326050617398981</v>
      </c>
      <c r="U46">
        <v>0.32330566025630103</v>
      </c>
      <c r="V46">
        <v>0.32066793104805774</v>
      </c>
      <c r="W46">
        <v>0.31813397671434723</v>
      </c>
      <c r="X46">
        <v>0.31569911917279331</v>
      </c>
      <c r="Y46">
        <v>0.31335904948716448</v>
      </c>
      <c r="Z46">
        <v>0.31110999608894102</v>
      </c>
      <c r="AA46">
        <v>0.31505374498318295</v>
      </c>
      <c r="AB46">
        <v>0.31894077109788843</v>
      </c>
      <c r="AC46">
        <v>0.32276609392693567</v>
      </c>
      <c r="AD46">
        <v>0.32652566864789445</v>
      </c>
      <c r="AE46">
        <v>0.33021625146356703</v>
      </c>
      <c r="AF46">
        <v>0.33383527931615686</v>
      </c>
      <c r="AG46">
        <v>0.33738076326382993</v>
      </c>
      <c r="AH46">
        <v>0.34085119468832381</v>
      </c>
      <c r="AI46">
        <v>0.34024745199165279</v>
      </c>
      <c r="AJ46">
        <v>0.33974338581492208</v>
      </c>
      <c r="AK46">
        <v>0.33934111542607454</v>
      </c>
      <c r="AL46">
        <v>0.33904297046965598</v>
      </c>
      <c r="AM46">
        <v>0.33885142985517047</v>
      </c>
      <c r="AN46">
        <v>0.33876907228497583</v>
      </c>
      <c r="AO46">
        <v>0.33879853682308408</v>
      </c>
      <c r="AP46">
        <v>0.3389424920991691</v>
      </c>
      <c r="AQ46">
        <v>0.35582687832522186</v>
      </c>
      <c r="AR46">
        <v>0.37228001236092317</v>
      </c>
      <c r="AS46">
        <v>0.38831290902488663</v>
      </c>
      <c r="AT46">
        <v>0.40393630180097145</v>
      </c>
      <c r="AU46">
        <v>0.419160650023988</v>
      </c>
      <c r="AV46">
        <v>0.43399614588186974</v>
      </c>
      <c r="AW46">
        <v>0.44845272123899976</v>
      </c>
      <c r="AX46">
        <v>0.46254005428525896</v>
      </c>
      <c r="AY46">
        <v>0.476267576015248</v>
      </c>
      <c r="AZ46">
        <v>0.48964447654202026</v>
      </c>
      <c r="BA46">
        <v>0.5026797112495528</v>
      </c>
      <c r="BB46">
        <v>0.515382006788074</v>
      </c>
      <c r="BC46">
        <v>0.52775986691626164</v>
      </c>
      <c r="BD46">
        <v>0.53982157819422283</v>
      </c>
      <c r="BE46">
        <v>0.5515752155310667</v>
      </c>
      <c r="BF46">
        <v>0.56302864759078364</v>
      </c>
      <c r="BG46">
        <v>0.57418954206005068</v>
      </c>
      <c r="BH46">
        <v>0.58506537078148935</v>
      </c>
      <c r="BI46">
        <v>0.5956634147558123</v>
      </c>
      <c r="BJ46">
        <v>0.60599076901620796</v>
      </c>
      <c r="BK46">
        <v>0.61605434737822606</v>
      </c>
      <c r="BL46">
        <v>0.62586088706834397</v>
      </c>
      <c r="BM46">
        <v>0.63541695323431291</v>
      </c>
      <c r="BN46">
        <v>0.64472894334030284</v>
      </c>
      <c r="BO46">
        <v>0.65380309144978932</v>
      </c>
      <c r="BP46">
        <v>0.66264547239904881</v>
      </c>
      <c r="BQ46">
        <v>0.67126200586405638</v>
      </c>
      <c r="BR46">
        <v>0.67965846032350985</v>
      </c>
      <c r="BS46">
        <v>0.68784045692063145</v>
      </c>
      <c r="BT46">
        <v>0.69581347322633369</v>
      </c>
      <c r="BU46">
        <v>0.70358284690626871</v>
      </c>
      <c r="BV46">
        <v>0.71115377929421519</v>
      </c>
      <c r="BW46">
        <v>0.71853133887419618</v>
      </c>
      <c r="BX46">
        <v>0.72572046467365836</v>
      </c>
      <c r="BY46">
        <v>0.73272596956998426</v>
      </c>
      <c r="BZ46">
        <v>0.7395525435125514</v>
      </c>
      <c r="CA46">
        <v>0.74620475666249542</v>
      </c>
      <c r="CB46">
        <v>0.75268706245227901</v>
      </c>
      <c r="CC46">
        <v>0.75900380056711458</v>
      </c>
      <c r="CD46">
        <v>0.76515919985023728</v>
      </c>
      <c r="CE46">
        <v>0.77115738113397314</v>
      </c>
      <c r="CF46">
        <v>0.77700235999849732</v>
      </c>
      <c r="CG46">
        <v>0.78269804946012955</v>
      </c>
      <c r="CH46">
        <v>0.78824826259096692</v>
      </c>
      <c r="CI46">
        <v>0.79365671507160673</v>
      </c>
      <c r="CJ46">
        <v>0.79892702767866985</v>
      </c>
      <c r="CK46">
        <v>0.80406272870878814</v>
      </c>
      <c r="CL46">
        <v>0.80906725634068066</v>
      </c>
      <c r="CM46">
        <v>0.81394396093689791</v>
      </c>
      <c r="CN46">
        <v>0.81869610728677678</v>
      </c>
      <c r="CO46">
        <v>0.82332687679210725</v>
      </c>
      <c r="CP46">
        <v>0.82783936959697313</v>
      </c>
      <c r="CQ46">
        <v>0.83223660666319443</v>
      </c>
      <c r="CR46">
        <v>0.83652153179275934</v>
      </c>
      <c r="CS46">
        <v>0.84069701359860038</v>
      </c>
      <c r="CT46">
        <v>0.84476584742503413</v>
      </c>
      <c r="CU46">
        <v>0.84873075721914981</v>
      </c>
      <c r="CV46">
        <v>0.85259439735440046</v>
      </c>
      <c r="CW46">
        <v>0.85635935440761601</v>
      </c>
      <c r="CX46">
        <v>0.86002814889062973</v>
      </c>
      <c r="CY46">
        <v>0.8636032369376756</v>
      </c>
      <c r="CZ46">
        <v>0.8670870119496874</v>
      </c>
      <c r="DA46">
        <v>0.87048180619660009</v>
      </c>
      <c r="DB46">
        <v>0.87378989237872606</v>
      </c>
      <c r="DC46">
        <v>0.87701348514825095</v>
      </c>
      <c r="DD46">
        <v>0.88015474259186899</v>
      </c>
      <c r="DE46">
        <v>0.88321576767554921</v>
      </c>
    </row>
    <row r="47" spans="1:109" x14ac:dyDescent="0.2">
      <c r="A47" t="s">
        <v>477</v>
      </c>
      <c r="B47">
        <v>0.33300739288330078</v>
      </c>
      <c r="C47">
        <v>0.36396638670925963</v>
      </c>
      <c r="D47">
        <v>0.33143609355697606</v>
      </c>
      <c r="E47">
        <v>0.31247492185421655</v>
      </c>
      <c r="F47">
        <v>0.31834035187449206</v>
      </c>
      <c r="G47">
        <v>0.31687543323468448</v>
      </c>
      <c r="H47">
        <v>0.37022141167762934</v>
      </c>
      <c r="I47">
        <v>0.40024494141303291</v>
      </c>
      <c r="J47">
        <v>0.44580694280927136</v>
      </c>
      <c r="K47">
        <v>0.51471239771898503</v>
      </c>
      <c r="L47">
        <v>0.57985761507244149</v>
      </c>
      <c r="M47">
        <v>0.63625771030845402</v>
      </c>
      <c r="N47">
        <v>0.68508663239758238</v>
      </c>
      <c r="O47">
        <v>0.72736073889348418</v>
      </c>
      <c r="P47">
        <v>0.59665181226496977</v>
      </c>
      <c r="Q47">
        <v>0.58099267108955455</v>
      </c>
      <c r="R47">
        <v>0.5658273220622041</v>
      </c>
      <c r="S47">
        <v>0.5652069639364905</v>
      </c>
      <c r="T47">
        <v>0.56460323574478177</v>
      </c>
      <c r="U47">
        <v>0.56401569168860521</v>
      </c>
      <c r="V47">
        <v>0.56344389792000316</v>
      </c>
      <c r="W47">
        <v>0.56288743222117588</v>
      </c>
      <c r="X47">
        <v>0.56234588369271188</v>
      </c>
      <c r="Y47">
        <v>0.56181885245017593</v>
      </c>
      <c r="Z47">
        <v>0.56130594932883104</v>
      </c>
      <c r="AA47">
        <v>0.56131958312853003</v>
      </c>
      <c r="AB47">
        <v>0.56133287718751756</v>
      </c>
      <c r="AC47">
        <v>0.56134583997179388</v>
      </c>
      <c r="AD47">
        <v>0.56135847973639486</v>
      </c>
      <c r="AE47">
        <v>0.56137080453064914</v>
      </c>
      <c r="AF47">
        <v>0.56138282220330415</v>
      </c>
      <c r="AG47">
        <v>0.56139454040752423</v>
      </c>
      <c r="AH47">
        <v>0.56140596660576458</v>
      </c>
      <c r="AI47">
        <v>0.56472529180692355</v>
      </c>
      <c r="AJ47">
        <v>0.56796164640806091</v>
      </c>
      <c r="AK47">
        <v>0.57111710436097429</v>
      </c>
      <c r="AL47">
        <v>0.57419368777649538</v>
      </c>
      <c r="AM47">
        <v>0.57719336822031808</v>
      </c>
      <c r="AN47">
        <v>0.5801180679764365</v>
      </c>
      <c r="AO47">
        <v>0.58296966127900118</v>
      </c>
      <c r="AP47">
        <v>0.58574997551338392</v>
      </c>
      <c r="AQ47">
        <v>0.58513684671922128</v>
      </c>
      <c r="AR47">
        <v>0.58453907067869504</v>
      </c>
      <c r="AS47">
        <v>0.58395626295863812</v>
      </c>
      <c r="AT47">
        <v>0.58338804875209527</v>
      </c>
      <c r="AU47">
        <v>0.58283406263728255</v>
      </c>
      <c r="AV47">
        <v>0.58229394834258286</v>
      </c>
      <c r="AW47">
        <v>0.58176735851742534</v>
      </c>
      <c r="AX47">
        <v>0.58125395450890216</v>
      </c>
      <c r="AY47">
        <v>0.5807534061439793</v>
      </c>
      <c r="AZ47">
        <v>0.58026539151715995</v>
      </c>
      <c r="BA47">
        <v>0.57978959678346564</v>
      </c>
      <c r="BB47">
        <v>0.57932571595660054</v>
      </c>
      <c r="BC47">
        <v>0.57887345071216989</v>
      </c>
      <c r="BD47">
        <v>0.57843251019582598</v>
      </c>
      <c r="BE47">
        <v>0.57800261083621818</v>
      </c>
      <c r="BF47">
        <v>0.5775834761626264</v>
      </c>
      <c r="BG47">
        <v>0.57717483662716118</v>
      </c>
      <c r="BH47">
        <v>0.57677642943141616</v>
      </c>
      <c r="BI47">
        <v>0.5763879983574608</v>
      </c>
      <c r="BJ47">
        <v>0.57600929360306496</v>
      </c>
      <c r="BK47">
        <v>0.57564007162104991</v>
      </c>
      <c r="BL47">
        <v>0.57528009496266186</v>
      </c>
      <c r="BM47">
        <v>0.57492913212486696</v>
      </c>
      <c r="BN47">
        <v>0.5745869574014707</v>
      </c>
      <c r="BO47">
        <v>0.57425335073796491</v>
      </c>
      <c r="BP47">
        <v>0.57392809759000929</v>
      </c>
      <c r="BQ47">
        <v>0.5736109887854568</v>
      </c>
      <c r="BR47">
        <v>0.57330182038983402</v>
      </c>
      <c r="BS47">
        <v>0.57300039357518961</v>
      </c>
      <c r="BT47">
        <v>0.57270651449222687</v>
      </c>
      <c r="BU47">
        <v>0.57241999414563827</v>
      </c>
      <c r="BV47">
        <v>0.57214064827256139</v>
      </c>
      <c r="BW47">
        <v>0.57186829722407861</v>
      </c>
      <c r="BX47">
        <v>0.5716027658496835</v>
      </c>
      <c r="BY47">
        <v>0.57134388338464093</v>
      </c>
      <c r="BZ47">
        <v>0.57109148334016724</v>
      </c>
      <c r="CA47">
        <v>0.57084540339636003</v>
      </c>
      <c r="CB47">
        <v>0.57060548529780963</v>
      </c>
      <c r="CC47">
        <v>0.5703715747518241</v>
      </c>
      <c r="CD47">
        <v>0.57014352132920265</v>
      </c>
      <c r="CE47">
        <v>0.56992117836749379</v>
      </c>
      <c r="CF47">
        <v>0.5697044028766759</v>
      </c>
      <c r="CG47">
        <v>0.56949305544719953</v>
      </c>
      <c r="CH47">
        <v>0.56928700016033218</v>
      </c>
      <c r="CI47">
        <v>0.56908610450074859</v>
      </c>
      <c r="CJ47">
        <v>0.56889023927130877</v>
      </c>
      <c r="CK47">
        <v>0.56869927850997126</v>
      </c>
      <c r="CL47">
        <v>0.56851309940878558</v>
      </c>
      <c r="CM47">
        <v>0.56833158223491442</v>
      </c>
      <c r="CN47">
        <v>0.56815461025363201</v>
      </c>
      <c r="CO47">
        <v>0.56798206965325204</v>
      </c>
      <c r="CP47">
        <v>0.56781384947193436</v>
      </c>
      <c r="CQ47">
        <v>0.56764984152632481</v>
      </c>
      <c r="CR47">
        <v>0.56748994034198197</v>
      </c>
      <c r="CS47">
        <v>0.56733404308554591</v>
      </c>
      <c r="CT47">
        <v>0.5671820494986054</v>
      </c>
      <c r="CU47">
        <v>0.56703386183322146</v>
      </c>
      <c r="CV47">
        <v>0.56688938478906459</v>
      </c>
      <c r="CW47">
        <v>0.56674852545212717</v>
      </c>
      <c r="CX47">
        <v>0.56661119323496945</v>
      </c>
      <c r="CY47">
        <v>0.56647729981846251</v>
      </c>
      <c r="CZ47">
        <v>0.56634675909498966</v>
      </c>
      <c r="DA47">
        <v>0.56621948711307002</v>
      </c>
      <c r="DB47">
        <v>0.56609540202336917</v>
      </c>
      <c r="DC47">
        <v>0.56597442402606113</v>
      </c>
      <c r="DD47">
        <v>0.56585647531950867</v>
      </c>
      <c r="DE47">
        <v>0.56574148005022851</v>
      </c>
    </row>
    <row r="48" spans="1:109" x14ac:dyDescent="0.2">
      <c r="A48" t="s">
        <v>478</v>
      </c>
      <c r="B48">
        <v>0.7371634674072266</v>
      </c>
      <c r="C48">
        <v>0.70201229319027614</v>
      </c>
      <c r="D48">
        <v>0.62119790290914279</v>
      </c>
      <c r="E48">
        <v>0.5605007059509356</v>
      </c>
      <c r="F48">
        <v>0.53064420478990226</v>
      </c>
      <c r="G48">
        <v>0.55836743981104031</v>
      </c>
      <c r="H48">
        <v>0.58033134111830953</v>
      </c>
      <c r="I48">
        <v>0.63666772047557518</v>
      </c>
      <c r="J48">
        <v>0.68544147993304239</v>
      </c>
      <c r="K48">
        <v>0.72766782885278491</v>
      </c>
      <c r="L48">
        <v>0.76422569445358512</v>
      </c>
      <c r="M48">
        <v>0.79587601638471706</v>
      </c>
      <c r="N48">
        <v>0.82327758542824392</v>
      </c>
      <c r="O48">
        <v>0.84700075600707525</v>
      </c>
      <c r="P48">
        <v>0.62824385742499789</v>
      </c>
      <c r="Q48">
        <v>0.64124643556927308</v>
      </c>
      <c r="R48">
        <v>0.65379423430566297</v>
      </c>
      <c r="S48">
        <v>0.65836442628929492</v>
      </c>
      <c r="T48">
        <v>0.662826724573505</v>
      </c>
      <c r="U48">
        <v>0.66718367632708098</v>
      </c>
      <c r="V48">
        <v>0.67143776858491167</v>
      </c>
      <c r="W48">
        <v>0.67559142966763563</v>
      </c>
      <c r="X48">
        <v>0.67964703056777553</v>
      </c>
      <c r="Y48">
        <v>0.68360688630314725</v>
      </c>
      <c r="Z48">
        <v>0.68747325723831887</v>
      </c>
      <c r="AA48">
        <v>0.68898705544626238</v>
      </c>
      <c r="AB48">
        <v>0.69046315985645357</v>
      </c>
      <c r="AC48">
        <v>0.69190250904999362</v>
      </c>
      <c r="AD48">
        <v>0.69330601823717641</v>
      </c>
      <c r="AE48">
        <v>0.69467457983942515</v>
      </c>
      <c r="AF48">
        <v>0.69600906405673835</v>
      </c>
      <c r="AG48">
        <v>0.69731031942100685</v>
      </c>
      <c r="AH48">
        <v>0.69857917333555275</v>
      </c>
      <c r="AI48">
        <v>0.69704978888314129</v>
      </c>
      <c r="AJ48">
        <v>0.69555862591228768</v>
      </c>
      <c r="AK48">
        <v>0.69410472921408417</v>
      </c>
      <c r="AL48">
        <v>0.69268716745164505</v>
      </c>
      <c r="AM48">
        <v>0.69130503256351128</v>
      </c>
      <c r="AN48">
        <v>0.68995743918196473</v>
      </c>
      <c r="AO48">
        <v>0.68864352406587925</v>
      </c>
      <c r="AP48">
        <v>0.68736244554774595</v>
      </c>
      <c r="AQ48">
        <v>0.68392458104197751</v>
      </c>
      <c r="AR48">
        <v>0.68057012237884784</v>
      </c>
      <c r="AS48">
        <v>0.67729704605377306</v>
      </c>
      <c r="AT48">
        <v>0.67410337765430317</v>
      </c>
      <c r="AU48">
        <v>0.67098719066910073</v>
      </c>
      <c r="AV48">
        <v>0.66794660532581429</v>
      </c>
      <c r="AW48">
        <v>0.66497978745714659</v>
      </c>
      <c r="AX48">
        <v>0.6620849473944328</v>
      </c>
      <c r="AY48">
        <v>0.65926033888806157</v>
      </c>
      <c r="AZ48">
        <v>0.65650425805408796</v>
      </c>
      <c r="BA48">
        <v>0.65381504234640198</v>
      </c>
      <c r="BB48">
        <v>0.65119106955383399</v>
      </c>
      <c r="BC48">
        <v>0.64863075682159077</v>
      </c>
      <c r="BD48">
        <v>0.64613255969643246</v>
      </c>
      <c r="BE48">
        <v>0.64369497119501484</v>
      </c>
      <c r="BF48">
        <v>0.64131652089483415</v>
      </c>
      <c r="BG48">
        <v>0.63899577404722641</v>
      </c>
      <c r="BH48">
        <v>0.63673133071188659</v>
      </c>
      <c r="BI48">
        <v>0.63452182491238485</v>
      </c>
      <c r="BJ48">
        <v>0.63236592381217049</v>
      </c>
      <c r="BK48">
        <v>0.63026232691056772</v>
      </c>
      <c r="BL48">
        <v>0.62820976525827632</v>
      </c>
      <c r="BM48">
        <v>0.6262070006919056</v>
      </c>
      <c r="BN48">
        <v>0.62425282508707913</v>
      </c>
      <c r="BO48">
        <v>0.62234605962965994</v>
      </c>
      <c r="BP48">
        <v>0.62048555410465622</v>
      </c>
      <c r="BQ48">
        <v>0.61867018620237924</v>
      </c>
      <c r="BR48">
        <v>0.61689886084143419</v>
      </c>
      <c r="BS48">
        <v>0.61517050950813601</v>
      </c>
      <c r="BT48">
        <v>0.61348408961195167</v>
      </c>
      <c r="BU48">
        <v>0.61183858385658008</v>
      </c>
      <c r="BV48">
        <v>0.61023299962628996</v>
      </c>
      <c r="BW48">
        <v>0.60866636838714605</v>
      </c>
      <c r="BX48">
        <v>0.60713774510276175</v>
      </c>
      <c r="BY48">
        <v>0.60564620766422661</v>
      </c>
      <c r="BZ48">
        <v>0.60419085633386405</v>
      </c>
      <c r="CA48">
        <v>0.60277081320248393</v>
      </c>
      <c r="CB48">
        <v>0.60138522165980302</v>
      </c>
      <c r="CC48">
        <v>0.60003324587771312</v>
      </c>
      <c r="CD48">
        <v>0.59871407030608625</v>
      </c>
      <c r="CE48">
        <v>0.59742689918081127</v>
      </c>
      <c r="CF48">
        <v>0.59617095604376669</v>
      </c>
      <c r="CG48">
        <v>0.59494548327443897</v>
      </c>
      <c r="CH48">
        <v>0.5937497416329045</v>
      </c>
      <c r="CI48">
        <v>0.59258300981389889</v>
      </c>
      <c r="CJ48">
        <v>0.59144458401170519</v>
      </c>
      <c r="CK48">
        <v>0.59033377749559868</v>
      </c>
      <c r="CL48">
        <v>0.58924992019559097</v>
      </c>
      <c r="CM48">
        <v>0.58819235829822514</v>
      </c>
      <c r="CN48">
        <v>0.58716045385217674</v>
      </c>
      <c r="CO48">
        <v>0.58615358438342335</v>
      </c>
      <c r="CP48">
        <v>0.58517114251975089</v>
      </c>
      <c r="CQ48">
        <v>0.58421253562436926</v>
      </c>
      <c r="CR48">
        <v>0.58327718543841711</v>
      </c>
      <c r="CS48">
        <v>0.58236452773213976</v>
      </c>
      <c r="CT48">
        <v>0.58147401196452964</v>
      </c>
      <c r="CU48">
        <v>0.58060510095122431</v>
      </c>
      <c r="CV48">
        <v>0.579757270540462</v>
      </c>
      <c r="CW48">
        <v>0.57893000929689808</v>
      </c>
      <c r="CX48">
        <v>0.57812281819309275</v>
      </c>
      <c r="CY48">
        <v>0.57733521030848367</v>
      </c>
      <c r="CZ48">
        <v>0.57656671053566155</v>
      </c>
      <c r="DA48">
        <v>0.57581685529377202</v>
      </c>
      <c r="DB48">
        <v>0.57508519224887056</v>
      </c>
      <c r="DC48">
        <v>0.57437128004106142</v>
      </c>
      <c r="DD48">
        <v>0.57367468801825738</v>
      </c>
      <c r="DE48">
        <v>0.57299499597639791</v>
      </c>
    </row>
    <row r="49" spans="1:109" x14ac:dyDescent="0.2">
      <c r="A49" t="s">
        <v>479</v>
      </c>
      <c r="B49">
        <v>0.53973793029785155</v>
      </c>
      <c r="C49">
        <v>0.53799314759298256</v>
      </c>
      <c r="D49">
        <v>0.60001314702707664</v>
      </c>
      <c r="E49">
        <v>0.65370755494718091</v>
      </c>
      <c r="F49">
        <v>0.70019400235442864</v>
      </c>
      <c r="G49">
        <v>0.67865430993147102</v>
      </c>
      <c r="H49">
        <v>0.65180428307724736</v>
      </c>
      <c r="I49">
        <v>0.6985461102509869</v>
      </c>
      <c r="J49">
        <v>0.73901329435447627</v>
      </c>
      <c r="K49">
        <v>0.77404814618384021</v>
      </c>
      <c r="L49">
        <v>0.80437990437008955</v>
      </c>
      <c r="M49">
        <v>0.83063991423540939</v>
      </c>
      <c r="N49">
        <v>0.85337476903322029</v>
      </c>
      <c r="O49">
        <v>0.87305768710249909</v>
      </c>
      <c r="P49">
        <v>0.79316411345837001</v>
      </c>
      <c r="Q49">
        <v>0.81383319015276989</v>
      </c>
      <c r="R49">
        <v>0.83243680935552222</v>
      </c>
      <c r="S49">
        <v>0.82783382516609194</v>
      </c>
      <c r="T49">
        <v>0.82433761417572793</v>
      </c>
      <c r="U49">
        <v>0.82186642021739398</v>
      </c>
      <c r="V49">
        <v>0.82034383989581294</v>
      </c>
      <c r="W49">
        <v>0.81969893435478736</v>
      </c>
      <c r="X49">
        <v>0.81986589693497647</v>
      </c>
      <c r="Y49">
        <v>0.82078373087320344</v>
      </c>
      <c r="Z49">
        <v>0.82239593694956958</v>
      </c>
      <c r="AA49">
        <v>0.80674633159495213</v>
      </c>
      <c r="AB49">
        <v>0.79158946958377563</v>
      </c>
      <c r="AC49">
        <v>0.77691153029876281</v>
      </c>
      <c r="AD49">
        <v>0.76269902363529951</v>
      </c>
      <c r="AE49">
        <v>0.74893878461561936</v>
      </c>
      <c r="AF49">
        <v>0.73561796794657019</v>
      </c>
      <c r="AG49">
        <v>0.72272404253286315</v>
      </c>
      <c r="AH49">
        <v>0.71024478595686724</v>
      </c>
      <c r="AI49">
        <v>0.71386672613240643</v>
      </c>
      <c r="AJ49">
        <v>0.71744339205575136</v>
      </c>
      <c r="AK49">
        <v>0.7209753496550545</v>
      </c>
      <c r="AL49">
        <v>0.72446315778436632</v>
      </c>
      <c r="AM49">
        <v>0.72790736831206171</v>
      </c>
      <c r="AN49">
        <v>0.73130852620816089</v>
      </c>
      <c r="AO49">
        <v>0.73466716963055889</v>
      </c>
      <c r="AP49">
        <v>0.73798383001017687</v>
      </c>
      <c r="AQ49">
        <v>0.74125903213504962</v>
      </c>
      <c r="AR49">
        <v>0.74449329423336152</v>
      </c>
      <c r="AS49">
        <v>0.74768712805544446</v>
      </c>
      <c r="AT49">
        <v>0.75084103895475141</v>
      </c>
      <c r="AU49">
        <v>0.75395552596781701</v>
      </c>
      <c r="AV49">
        <v>0.75703108189321933</v>
      </c>
      <c r="AW49">
        <v>0.76006819336955411</v>
      </c>
      <c r="AX49">
        <v>0.76306734095243467</v>
      </c>
      <c r="AY49">
        <v>0.76602899919052925</v>
      </c>
      <c r="AZ49">
        <v>0.76895363670064765</v>
      </c>
      <c r="BA49">
        <v>0.77184171624188957</v>
      </c>
      <c r="BB49">
        <v>0.77469369478886596</v>
      </c>
      <c r="BC49">
        <v>0.77751002360400512</v>
      </c>
      <c r="BD49">
        <v>0.78029114830895507</v>
      </c>
      <c r="BE49">
        <v>0.78303750895509316</v>
      </c>
      <c r="BF49">
        <v>0.78574954009315445</v>
      </c>
      <c r="BG49">
        <v>0.78842767084199006</v>
      </c>
      <c r="BH49">
        <v>0.79107232495646518</v>
      </c>
      <c r="BI49">
        <v>0.79368392089450934</v>
      </c>
      <c r="BJ49">
        <v>0.79626287188332801</v>
      </c>
      <c r="BK49">
        <v>0.79880958598478635</v>
      </c>
      <c r="BL49">
        <v>0.80132446615997655</v>
      </c>
      <c r="BM49">
        <v>0.80380791033297683</v>
      </c>
      <c r="BN49">
        <v>0.8062603114538146</v>
      </c>
      <c r="BO49">
        <v>0.80868205756064193</v>
      </c>
      <c r="BP49">
        <v>0.81107353184113395</v>
      </c>
      <c r="BQ49">
        <v>0.81343511269311974</v>
      </c>
      <c r="BR49">
        <v>0.81576717378445573</v>
      </c>
      <c r="BS49">
        <v>0.81807008411214999</v>
      </c>
      <c r="BT49">
        <v>0.82034420806074815</v>
      </c>
      <c r="BU49">
        <v>0.82258990545998878</v>
      </c>
      <c r="BV49">
        <v>0.82480753164173892</v>
      </c>
      <c r="BW49">
        <v>0.82699743749621724</v>
      </c>
      <c r="BX49">
        <v>0.82915996952751447</v>
      </c>
      <c r="BY49">
        <v>0.83129546990842051</v>
      </c>
      <c r="BZ49">
        <v>0.83340427653456528</v>
      </c>
      <c r="CA49">
        <v>0.83548672307788319</v>
      </c>
      <c r="CB49">
        <v>0.83754313903940969</v>
      </c>
      <c r="CC49">
        <v>0.83957384980141703</v>
      </c>
      <c r="CD49">
        <v>0.84157917667889937</v>
      </c>
      <c r="CE49">
        <v>0.84355943697041313</v>
      </c>
      <c r="CF49">
        <v>0.84551494400828298</v>
      </c>
      <c r="CG49">
        <v>0.84744600720817942</v>
      </c>
      <c r="CH49">
        <v>0.84935293211807716</v>
      </c>
      <c r="CI49">
        <v>0.85123602046660118</v>
      </c>
      <c r="CJ49">
        <v>0.85309557021076865</v>
      </c>
      <c r="CK49">
        <v>0.85493187558313399</v>
      </c>
      <c r="CL49">
        <v>0.85674522713834478</v>
      </c>
      <c r="CM49">
        <v>0.85853591179911548</v>
      </c>
      <c r="CN49">
        <v>0.86030421290162651</v>
      </c>
      <c r="CO49">
        <v>0.86205041024035622</v>
      </c>
      <c r="CP49">
        <v>0.86377478011235176</v>
      </c>
      <c r="CQ49">
        <v>0.86547759536094737</v>
      </c>
      <c r="CR49">
        <v>0.86715912541893558</v>
      </c>
      <c r="CS49">
        <v>0.86881963635119885</v>
      </c>
      <c r="CT49">
        <v>0.8704593908968089</v>
      </c>
      <c r="CU49">
        <v>0.8720786485105988</v>
      </c>
      <c r="CV49">
        <v>0.87367766540421632</v>
      </c>
      <c r="CW49">
        <v>0.87525669458666366</v>
      </c>
      <c r="CX49">
        <v>0.87681598590433041</v>
      </c>
      <c r="CY49">
        <v>0.87835578608052622</v>
      </c>
      <c r="CZ49">
        <v>0.87987633875451965</v>
      </c>
      <c r="DA49">
        <v>0.88137788452008814</v>
      </c>
      <c r="DB49">
        <v>0.88286066096358706</v>
      </c>
      <c r="DC49">
        <v>0.88432490270154218</v>
      </c>
      <c r="DD49">
        <v>0.88577084141777296</v>
      </c>
      <c r="DE49">
        <v>0.88719870590005079</v>
      </c>
    </row>
    <row r="50" spans="1:109" x14ac:dyDescent="0.2">
      <c r="A50" t="s">
        <v>480</v>
      </c>
      <c r="B50">
        <v>0.68254425048828127</v>
      </c>
      <c r="C50">
        <v>0.60972951698798816</v>
      </c>
      <c r="D50">
        <v>0.57130248649228776</v>
      </c>
      <c r="E50">
        <v>0.58423724247617947</v>
      </c>
      <c r="F50">
        <v>0.64004941463770471</v>
      </c>
      <c r="G50">
        <v>0.67635301685780713</v>
      </c>
      <c r="H50">
        <v>0.71900936389050063</v>
      </c>
      <c r="I50">
        <v>0.72386822976749488</v>
      </c>
      <c r="J50">
        <v>0.75429823830733722</v>
      </c>
      <c r="K50">
        <v>0.78728134892949364</v>
      </c>
      <c r="L50">
        <v>0.81583679253445451</v>
      </c>
      <c r="M50">
        <v>0.84055894105516904</v>
      </c>
      <c r="N50">
        <v>0.86196237767956385</v>
      </c>
      <c r="O50">
        <v>0.88049260772614113</v>
      </c>
      <c r="P50">
        <v>0.29716283696870005</v>
      </c>
      <c r="Q50">
        <v>0.29187206716090075</v>
      </c>
      <c r="R50">
        <v>0.28668866971547141</v>
      </c>
      <c r="S50">
        <v>0.30555773032620637</v>
      </c>
      <c r="T50">
        <v>0.32313705048649333</v>
      </c>
      <c r="U50">
        <v>0.33952103372860204</v>
      </c>
      <c r="V50">
        <v>0.35479647801110686</v>
      </c>
      <c r="W50">
        <v>0.36904327867615033</v>
      </c>
      <c r="X50">
        <v>0.38233505318792926</v>
      </c>
      <c r="Y50">
        <v>0.39473969842433143</v>
      </c>
      <c r="Z50">
        <v>0.4063198894843002</v>
      </c>
      <c r="AA50">
        <v>0.40827726686403903</v>
      </c>
      <c r="AB50">
        <v>0.41018026313032652</v>
      </c>
      <c r="AC50">
        <v>0.41203032710589221</v>
      </c>
      <c r="AD50">
        <v>0.41382886989135143</v>
      </c>
      <c r="AE50">
        <v>0.41557726583660592</v>
      </c>
      <c r="AF50">
        <v>0.4172768534872634</v>
      </c>
      <c r="AG50">
        <v>0.41892893650672397</v>
      </c>
      <c r="AH50">
        <v>0.42053478457456467</v>
      </c>
      <c r="AI50">
        <v>0.42402444957147783</v>
      </c>
      <c r="AJ50">
        <v>0.42744743765118837</v>
      </c>
      <c r="AK50">
        <v>0.43080502737960064</v>
      </c>
      <c r="AL50">
        <v>0.4340984714594216</v>
      </c>
      <c r="AM50">
        <v>0.43732899732739555</v>
      </c>
      <c r="AN50">
        <v>0.44049780773509145</v>
      </c>
      <c r="AO50">
        <v>0.44360608131374829</v>
      </c>
      <c r="AP50">
        <v>0.44665497312367047</v>
      </c>
      <c r="AQ50">
        <v>0.45502670872749285</v>
      </c>
      <c r="AR50">
        <v>0.4632380284568362</v>
      </c>
      <c r="AS50">
        <v>0.47129779714508069</v>
      </c>
      <c r="AT50">
        <v>0.4792144609288036</v>
      </c>
      <c r="AU50">
        <v>0.48699607118067584</v>
      </c>
      <c r="AV50">
        <v>0.49465030659925463</v>
      </c>
      <c r="AW50">
        <v>0.50218449362924678</v>
      </c>
      <c r="AX50">
        <v>0.50960562536654086</v>
      </c>
      <c r="AY50">
        <v>0.51692037908548572</v>
      </c>
      <c r="AZ50">
        <v>0.52413513251117705</v>
      </c>
      <c r="BA50">
        <v>0.53125064170016545</v>
      </c>
      <c r="BB50">
        <v>0.53826766712642726</v>
      </c>
      <c r="BC50">
        <v>0.54518697393346249</v>
      </c>
      <c r="BD50">
        <v>0.55200933213868231</v>
      </c>
      <c r="BE50">
        <v>0.55873551679268452</v>
      </c>
      <c r="BF50">
        <v>0.56536630809597144</v>
      </c>
      <c r="BG50">
        <v>0.57190249147561623</v>
      </c>
      <c r="BH50">
        <v>0.57834485762433097</v>
      </c>
      <c r="BI50">
        <v>0.58469420250433146</v>
      </c>
      <c r="BJ50">
        <v>0.59095132731833344</v>
      </c>
      <c r="BK50">
        <v>0.59711703844995156</v>
      </c>
      <c r="BL50">
        <v>0.60319214737570415</v>
      </c>
      <c r="BM50">
        <v>0.6091774705507591</v>
      </c>
      <c r="BN50">
        <v>0.61507382927048493</v>
      </c>
      <c r="BO50">
        <v>0.62088204950979864</v>
      </c>
      <c r="BP50">
        <v>0.62660296174222907</v>
      </c>
      <c r="BQ50">
        <v>0.63223740074054058</v>
      </c>
      <c r="BR50">
        <v>0.63778620536068575</v>
      </c>
      <c r="BS50">
        <v>0.64325021831078377</v>
      </c>
      <c r="BT50">
        <v>0.64863028590674465</v>
      </c>
      <c r="BU50">
        <v>0.65392725781608607</v>
      </c>
      <c r="BV50">
        <v>0.65914198679141678</v>
      </c>
      <c r="BW50">
        <v>0.66427532839498626</v>
      </c>
      <c r="BX50">
        <v>0.66932814071563151</v>
      </c>
      <c r="BY50">
        <v>0.67430128407937817</v>
      </c>
      <c r="BZ50">
        <v>0.67919562075488782</v>
      </c>
      <c r="CA50">
        <v>0.68401201465487227</v>
      </c>
      <c r="CB50">
        <v>0.68875133103453279</v>
      </c>
      <c r="CC50">
        <v>0.69341443618801579</v>
      </c>
      <c r="CD50">
        <v>0.69800219714381617</v>
      </c>
      <c r="CE50">
        <v>0.70251548135999664</v>
      </c>
      <c r="CF50">
        <v>0.70695515642003515</v>
      </c>
      <c r="CG50">
        <v>0.7113220897300544</v>
      </c>
      <c r="CH50">
        <v>0.7156171482181326</v>
      </c>
      <c r="CI50">
        <v>0.71984119803634383</v>
      </c>
      <c r="CJ50">
        <v>0.72399510426612357</v>
      </c>
      <c r="CK50">
        <v>0.72807973062750808</v>
      </c>
      <c r="CL50">
        <v>0.73209593919274807</v>
      </c>
      <c r="CM50">
        <v>0.73604459010475554</v>
      </c>
      <c r="CN50">
        <v>0.73992654130079616</v>
      </c>
      <c r="CO50">
        <v>0.74374264824180325</v>
      </c>
      <c r="CP50">
        <v>0.74749376364764719</v>
      </c>
      <c r="CQ50">
        <v>0.75118073723866019</v>
      </c>
      <c r="CR50">
        <v>0.75480441548368005</v>
      </c>
      <c r="CS50">
        <v>0.75836564135484452</v>
      </c>
      <c r="CT50">
        <v>0.76186525408933525</v>
      </c>
      <c r="CU50">
        <v>0.76530408895824364</v>
      </c>
      <c r="CV50">
        <v>0.76868297704269983</v>
      </c>
      <c r="CW50">
        <v>0.77200274501738297</v>
      </c>
      <c r="CX50">
        <v>0.77526421494150499</v>
      </c>
      <c r="CY50">
        <v>0.77846820405733663</v>
      </c>
      <c r="CZ50">
        <v>0.78161552459632522</v>
      </c>
      <c r="DA50">
        <v>0.78470698359283086</v>
      </c>
      <c r="DB50">
        <v>0.7877433827054916</v>
      </c>
      <c r="DC50">
        <v>0.79072551804620905</v>
      </c>
      <c r="DD50">
        <v>0.79365418001673083</v>
      </c>
      <c r="DE50">
        <v>0.79653015315279119</v>
      </c>
    </row>
    <row r="51" spans="1:109" x14ac:dyDescent="0.2">
      <c r="A51" t="s">
        <v>481</v>
      </c>
      <c r="B51">
        <v>0.33077934265136721</v>
      </c>
      <c r="C51">
        <v>0.32803417387110301</v>
      </c>
      <c r="D51">
        <v>0.30214063634924154</v>
      </c>
      <c r="E51">
        <v>0.29663787013087478</v>
      </c>
      <c r="F51">
        <v>0.32493634080901412</v>
      </c>
      <c r="G51">
        <v>0.32015063355080081</v>
      </c>
      <c r="H51">
        <v>0.35436974366382412</v>
      </c>
      <c r="I51">
        <v>0.43672214232498763</v>
      </c>
      <c r="J51">
        <v>0.50697641303345931</v>
      </c>
      <c r="K51">
        <v>0.56875430848659947</v>
      </c>
      <c r="L51">
        <v>0.624749647364234</v>
      </c>
      <c r="M51">
        <v>0.67512313645114896</v>
      </c>
      <c r="N51">
        <v>0.71873474694669914</v>
      </c>
      <c r="O51">
        <v>0.75649191601099741</v>
      </c>
      <c r="P51">
        <v>0.49036528050372619</v>
      </c>
      <c r="Q51">
        <v>0.49012190515906884</v>
      </c>
      <c r="R51">
        <v>0.48957852202028007</v>
      </c>
      <c r="S51">
        <v>0.49495461529800522</v>
      </c>
      <c r="T51">
        <v>0.5013822325086873</v>
      </c>
      <c r="U51">
        <v>0.50879014540575318</v>
      </c>
      <c r="V51">
        <v>0.51711671205152299</v>
      </c>
      <c r="W51">
        <v>0.52630985179461487</v>
      </c>
      <c r="X51">
        <v>0.53632621379288647</v>
      </c>
      <c r="Y51">
        <v>0.54683210463194454</v>
      </c>
      <c r="Z51">
        <v>0.55709995367177756</v>
      </c>
      <c r="AA51">
        <v>0.50757813743691016</v>
      </c>
      <c r="AB51">
        <v>0.46395666967891563</v>
      </c>
      <c r="AC51">
        <v>0.42546413502712027</v>
      </c>
      <c r="AD51">
        <v>0.39143261251836287</v>
      </c>
      <c r="AE51">
        <v>0.36128374089809034</v>
      </c>
      <c r="AF51">
        <v>0.33451663666395726</v>
      </c>
      <c r="AG51">
        <v>0.31069742730845784</v>
      </c>
      <c r="AH51">
        <v>0.28945019032848007</v>
      </c>
      <c r="AI51">
        <v>0.30209184632541963</v>
      </c>
      <c r="AJ51">
        <v>0.31450858991766956</v>
      </c>
      <c r="AK51">
        <v>0.32670442260549182</v>
      </c>
      <c r="AL51">
        <v>0.33868327469696863</v>
      </c>
      <c r="AM51">
        <v>0.35044900657460898</v>
      </c>
      <c r="AN51">
        <v>0.36200540993942049</v>
      </c>
      <c r="AO51">
        <v>0.37335620903284761</v>
      </c>
      <c r="AP51">
        <v>0.38450506183696981</v>
      </c>
      <c r="AQ51">
        <v>0.38325797796373112</v>
      </c>
      <c r="AR51">
        <v>0.38243905687880508</v>
      </c>
      <c r="AS51">
        <v>0.38200668229086449</v>
      </c>
      <c r="AT51">
        <v>0.38192407711859927</v>
      </c>
      <c r="AU51">
        <v>0.38215893772275367</v>
      </c>
      <c r="AV51">
        <v>0.38268307603127061</v>
      </c>
      <c r="AW51">
        <v>0.38347207625530405</v>
      </c>
      <c r="AX51">
        <v>0.38450497064182648</v>
      </c>
      <c r="AY51">
        <v>0.38576393701185863</v>
      </c>
      <c r="AZ51">
        <v>0.38723401957024312</v>
      </c>
      <c r="BA51">
        <v>0.38890287354735198</v>
      </c>
      <c r="BB51">
        <v>0.39076045612560167</v>
      </c>
      <c r="BC51">
        <v>0.39279881893952229</v>
      </c>
      <c r="BD51">
        <v>0.39501192327477391</v>
      </c>
      <c r="BE51">
        <v>0.39739547650873963</v>
      </c>
      <c r="BF51">
        <v>0.39994678834239172</v>
      </c>
      <c r="BG51">
        <v>0.40266464541907965</v>
      </c>
      <c r="BH51">
        <v>0.40554920299927255</v>
      </c>
      <c r="BI51">
        <v>0.4086018924524103</v>
      </c>
      <c r="BJ51">
        <v>0.41182534343135807</v>
      </c>
      <c r="BK51">
        <v>0.41522331970671367</v>
      </c>
      <c r="BL51">
        <v>0.41880066775393332</v>
      </c>
      <c r="BM51">
        <v>0.42256327730352855</v>
      </c>
      <c r="BN51">
        <v>0.42651805318189429</v>
      </c>
      <c r="BO51">
        <v>0.43067289788676116</v>
      </c>
      <c r="BP51">
        <v>0.43503670445646131</v>
      </c>
      <c r="BQ51">
        <v>0.43961935930619672</v>
      </c>
      <c r="BR51">
        <v>0.4444317548176977</v>
      </c>
      <c r="BS51">
        <v>0.4494858115817133</v>
      </c>
      <c r="BT51">
        <v>0.45479451030659468</v>
      </c>
      <c r="BU51">
        <v>0.46037193352192851</v>
      </c>
      <c r="BV51">
        <v>0.46623119302429594</v>
      </c>
      <c r="BW51">
        <v>0.47238188132282571</v>
      </c>
      <c r="BX51">
        <v>0.47883443418755295</v>
      </c>
      <c r="BY51">
        <v>0.48560014866852547</v>
      </c>
      <c r="BZ51">
        <v>0.49269120492520202</v>
      </c>
      <c r="CA51">
        <v>0.50012069195689401</v>
      </c>
      <c r="CB51">
        <v>0.5076411894871955</v>
      </c>
      <c r="CC51">
        <v>0.51504854394037158</v>
      </c>
      <c r="CD51">
        <v>0.52234445751176917</v>
      </c>
      <c r="CE51">
        <v>0.52953060678784158</v>
      </c>
      <c r="CF51">
        <v>0.53660864313142509</v>
      </c>
      <c r="CG51">
        <v>0.54358019306121863</v>
      </c>
      <c r="CH51">
        <v>0.55044685862555476</v>
      </c>
      <c r="CI51">
        <v>0.55721021777054713</v>
      </c>
      <c r="CJ51">
        <v>0.56387182470269914</v>
      </c>
      <c r="CK51">
        <v>0.57043321024605798</v>
      </c>
      <c r="CL51">
        <v>0.57689588219399435</v>
      </c>
      <c r="CM51">
        <v>0.583261325655691</v>
      </c>
      <c r="CN51">
        <v>0.58953100339741749</v>
      </c>
      <c r="CO51">
        <v>0.59570635617867096</v>
      </c>
      <c r="CP51">
        <v>0.60178880308325999</v>
      </c>
      <c r="CQ51">
        <v>0.60777974184540717</v>
      </c>
      <c r="CR51">
        <v>0.6136805491709455</v>
      </c>
      <c r="CS51">
        <v>0.6194925810536831</v>
      </c>
      <c r="CT51">
        <v>0.62521717308700731</v>
      </c>
      <c r="CU51">
        <v>0.6308556407708017</v>
      </c>
      <c r="CV51">
        <v>0.6364092798137454</v>
      </c>
      <c r="CW51">
        <v>0.64187936643106436</v>
      </c>
      <c r="CX51">
        <v>0.64726715763780285</v>
      </c>
      <c r="CY51">
        <v>0.6525738915376833</v>
      </c>
      <c r="CZ51">
        <v>0.65780078760761984</v>
      </c>
      <c r="DA51">
        <v>0.66294904697795187</v>
      </c>
      <c r="DB51">
        <v>0.66801985270846131</v>
      </c>
      <c r="DC51">
        <v>0.67301437006023745</v>
      </c>
      <c r="DD51">
        <v>0.67793374676345153</v>
      </c>
      <c r="DE51">
        <v>0.68277911328110308</v>
      </c>
    </row>
    <row r="52" spans="1:109" x14ac:dyDescent="0.2">
      <c r="A52" t="s">
        <v>482</v>
      </c>
      <c r="B52">
        <v>0.72533958435058599</v>
      </c>
      <c r="C52">
        <v>0.63960987295360372</v>
      </c>
      <c r="D52">
        <v>0.56659169018303568</v>
      </c>
      <c r="E52">
        <v>0.5129405657093622</v>
      </c>
      <c r="F52">
        <v>0.45594386231060652</v>
      </c>
      <c r="G52">
        <v>0.49634242524750749</v>
      </c>
      <c r="H52">
        <v>0.4456169632049467</v>
      </c>
      <c r="I52">
        <v>0.41219290885990745</v>
      </c>
      <c r="J52">
        <v>0.39217574256847781</v>
      </c>
      <c r="K52">
        <v>0.3884046844533342</v>
      </c>
      <c r="L52">
        <v>0.40142304268520057</v>
      </c>
      <c r="M52">
        <v>0.43169644212832831</v>
      </c>
      <c r="N52">
        <v>0.48107432337873496</v>
      </c>
      <c r="O52">
        <v>0.5478927722078486</v>
      </c>
      <c r="P52">
        <v>0.52394420849726187</v>
      </c>
      <c r="Q52">
        <v>0.51760852435126004</v>
      </c>
      <c r="R52">
        <v>0.5112353010965468</v>
      </c>
      <c r="S52">
        <v>0.50929921645246823</v>
      </c>
      <c r="T52">
        <v>0.50732785258412771</v>
      </c>
      <c r="U52">
        <v>0.50532435010476884</v>
      </c>
      <c r="V52">
        <v>0.50329175700260953</v>
      </c>
      <c r="W52">
        <v>0.50123319631002594</v>
      </c>
      <c r="X52">
        <v>0.4991518261662054</v>
      </c>
      <c r="Y52">
        <v>0.49705081090593406</v>
      </c>
      <c r="Z52">
        <v>0.49493329886926929</v>
      </c>
      <c r="AA52">
        <v>0.50124663263340341</v>
      </c>
      <c r="AB52">
        <v>0.50748104972548591</v>
      </c>
      <c r="AC52">
        <v>0.51363753660391731</v>
      </c>
      <c r="AD52">
        <v>0.51971706739636836</v>
      </c>
      <c r="AE52">
        <v>0.52572060405391374</v>
      </c>
      <c r="AF52">
        <v>0.53164909650323977</v>
      </c>
      <c r="AG52">
        <v>0.53750348279694926</v>
      </c>
      <c r="AH52">
        <v>0.54328468926198736</v>
      </c>
      <c r="AI52">
        <v>0.53737132429189394</v>
      </c>
      <c r="AJ52">
        <v>0.5317478244262358</v>
      </c>
      <c r="AK52">
        <v>0.52640131504449461</v>
      </c>
      <c r="AL52">
        <v>0.52131950540240135</v>
      </c>
      <c r="AM52">
        <v>0.51649066276167321</v>
      </c>
      <c r="AN52">
        <v>0.5119035877854845</v>
      </c>
      <c r="AO52">
        <v>0.50754759110327197</v>
      </c>
      <c r="AP52">
        <v>0.50341247096129482</v>
      </c>
      <c r="AQ52">
        <v>0.50283959596521288</v>
      </c>
      <c r="AR52">
        <v>0.50232727450698178</v>
      </c>
      <c r="AS52">
        <v>0.5018741008970462</v>
      </c>
      <c r="AT52">
        <v>0.50147891783778697</v>
      </c>
      <c r="AU52">
        <v>0.50114079397160705</v>
      </c>
      <c r="AV52">
        <v>0.50085900446103004</v>
      </c>
      <c r="AW52">
        <v>0.50063301414300221</v>
      </c>
      <c r="AX52">
        <v>0.5004624628854033</v>
      </c>
      <c r="AY52">
        <v>0.50034715284119224</v>
      </c>
      <c r="AZ52">
        <v>0.50028703734908331</v>
      </c>
      <c r="BA52">
        <v>0.50028221127244299</v>
      </c>
      <c r="BB52">
        <v>0.50033290260263108</v>
      </c>
      <c r="BC52">
        <v>0.50043946518110738</v>
      </c>
      <c r="BD52">
        <v>0.50060237235867977</v>
      </c>
      <c r="BE52">
        <v>0.50082221149797257</v>
      </c>
      <c r="BF52">
        <v>0.50109967923897625</v>
      </c>
      <c r="BG52">
        <v>0.50143557745916489</v>
      </c>
      <c r="BH52">
        <v>0.50183080986954387</v>
      </c>
      <c r="BI52">
        <v>0.5022863791964346</v>
      </c>
      <c r="BJ52">
        <v>0.50280338490606891</v>
      </c>
      <c r="BK52">
        <v>0.50338302143536329</v>
      </c>
      <c r="BL52">
        <v>0.50402657689773867</v>
      </c>
      <c r="BM52">
        <v>0.50473543223767914</v>
      </c>
      <c r="BN52">
        <v>0.5055110608120017</v>
      </c>
      <c r="BO52">
        <v>0.50635502837962498</v>
      </c>
      <c r="BP52">
        <v>0.50726899348506216</v>
      </c>
      <c r="BQ52">
        <v>0.508254708223983</v>
      </c>
      <c r="BR52">
        <v>0.50931401938205012</v>
      </c>
      <c r="BS52">
        <v>0.51044886994088079</v>
      </c>
      <c r="BT52">
        <v>0.5116613009474601</v>
      </c>
      <c r="BU52">
        <v>0.51295345374566781</v>
      </c>
      <c r="BV52">
        <v>0.5143252390329569</v>
      </c>
      <c r="BW52">
        <v>0.51577175541658904</v>
      </c>
      <c r="BX52">
        <v>0.51728830241771129</v>
      </c>
      <c r="BY52">
        <v>0.51887037320929186</v>
      </c>
      <c r="BZ52">
        <v>0.52051364760549823</v>
      </c>
      <c r="CA52">
        <v>0.52221398529379481</v>
      </c>
      <c r="CB52">
        <v>0.5239674193013476</v>
      </c>
      <c r="CC52">
        <v>0.52577014968762625</v>
      </c>
      <c r="CD52">
        <v>0.52761853745538512</v>
      </c>
      <c r="CE52">
        <v>0.52950909867248075</v>
      </c>
      <c r="CF52">
        <v>0.53143849879725547</v>
      </c>
      <c r="CG52">
        <v>0.53340354720047289</v>
      </c>
      <c r="CH52">
        <v>0.53540119187703983</v>
      </c>
      <c r="CI52">
        <v>0.53742851434099059</v>
      </c>
      <c r="CJ52">
        <v>0.53948272469743752</v>
      </c>
      <c r="CK52">
        <v>0.5415611568854154</v>
      </c>
      <c r="CL52">
        <v>0.54366126408576021</v>
      </c>
      <c r="CM52">
        <v>0.54578061428836899</v>
      </c>
      <c r="CN52">
        <v>0.54791688601338484</v>
      </c>
      <c r="CO52">
        <v>0.55006786418104303</v>
      </c>
      <c r="CP52">
        <v>0.55223143612509762</v>
      </c>
      <c r="CQ52">
        <v>0.55440558774492421</v>
      </c>
      <c r="CR52">
        <v>0.55658839979156727</v>
      </c>
      <c r="CS52">
        <v>0.55877804428316191</v>
      </c>
      <c r="CT52">
        <v>0.56097278104532189</v>
      </c>
      <c r="CU52">
        <v>0.56317095437223419</v>
      </c>
      <c r="CV52">
        <v>0.56537098980435252</v>
      </c>
      <c r="CW52">
        <v>0.5675713910187189</v>
      </c>
      <c r="CX52">
        <v>0.56977073682808366</v>
      </c>
      <c r="CY52">
        <v>0.57196767828512285</v>
      </c>
      <c r="CZ52">
        <v>0.57416093588818073</v>
      </c>
      <c r="DA52">
        <v>0.57634929688508729</v>
      </c>
      <c r="DB52">
        <v>0.57853161267171893</v>
      </c>
      <c r="DC52">
        <v>0.58070679628208355</v>
      </c>
      <c r="DD52">
        <v>0.58287381996682297</v>
      </c>
      <c r="DE52">
        <v>0.5850317128571304</v>
      </c>
    </row>
    <row r="53" spans="1:109" x14ac:dyDescent="0.2">
      <c r="A53" t="s">
        <v>483</v>
      </c>
      <c r="B53">
        <v>0.34302524566650389</v>
      </c>
      <c r="C53">
        <v>0.42829046174151414</v>
      </c>
      <c r="D53">
        <v>0.50503699711112449</v>
      </c>
      <c r="E53">
        <v>0.49577803398737935</v>
      </c>
      <c r="F53">
        <v>0.53048428252988789</v>
      </c>
      <c r="G53">
        <v>0.49567155937933915</v>
      </c>
      <c r="H53">
        <v>0.48700776664342826</v>
      </c>
      <c r="I53">
        <v>0.5090834211102323</v>
      </c>
      <c r="J53">
        <v>0.5406510298104783</v>
      </c>
      <c r="K53">
        <v>0.58122410469519037</v>
      </c>
      <c r="L53">
        <v>0.62849190360836937</v>
      </c>
      <c r="M53">
        <v>0.6778865481949905</v>
      </c>
      <c r="N53">
        <v>0.72112719710437323</v>
      </c>
      <c r="O53">
        <v>0.75856320262607024</v>
      </c>
      <c r="P53">
        <v>0.91722509031563249</v>
      </c>
      <c r="Q53">
        <v>0.92757195402617842</v>
      </c>
      <c r="R53">
        <v>0.93662545977290612</v>
      </c>
      <c r="S53">
        <v>0.93784626853634134</v>
      </c>
      <c r="T53">
        <v>0.93855598330694512</v>
      </c>
      <c r="U53">
        <v>0.93808756048642483</v>
      </c>
      <c r="V53">
        <v>0.93663305540258668</v>
      </c>
      <c r="W53">
        <v>0.93434397608822495</v>
      </c>
      <c r="X53">
        <v>0.93134664763013575</v>
      </c>
      <c r="Y53">
        <v>0.92774423451237698</v>
      </c>
      <c r="Z53">
        <v>0.9236216038127123</v>
      </c>
      <c r="AA53">
        <v>0.92457633376505344</v>
      </c>
      <c r="AB53">
        <v>0.92551912959299032</v>
      </c>
      <c r="AC53">
        <v>0.92645014047307794</v>
      </c>
      <c r="AD53">
        <v>0.92736951371716447</v>
      </c>
      <c r="AE53">
        <v>0.92827739479569993</v>
      </c>
      <c r="AF53">
        <v>0.92917392736075366</v>
      </c>
      <c r="AG53">
        <v>0.93005925326874428</v>
      </c>
      <c r="AH53">
        <v>0.93093351260288493</v>
      </c>
      <c r="AI53">
        <v>0.93590505340042129</v>
      </c>
      <c r="AJ53">
        <v>0.94051873297128985</v>
      </c>
      <c r="AK53">
        <v>0.94480031086625516</v>
      </c>
      <c r="AL53">
        <v>0.94877369241325427</v>
      </c>
      <c r="AM53">
        <v>0.95246106218798088</v>
      </c>
      <c r="AN53">
        <v>0.95588300787699632</v>
      </c>
      <c r="AO53">
        <v>0.95905863522493162</v>
      </c>
      <c r="AP53">
        <v>0.9620056747075646</v>
      </c>
      <c r="AQ53">
        <v>0.96209116663292937</v>
      </c>
      <c r="AR53">
        <v>0.96153705876470064</v>
      </c>
      <c r="AS53">
        <v>0.96040486951907789</v>
      </c>
      <c r="AT53">
        <v>0.95874917282115701</v>
      </c>
      <c r="AU53">
        <v>0.9566185420581228</v>
      </c>
      <c r="AV53">
        <v>0.95405634089941282</v>
      </c>
      <c r="AW53">
        <v>0.95110138985273696</v>
      </c>
      <c r="AX53">
        <v>0.94778853127781781</v>
      </c>
      <c r="AY53">
        <v>0.94414911088185849</v>
      </c>
      <c r="AZ53">
        <v>0.94021139009907839</v>
      </c>
      <c r="BA53">
        <v>0.93600090094189248</v>
      </c>
      <c r="BB53">
        <v>0.93154089600695789</v>
      </c>
      <c r="BC53">
        <v>0.92685258461328812</v>
      </c>
      <c r="BD53">
        <v>0.92195533985362854</v>
      </c>
      <c r="BE53">
        <v>0.91686688077008893</v>
      </c>
      <c r="BF53">
        <v>0.91160343316843184</v>
      </c>
      <c r="BG53">
        <v>0.90617987201762029</v>
      </c>
      <c r="BH53">
        <v>0.90060984791604781</v>
      </c>
      <c r="BI53">
        <v>0.8949058997228857</v>
      </c>
      <c r="BJ53">
        <v>0.88907955513619719</v>
      </c>
      <c r="BK53">
        <v>0.88314142073628044</v>
      </c>
      <c r="BL53">
        <v>0.87710126279311373</v>
      </c>
      <c r="BM53">
        <v>0.87096807995282355</v>
      </c>
      <c r="BN53">
        <v>0.86475016876339839</v>
      </c>
      <c r="BO53">
        <v>0.8584551828692969</v>
      </c>
      <c r="BP53">
        <v>0.85209018659398472</v>
      </c>
      <c r="BQ53">
        <v>0.84566170353542058</v>
      </c>
      <c r="BR53">
        <v>0.83917576071933486</v>
      </c>
      <c r="BS53">
        <v>0.83263792878655707</v>
      </c>
      <c r="BT53">
        <v>0.82605335863179208</v>
      </c>
      <c r="BU53">
        <v>0.81942681486059687</v>
      </c>
      <c r="BV53">
        <v>0.8127627063875944</v>
      </c>
      <c r="BW53">
        <v>0.80606515783966559</v>
      </c>
      <c r="BX53">
        <v>0.79933812054616449</v>
      </c>
      <c r="BY53">
        <v>0.79258538145810875</v>
      </c>
      <c r="BZ53">
        <v>0.78581057123590115</v>
      </c>
      <c r="CA53">
        <v>0.77901717161056183</v>
      </c>
      <c r="CB53">
        <v>0.77220852210993629</v>
      </c>
      <c r="CC53">
        <v>0.7653878262294932</v>
      </c>
      <c r="CD53">
        <v>0.75855815711694774</v>
      </c>
      <c r="CE53">
        <v>0.75172246283085453</v>
      </c>
      <c r="CF53">
        <v>0.74488357122536586</v>
      </c>
      <c r="CG53">
        <v>0.73804419450639946</v>
      </c>
      <c r="CH53">
        <v>0.73120693349839683</v>
      </c>
      <c r="CI53">
        <v>0.72437428165555895</v>
      </c>
      <c r="CJ53">
        <v>0.71754862884684389</v>
      </c>
      <c r="CK53">
        <v>0.71073226493999864</v>
      </c>
      <c r="CL53">
        <v>0.70392738320642234</v>
      </c>
      <c r="CM53">
        <v>0.6971360835656365</v>
      </c>
      <c r="CN53">
        <v>0.69036037568552833</v>
      </c>
      <c r="CO53">
        <v>0.68360218195227263</v>
      </c>
      <c r="CP53">
        <v>0.67686334032189188</v>
      </c>
      <c r="CQ53">
        <v>0.67014560706373405</v>
      </c>
      <c r="CR53">
        <v>0.66345065940470782</v>
      </c>
      <c r="CS53">
        <v>0.65678009808187598</v>
      </c>
      <c r="CT53">
        <v>0.65013544980994975</v>
      </c>
      <c r="CU53">
        <v>0.64351816966932196</v>
      </c>
      <c r="CV53">
        <v>0.63692964341950697</v>
      </c>
      <c r="CW53">
        <v>0.63037118974219819</v>
      </c>
      <c r="CX53">
        <v>0.62384406241760038</v>
      </c>
      <c r="CY53">
        <v>0.61734945243722184</v>
      </c>
      <c r="CZ53">
        <v>0.61088849005591672</v>
      </c>
      <c r="DA53">
        <v>0.60446224678563243</v>
      </c>
      <c r="DB53">
        <v>0.59807173733303831</v>
      </c>
      <c r="DC53">
        <v>0.5917179214829773</v>
      </c>
      <c r="DD53">
        <v>0.58540206930645577</v>
      </c>
      <c r="DE53">
        <v>0.57912691324716237</v>
      </c>
    </row>
    <row r="54" spans="1:109" x14ac:dyDescent="0.2">
      <c r="A54" t="s">
        <v>484</v>
      </c>
      <c r="B54">
        <v>0.81556205749511723</v>
      </c>
      <c r="C54">
        <v>0.81544634853073472</v>
      </c>
      <c r="D54">
        <v>0.84022091042316327</v>
      </c>
      <c r="E54">
        <v>0.86166972442561329</v>
      </c>
      <c r="F54">
        <v>0.87904913920808114</v>
      </c>
      <c r="G54">
        <v>0.81273885840460813</v>
      </c>
      <c r="H54">
        <v>0.80282732468868856</v>
      </c>
      <c r="I54">
        <v>0.69950506188175676</v>
      </c>
      <c r="J54">
        <v>0.60838816360034775</v>
      </c>
      <c r="K54">
        <v>0.52842871121370316</v>
      </c>
      <c r="L54">
        <v>0.45859579480904139</v>
      </c>
      <c r="M54">
        <v>0.39779066452129341</v>
      </c>
      <c r="N54">
        <v>0.34494307822868514</v>
      </c>
      <c r="O54">
        <v>0.29906324347740826</v>
      </c>
      <c r="P54">
        <v>0.91314660408722648</v>
      </c>
      <c r="Q54">
        <v>0.92400327857632314</v>
      </c>
      <c r="R54">
        <v>0.93350286875428279</v>
      </c>
      <c r="S54">
        <v>0.93926405786038569</v>
      </c>
      <c r="T54">
        <v>0.94452610814208371</v>
      </c>
      <c r="U54">
        <v>0.9493322640687808</v>
      </c>
      <c r="V54">
        <v>0.95372202348861501</v>
      </c>
      <c r="W54">
        <v>0.9577314622288321</v>
      </c>
      <c r="X54">
        <v>0.9613935305733794</v>
      </c>
      <c r="Y54">
        <v>0.96473832405422699</v>
      </c>
      <c r="Z54">
        <v>0.96779333078182628</v>
      </c>
      <c r="AA54">
        <v>0.96836392642266789</v>
      </c>
      <c r="AB54">
        <v>0.96892441299624954</v>
      </c>
      <c r="AC54">
        <v>0.96947496960180279</v>
      </c>
      <c r="AD54">
        <v>0.97001577216551349</v>
      </c>
      <c r="AE54">
        <v>0.97054699349673723</v>
      </c>
      <c r="AF54">
        <v>0.97106880334321954</v>
      </c>
      <c r="AG54">
        <v>0.97158136844533749</v>
      </c>
      <c r="AH54">
        <v>0.97208485258938004</v>
      </c>
      <c r="AI54">
        <v>0.97074937013313989</v>
      </c>
      <c r="AJ54">
        <v>0.96944264489280263</v>
      </c>
      <c r="AK54">
        <v>0.96816407358889123</v>
      </c>
      <c r="AL54">
        <v>0.96691306513495967</v>
      </c>
      <c r="AM54">
        <v>0.96568904040493508</v>
      </c>
      <c r="AN54">
        <v>0.96449143200447263</v>
      </c>
      <c r="AO54">
        <v>0.96331968404626966</v>
      </c>
      <c r="AP54">
        <v>0.9621732519292826</v>
      </c>
      <c r="AQ54">
        <v>0.96057587669026911</v>
      </c>
      <c r="AR54">
        <v>0.95871640157971449</v>
      </c>
      <c r="AS54">
        <v>0.95660896066040768</v>
      </c>
      <c r="AT54">
        <v>0.95426714432380133</v>
      </c>
      <c r="AU54">
        <v>0.95170401765962909</v>
      </c>
      <c r="AV54">
        <v>0.94893213824633249</v>
      </c>
      <c r="AW54">
        <v>0.9459635733797882</v>
      </c>
      <c r="AX54">
        <v>0.94280991675731518</v>
      </c>
      <c r="AY54">
        <v>0.93948230463344107</v>
      </c>
      <c r="AZ54">
        <v>0.93625307723338469</v>
      </c>
      <c r="BA54">
        <v>0.93311939342364791</v>
      </c>
      <c r="BB54">
        <v>0.93007849267898601</v>
      </c>
      <c r="BC54">
        <v>0.92712769282663632</v>
      </c>
      <c r="BD54">
        <v>0.92426438785298182</v>
      </c>
      <c r="BE54">
        <v>0.92148604577093818</v>
      </c>
      <c r="BF54">
        <v>0.91879020654639765</v>
      </c>
      <c r="BG54">
        <v>0.91617448008210878</v>
      </c>
      <c r="BH54">
        <v>0.91363654425741669</v>
      </c>
      <c r="BI54">
        <v>0.91117414302232913</v>
      </c>
      <c r="BJ54">
        <v>0.90878508454441731</v>
      </c>
      <c r="BK54">
        <v>0.90646723940709995</v>
      </c>
      <c r="BL54">
        <v>0.90421853885789971</v>
      </c>
      <c r="BM54">
        <v>0.90203697310529762</v>
      </c>
      <c r="BN54">
        <v>0.89992058966285149</v>
      </c>
      <c r="BO54">
        <v>0.8978674917392776</v>
      </c>
      <c r="BP54">
        <v>0.89587583667323289</v>
      </c>
      <c r="BQ54">
        <v>0.89394383441156788</v>
      </c>
      <c r="BR54">
        <v>0.89206974602985445</v>
      </c>
      <c r="BS54">
        <v>0.89025188229402608</v>
      </c>
      <c r="BT54">
        <v>0.88848860226199777</v>
      </c>
      <c r="BU54">
        <v>0.88677831192416678</v>
      </c>
      <c r="BV54">
        <v>0.88511946288172227</v>
      </c>
      <c r="BW54">
        <v>0.88351055106172394</v>
      </c>
      <c r="BX54">
        <v>0.88195011546793534</v>
      </c>
      <c r="BY54">
        <v>0.88043673696642877</v>
      </c>
      <c r="BZ54">
        <v>0.87896903710500107</v>
      </c>
      <c r="CA54">
        <v>0.87754567696547092</v>
      </c>
      <c r="CB54">
        <v>0.87616535604794887</v>
      </c>
      <c r="CC54">
        <v>0.87482681118619987</v>
      </c>
      <c r="CD54">
        <v>0.87352881549324002</v>
      </c>
      <c r="CE54">
        <v>0.8722701773363335</v>
      </c>
      <c r="CF54">
        <v>0.87104973934057817</v>
      </c>
      <c r="CG54">
        <v>0.86986637742029094</v>
      </c>
      <c r="CH54">
        <v>0.8687189998374254</v>
      </c>
      <c r="CI54">
        <v>0.86760654628627454</v>
      </c>
      <c r="CJ54">
        <v>0.86652798700373379</v>
      </c>
      <c r="CK54">
        <v>0.86548232190441643</v>
      </c>
      <c r="CL54">
        <v>0.86446857973993574</v>
      </c>
      <c r="CM54">
        <v>0.86348581728168594</v>
      </c>
      <c r="CN54">
        <v>0.86253311852647085</v>
      </c>
      <c r="CO54">
        <v>0.86160959392434977</v>
      </c>
      <c r="CP54">
        <v>0.86071437962808539</v>
      </c>
      <c r="CQ54">
        <v>0.85984663676359574</v>
      </c>
      <c r="CR54">
        <v>0.85900555072082918</v>
      </c>
      <c r="CS54">
        <v>0.85819033046449678</v>
      </c>
      <c r="CT54">
        <v>0.8574002078641122</v>
      </c>
      <c r="CU54">
        <v>0.85663443704280451</v>
      </c>
      <c r="CV54">
        <v>0.85589229374438369</v>
      </c>
      <c r="CW54">
        <v>0.85517307471815251</v>
      </c>
      <c r="CX54">
        <v>0.85447609712097328</v>
      </c>
      <c r="CY54">
        <v>0.85380069793611124</v>
      </c>
      <c r="CZ54">
        <v>0.85314623340838847</v>
      </c>
      <c r="DA54">
        <v>0.85251207849519683</v>
      </c>
      <c r="DB54">
        <v>0.85189762633292876</v>
      </c>
      <c r="DC54">
        <v>0.85130228771839889</v>
      </c>
      <c r="DD54">
        <v>0.85072549060483926</v>
      </c>
      <c r="DE54">
        <v>0.85016667961206471</v>
      </c>
    </row>
    <row r="55" spans="1:109" x14ac:dyDescent="0.2">
      <c r="A55" t="s">
        <v>485</v>
      </c>
      <c r="B55">
        <v>0.74665122985839849</v>
      </c>
      <c r="C55">
        <v>0.77970729560728558</v>
      </c>
      <c r="D55">
        <v>0.80927948340188294</v>
      </c>
      <c r="E55">
        <v>0.83488188793302776</v>
      </c>
      <c r="F55">
        <v>0.85704741462078027</v>
      </c>
      <c r="G55">
        <v>0.84969346099705212</v>
      </c>
      <c r="H55">
        <v>0.86987067571873133</v>
      </c>
      <c r="I55">
        <v>0.88366299968222051</v>
      </c>
      <c r="J55">
        <v>0.88267599218371839</v>
      </c>
      <c r="K55">
        <v>0.8700874102347318</v>
      </c>
      <c r="L55">
        <v>0.84902984092876588</v>
      </c>
      <c r="M55">
        <v>0.82200389776798632</v>
      </c>
      <c r="N55">
        <v>0.79099144271341082</v>
      </c>
      <c r="O55">
        <v>0.75754979875729134</v>
      </c>
      <c r="P55">
        <v>0.51647374265423474</v>
      </c>
      <c r="Q55">
        <v>0.51441164714024545</v>
      </c>
      <c r="R55">
        <v>0.51240110112318171</v>
      </c>
      <c r="S55">
        <v>0.52907844649497038</v>
      </c>
      <c r="T55">
        <v>0.54516387300702196</v>
      </c>
      <c r="U55">
        <v>0.5606783892748386</v>
      </c>
      <c r="V55">
        <v>0.57564225826793047</v>
      </c>
      <c r="W55">
        <v>0.59007502377457488</v>
      </c>
      <c r="X55">
        <v>0.60399553592727739</v>
      </c>
      <c r="Y55">
        <v>0.61742197582227387</v>
      </c>
      <c r="Z55">
        <v>0.63037187926522686</v>
      </c>
      <c r="AA55">
        <v>0.62927594635082185</v>
      </c>
      <c r="AB55">
        <v>0.62820736387316667</v>
      </c>
      <c r="AC55">
        <v>0.62716544926640294</v>
      </c>
      <c r="AD55">
        <v>0.62614953699899456</v>
      </c>
      <c r="AE55">
        <v>0.62515897814861365</v>
      </c>
      <c r="AF55">
        <v>0.62419313998763648</v>
      </c>
      <c r="AG55">
        <v>0.62325140557898318</v>
      </c>
      <c r="AH55">
        <v>0.62233317338204419</v>
      </c>
      <c r="AI55">
        <v>0.6117165885500383</v>
      </c>
      <c r="AJ55">
        <v>0.60138927111854801</v>
      </c>
      <c r="AK55">
        <v>0.59134333949190709</v>
      </c>
      <c r="AL55">
        <v>0.58157112682229228</v>
      </c>
      <c r="AM55">
        <v>0.57206517515854283</v>
      </c>
      <c r="AN55">
        <v>0.5628182297544061</v>
      </c>
      <c r="AO55">
        <v>0.55382323353186502</v>
      </c>
      <c r="AP55">
        <v>0.5450733216953213</v>
      </c>
      <c r="AQ55">
        <v>0.55569705188368079</v>
      </c>
      <c r="AR55">
        <v>0.56607269012998129</v>
      </c>
      <c r="AS55">
        <v>0.57620603003125725</v>
      </c>
      <c r="AT55">
        <v>0.58610272988886891</v>
      </c>
      <c r="AU55">
        <v>0.5957683158680106</v>
      </c>
      <c r="AV55">
        <v>0.60520818508343677</v>
      </c>
      <c r="AW55">
        <v>0.61442760861312773</v>
      </c>
      <c r="AX55">
        <v>0.62343173444157896</v>
      </c>
      <c r="AY55">
        <v>0.63222559033435621</v>
      </c>
      <c r="AZ55">
        <v>0.64081408664552275</v>
      </c>
      <c r="BA55">
        <v>0.6492020190595057</v>
      </c>
      <c r="BB55">
        <v>0.65739407126893257</v>
      </c>
      <c r="BC55">
        <v>0.66539481758993313</v>
      </c>
      <c r="BD55">
        <v>0.67320872551636746</v>
      </c>
      <c r="BE55">
        <v>0.68084015821440569</v>
      </c>
      <c r="BF55">
        <v>0.68829337695885318</v>
      </c>
      <c r="BG55">
        <v>0.6955725435125808</v>
      </c>
      <c r="BH55">
        <v>0.70268172245038951</v>
      </c>
      <c r="BI55">
        <v>0.7096248834286063</v>
      </c>
      <c r="BJ55">
        <v>0.71640590340167964</v>
      </c>
      <c r="BK55">
        <v>0.72302856878701083</v>
      </c>
      <c r="BL55">
        <v>0.72949657757923181</v>
      </c>
      <c r="BM55">
        <v>0.73581354141510824</v>
      </c>
      <c r="BN55">
        <v>0.74198298759022219</v>
      </c>
      <c r="BO55">
        <v>0.74800836102855961</v>
      </c>
      <c r="BP55">
        <v>0.7538930262061031</v>
      </c>
      <c r="BQ55">
        <v>0.75964026902950366</v>
      </c>
      <c r="BR55">
        <v>0.76525329867088043</v>
      </c>
      <c r="BS55">
        <v>0.77073524935977311</v>
      </c>
      <c r="BT55">
        <v>0.77608918213324751</v>
      </c>
      <c r="BU55">
        <v>0.78131808654513202</v>
      </c>
      <c r="BV55">
        <v>0.78642488233533792</v>
      </c>
      <c r="BW55">
        <v>0.79141242106019793</v>
      </c>
      <c r="BX55">
        <v>0.79628348768473101</v>
      </c>
      <c r="BY55">
        <v>0.80104080213772422</v>
      </c>
      <c r="BZ55">
        <v>0.80568702083049926</v>
      </c>
      <c r="CA55">
        <v>0.81022473814021168</v>
      </c>
      <c r="CB55">
        <v>0.81465648785851108</v>
      </c>
      <c r="CC55">
        <v>0.81898474460637183</v>
      </c>
      <c r="CD55">
        <v>0.82321192521588304</v>
      </c>
      <c r="CE55">
        <v>0.82734039007977067</v>
      </c>
      <c r="CF55">
        <v>0.8313724444694045</v>
      </c>
      <c r="CG55">
        <v>0.83531033982202629</v>
      </c>
      <c r="CH55">
        <v>0.83915627499791767</v>
      </c>
      <c r="CI55">
        <v>0.84291239750821023</v>
      </c>
      <c r="CJ55">
        <v>0.84658080471402231</v>
      </c>
      <c r="CK55">
        <v>0.85016354499759361</v>
      </c>
      <c r="CL55">
        <v>0.8536626189060702</v>
      </c>
      <c r="CM55">
        <v>0.85707998026857934</v>
      </c>
      <c r="CN55">
        <v>0.8604175372872177</v>
      </c>
      <c r="CO55">
        <v>0.86367715360256203</v>
      </c>
      <c r="CP55">
        <v>0.86686064933429752</v>
      </c>
      <c r="CQ55">
        <v>0.8699698020975446</v>
      </c>
      <c r="CR55">
        <v>0.87300634799545196</v>
      </c>
      <c r="CS55">
        <v>0.87597198258860975</v>
      </c>
      <c r="CT55">
        <v>0.87886836184182493</v>
      </c>
      <c r="CU55">
        <v>0.88169710304878612</v>
      </c>
      <c r="CV55">
        <v>0.88445978573513595</v>
      </c>
      <c r="CW55">
        <v>0.88715795254045371</v>
      </c>
      <c r="CX55">
        <v>0.88979311007964157</v>
      </c>
      <c r="CY55">
        <v>0.8923667297841954</v>
      </c>
      <c r="CZ55">
        <v>0.89488024872382921</v>
      </c>
      <c r="DA55">
        <v>0.89733507040891303</v>
      </c>
      <c r="DB55">
        <v>0.89973256557417169</v>
      </c>
      <c r="DC55">
        <v>0.9020740729440816</v>
      </c>
      <c r="DD55">
        <v>0.90436089998039426</v>
      </c>
      <c r="DE55">
        <v>0.90659432361220282</v>
      </c>
    </row>
    <row r="56" spans="1:109" x14ac:dyDescent="0.2">
      <c r="A56" t="s">
        <v>486</v>
      </c>
      <c r="B56">
        <v>0.42901557922363281</v>
      </c>
      <c r="C56">
        <v>0.5056647745092242</v>
      </c>
      <c r="D56">
        <v>0.51240846287643227</v>
      </c>
      <c r="E56">
        <v>0.57786296143835325</v>
      </c>
      <c r="F56">
        <v>0.63453081983980975</v>
      </c>
      <c r="G56">
        <v>0.60694236516579969</v>
      </c>
      <c r="H56">
        <v>0.62343973214197634</v>
      </c>
      <c r="I56">
        <v>0.67398933812373019</v>
      </c>
      <c r="J56">
        <v>0.71775314316325023</v>
      </c>
      <c r="K56">
        <v>0.75564207611019418</v>
      </c>
      <c r="L56">
        <v>0.78844478233196036</v>
      </c>
      <c r="M56">
        <v>0.81684403910116643</v>
      </c>
      <c r="N56">
        <v>0.84143096737442369</v>
      </c>
      <c r="O56">
        <v>0.86271733577578946</v>
      </c>
      <c r="P56">
        <v>0.49905539301984359</v>
      </c>
      <c r="Q56">
        <v>0.5049064120200909</v>
      </c>
      <c r="R56">
        <v>0.51061119560805479</v>
      </c>
      <c r="S56">
        <v>0.50965111691668619</v>
      </c>
      <c r="T56">
        <v>0.50871472098544002</v>
      </c>
      <c r="U56">
        <v>0.5078014236193622</v>
      </c>
      <c r="V56">
        <v>0.50691065503413923</v>
      </c>
      <c r="W56">
        <v>0.50604185950062341</v>
      </c>
      <c r="X56">
        <v>0.50519449499812696</v>
      </c>
      <c r="Y56">
        <v>0.50436803287626797</v>
      </c>
      <c r="Z56">
        <v>0.50356195752515831</v>
      </c>
      <c r="AA56">
        <v>0.50403192280816755</v>
      </c>
      <c r="AB56">
        <v>0.50449036121311919</v>
      </c>
      <c r="AC56">
        <v>0.50493755546072161</v>
      </c>
      <c r="AD56">
        <v>0.50537378133736877</v>
      </c>
      <c r="AE56">
        <v>0.50579930786521832</v>
      </c>
      <c r="AF56">
        <v>0.50621439746809882</v>
      </c>
      <c r="AG56">
        <v>0.5066193061333476</v>
      </c>
      <c r="AH56">
        <v>0.50701428356967904</v>
      </c>
      <c r="AI56">
        <v>0.50691521125805761</v>
      </c>
      <c r="AJ56">
        <v>0.50681862638551833</v>
      </c>
      <c r="AK56">
        <v>0.50672446649916114</v>
      </c>
      <c r="AL56">
        <v>0.50663267071411</v>
      </c>
      <c r="AM56">
        <v>0.50654317967414431</v>
      </c>
      <c r="AN56">
        <v>0.50645593551331847</v>
      </c>
      <c r="AO56">
        <v>0.50637088181854495</v>
      </c>
      <c r="AP56">
        <v>0.50628796359311701</v>
      </c>
      <c r="AQ56">
        <v>0.49944372668762571</v>
      </c>
      <c r="AR56">
        <v>0.4927722221653224</v>
      </c>
      <c r="AS56">
        <v>0.48626909066860252</v>
      </c>
      <c r="AT56">
        <v>0.47993008285975675</v>
      </c>
      <c r="AU56">
        <v>0.47375105664432876</v>
      </c>
      <c r="AV56">
        <v>0.46772797446454861</v>
      </c>
      <c r="AW56">
        <v>0.46185690066107349</v>
      </c>
      <c r="AX56">
        <v>0.45613399890131201</v>
      </c>
      <c r="AY56">
        <v>0.45648880583960799</v>
      </c>
      <c r="AZ56">
        <v>0.45683465828832837</v>
      </c>
      <c r="BA56">
        <v>0.45717178223765226</v>
      </c>
      <c r="BB56">
        <v>0.4575003979743002</v>
      </c>
      <c r="BC56">
        <v>0.45782072022547587</v>
      </c>
      <c r="BD56">
        <v>0.45813295829917527</v>
      </c>
      <c r="BE56">
        <v>0.45843731622095463</v>
      </c>
      <c r="BF56">
        <v>0.45873399286724675</v>
      </c>
      <c r="BG56">
        <v>0.45902318209531268</v>
      </c>
      <c r="BH56">
        <v>0.4593050728699139</v>
      </c>
      <c r="BI56">
        <v>0.45957984938678736</v>
      </c>
      <c r="BJ56">
        <v>0.45984769119300439</v>
      </c>
      <c r="BK56">
        <v>0.46010877330429212</v>
      </c>
      <c r="BL56">
        <v>0.46036326631939378</v>
      </c>
      <c r="BM56">
        <v>0.46061133653154307</v>
      </c>
      <c r="BN56">
        <v>0.46085314603712502</v>
      </c>
      <c r="BO56">
        <v>0.46108885284159457</v>
      </c>
      <c r="BP56">
        <v>0.46131861096272192</v>
      </c>
      <c r="BQ56">
        <v>0.46154257053123238</v>
      </c>
      <c r="BR56">
        <v>0.46176087788890607</v>
      </c>
      <c r="BS56">
        <v>0.46197367568420211</v>
      </c>
      <c r="BT56">
        <v>0.46218110296546916</v>
      </c>
      <c r="BU56">
        <v>0.46238329527180383</v>
      </c>
      <c r="BV56">
        <v>0.46258038472161589</v>
      </c>
      <c r="BW56">
        <v>0.46277250009895832</v>
      </c>
      <c r="BX56">
        <v>0.4629597669376786</v>
      </c>
      <c r="BY56">
        <v>0.46314230760344621</v>
      </c>
      <c r="BZ56">
        <v>0.46332024137371003</v>
      </c>
      <c r="CA56">
        <v>0.46349368451563766</v>
      </c>
      <c r="CB56">
        <v>0.46366275036208793</v>
      </c>
      <c r="CC56">
        <v>0.46382754938566567</v>
      </c>
      <c r="CD56">
        <v>0.46398818927090812</v>
      </c>
      <c r="CE56">
        <v>0.4641447749846489</v>
      </c>
      <c r="CF56">
        <v>0.46429740884460652</v>
      </c>
      <c r="CG56">
        <v>0.46444619058624187</v>
      </c>
      <c r="CH56">
        <v>0.46459121742792819</v>
      </c>
      <c r="CI56">
        <v>0.46473258413447649</v>
      </c>
      <c r="CJ56">
        <v>0.46487038307905765</v>
      </c>
      <c r="CK56">
        <v>0.46500470430356178</v>
      </c>
      <c r="CL56">
        <v>0.4651356355774342</v>
      </c>
      <c r="CM56">
        <v>0.46526326245502664</v>
      </c>
      <c r="CN56">
        <v>0.46538766833150091</v>
      </c>
      <c r="CO56">
        <v>0.46550893449732189</v>
      </c>
      <c r="CP56">
        <v>0.46562714019137491</v>
      </c>
      <c r="CQ56">
        <v>0.46574236265274299</v>
      </c>
      <c r="CR56">
        <v>0.4658546771711769</v>
      </c>
      <c r="CS56">
        <v>0.46596415713629191</v>
      </c>
      <c r="CT56">
        <v>0.46607087408552267</v>
      </c>
      <c r="CU56">
        <v>0.46617489775086773</v>
      </c>
      <c r="CV56">
        <v>0.46627629610445476</v>
      </c>
      <c r="CW56">
        <v>0.46637513540295522</v>
      </c>
      <c r="CX56">
        <v>0.46647148023087875</v>
      </c>
      <c r="CY56">
        <v>0.46656539354277426</v>
      </c>
      <c r="CZ56">
        <v>0.46665693670436659</v>
      </c>
      <c r="DA56">
        <v>0.46674616953265441</v>
      </c>
      <c r="DB56">
        <v>0.46683315033499667</v>
      </c>
      <c r="DC56">
        <v>0.4669179359472122</v>
      </c>
      <c r="DD56">
        <v>0.46700058177071785</v>
      </c>
      <c r="DE56">
        <v>0.46708114180872956</v>
      </c>
    </row>
    <row r="57" spans="1:109" x14ac:dyDescent="0.2">
      <c r="A57" t="s">
        <v>487</v>
      </c>
      <c r="B57">
        <v>0.46971038818359373</v>
      </c>
      <c r="C57">
        <v>0.46066358661429635</v>
      </c>
      <c r="D57">
        <v>0.5068385554305268</v>
      </c>
      <c r="E57">
        <v>0.50358255810827146</v>
      </c>
      <c r="F57">
        <v>0.50700593955422402</v>
      </c>
      <c r="G57">
        <v>0.50199936862816563</v>
      </c>
      <c r="H57">
        <v>0.45608538716736047</v>
      </c>
      <c r="I57">
        <v>0.40828433098052924</v>
      </c>
      <c r="J57">
        <v>0.36690010922420685</v>
      </c>
      <c r="K57">
        <v>0.33107132327264693</v>
      </c>
      <c r="L57">
        <v>0.30005220902371016</v>
      </c>
      <c r="M57">
        <v>0.27319711407046621</v>
      </c>
      <c r="N57">
        <v>0.24994705866398514</v>
      </c>
      <c r="O57">
        <v>0.2298181007382884</v>
      </c>
      <c r="P57">
        <v>0.63639103002523334</v>
      </c>
      <c r="Q57">
        <v>0.62428069933616182</v>
      </c>
      <c r="R57">
        <v>0.61255070805545209</v>
      </c>
      <c r="S57">
        <v>0.61216940091406369</v>
      </c>
      <c r="T57">
        <v>0.61176811896314065</v>
      </c>
      <c r="U57">
        <v>0.61139721543073944</v>
      </c>
      <c r="V57">
        <v>0.61110155490176787</v>
      </c>
      <c r="W57">
        <v>0.61092131716696529</v>
      </c>
      <c r="X57">
        <v>0.61088804721997203</v>
      </c>
      <c r="Y57">
        <v>0.61102993853104481</v>
      </c>
      <c r="Z57">
        <v>0.61136439075756654</v>
      </c>
      <c r="AA57">
        <v>0.61106205114474033</v>
      </c>
      <c r="AB57">
        <v>0.6097856528676735</v>
      </c>
      <c r="AC57">
        <v>0.60766078467592932</v>
      </c>
      <c r="AD57">
        <v>0.60479822780778247</v>
      </c>
      <c r="AE57">
        <v>0.60129565975667509</v>
      </c>
      <c r="AF57">
        <v>0.59723916758734474</v>
      </c>
      <c r="AG57">
        <v>0.59270459208449711</v>
      </c>
      <c r="AH57">
        <v>0.58775872131558182</v>
      </c>
      <c r="AI57">
        <v>0.58060174991527258</v>
      </c>
      <c r="AJ57">
        <v>0.57394997503263456</v>
      </c>
      <c r="AK57">
        <v>0.56778001320407645</v>
      </c>
      <c r="AL57">
        <v>0.56207045024310676</v>
      </c>
      <c r="AM57">
        <v>0.55680171325946537</v>
      </c>
      <c r="AN57">
        <v>0.55195595348825777</v>
      </c>
      <c r="AO57">
        <v>0.54751693891897646</v>
      </c>
      <c r="AP57">
        <v>0.54346995587182489</v>
      </c>
      <c r="AQ57">
        <v>0.53454538070818114</v>
      </c>
      <c r="AR57">
        <v>0.52610558764906168</v>
      </c>
      <c r="AS57">
        <v>0.51814065546172317</v>
      </c>
      <c r="AT57">
        <v>0.51064103270700789</v>
      </c>
      <c r="AU57">
        <v>0.50359750527588454</v>
      </c>
      <c r="AV57">
        <v>0.49700117299039004</v>
      </c>
      <c r="AW57">
        <v>0.49084343438743794</v>
      </c>
      <c r="AX57">
        <v>0.48511597875718954</v>
      </c>
      <c r="AY57">
        <v>0.47981078451585235</v>
      </c>
      <c r="AZ57">
        <v>0.47492012303841014</v>
      </c>
      <c r="BA57">
        <v>0.47043656714663784</v>
      </c>
      <c r="BB57">
        <v>0.46635300353191012</v>
      </c>
      <c r="BC57">
        <v>0.46266264696494697</v>
      </c>
      <c r="BD57">
        <v>0.45935905707829</v>
      </c>
      <c r="BE57">
        <v>0.45643615730196263</v>
      </c>
      <c r="BF57">
        <v>0.45388825561277124</v>
      </c>
      <c r="BG57">
        <v>0.4517100668328643</v>
      </c>
      <c r="BH57">
        <v>0.44989673628294974</v>
      </c>
      <c r="BI57">
        <v>0.44844386465987196</v>
      </c>
      <c r="BJ57">
        <v>0.44734753406726474</v>
      </c>
      <c r="BK57">
        <v>0.4466043351821406</v>
      </c>
      <c r="BL57">
        <v>0.44621139559010115</v>
      </c>
      <c r="BM57">
        <v>0.44616640936800878</v>
      </c>
      <c r="BN57">
        <v>0.44646766803614979</v>
      </c>
      <c r="BO57">
        <v>0.4471140930428889</v>
      </c>
      <c r="BP57">
        <v>0.44810526998431927</v>
      </c>
      <c r="BQ57">
        <v>0.44944148480023038</v>
      </c>
      <c r="BR57">
        <v>0.45112376222662975</v>
      </c>
      <c r="BS57">
        <v>0.45315390682486351</v>
      </c>
      <c r="BT57">
        <v>0.45553454694890638</v>
      </c>
      <c r="BU57">
        <v>0.45826918205648554</v>
      </c>
      <c r="BV57">
        <v>0.46136223381725805</v>
      </c>
      <c r="BW57">
        <v>0.46481896795822353</v>
      </c>
      <c r="BX57">
        <v>0.46864524948607056</v>
      </c>
      <c r="BY57">
        <v>0.47284756819505214</v>
      </c>
      <c r="BZ57">
        <v>0.47743306632946092</v>
      </c>
      <c r="CA57">
        <v>0.48240956847669864</v>
      </c>
      <c r="CB57">
        <v>0.48778561378104041</v>
      </c>
      <c r="CC57">
        <v>0.49356140019973271</v>
      </c>
      <c r="CD57">
        <v>0.49972997608244679</v>
      </c>
      <c r="CE57">
        <v>0.50628435136583705</v>
      </c>
      <c r="CF57">
        <v>0.51321749952232065</v>
      </c>
      <c r="CG57">
        <v>0.52052235962378424</v>
      </c>
      <c r="CH57">
        <v>0.52819183852497742</v>
      </c>
      <c r="CI57">
        <v>0.53621881316858166</v>
      </c>
      <c r="CJ57">
        <v>0.54459613301155396</v>
      </c>
      <c r="CK57">
        <v>0.55331662257029512</v>
      </c>
      <c r="CL57">
        <v>0.5623730840804636</v>
      </c>
      <c r="CM57">
        <v>0.57175830026580343</v>
      </c>
      <c r="CN57">
        <v>0.58146503720916265</v>
      </c>
      <c r="CO57">
        <v>0.59148604731791465</v>
      </c>
      <c r="CP57">
        <v>0.601430857326122</v>
      </c>
      <c r="CQ57">
        <v>0.61113357218568132</v>
      </c>
      <c r="CR57">
        <v>0.62060008542909362</v>
      </c>
      <c r="CS57">
        <v>0.62983614711747871</v>
      </c>
      <c r="CT57">
        <v>0.63884736733322367</v>
      </c>
      <c r="CU57">
        <v>0.64763921958760684</v>
      </c>
      <c r="CV57">
        <v>0.656217044145467</v>
      </c>
      <c r="CW57">
        <v>0.66458605126893699</v>
      </c>
      <c r="CX57">
        <v>0.67275132438221263</v>
      </c>
      <c r="CY57">
        <v>0.68071782315927898</v>
      </c>
      <c r="CZ57">
        <v>0.68849038653646877</v>
      </c>
      <c r="DA57">
        <v>0.6960737356516844</v>
      </c>
      <c r="DB57">
        <v>0.70347247671206714</v>
      </c>
      <c r="DC57">
        <v>0.71069110379185663</v>
      </c>
      <c r="DD57">
        <v>0.71773400156213962</v>
      </c>
      <c r="DE57">
        <v>0.72460544795414572</v>
      </c>
    </row>
    <row r="58" spans="1:109" x14ac:dyDescent="0.2">
      <c r="A58" t="s">
        <v>488</v>
      </c>
      <c r="B58">
        <v>0.69426445007324222</v>
      </c>
      <c r="C58">
        <v>0.71739534701741181</v>
      </c>
      <c r="D58">
        <v>0.63518884259113684</v>
      </c>
      <c r="E58">
        <v>0.57619199226650353</v>
      </c>
      <c r="F58">
        <v>0.55115811846437068</v>
      </c>
      <c r="G58">
        <v>0.57491909148417608</v>
      </c>
      <c r="H58">
        <v>0.51305839237949391</v>
      </c>
      <c r="I58">
        <v>0.46083776217597106</v>
      </c>
      <c r="J58">
        <v>0.41745835633730727</v>
      </c>
      <c r="K58">
        <v>0.3849233301091024</v>
      </c>
      <c r="L58">
        <v>0.36470537675517334</v>
      </c>
      <c r="M58">
        <v>0.35798871987075775</v>
      </c>
      <c r="N58">
        <v>0.36648041923817121</v>
      </c>
      <c r="O58">
        <v>0.39264369634345025</v>
      </c>
      <c r="P58">
        <v>0.62550762425137851</v>
      </c>
      <c r="Q58">
        <v>0.6415906473076467</v>
      </c>
      <c r="R58">
        <v>0.65698296569973746</v>
      </c>
      <c r="S58">
        <v>0.62796203308378151</v>
      </c>
      <c r="T58">
        <v>0.60075831946401359</v>
      </c>
      <c r="U58">
        <v>0.57525803508309514</v>
      </c>
      <c r="V58">
        <v>0.55135451541675118</v>
      </c>
      <c r="W58">
        <v>0.52894777500930501</v>
      </c>
      <c r="X58">
        <v>0.50794408924692824</v>
      </c>
      <c r="Y58">
        <v>0.488255602319215</v>
      </c>
      <c r="Z58">
        <v>0.46979995972923222</v>
      </c>
      <c r="AA58">
        <v>0.47489988894325202</v>
      </c>
      <c r="AB58">
        <v>0.47987978127821468</v>
      </c>
      <c r="AC58">
        <v>0.4847424620384978</v>
      </c>
      <c r="AD58">
        <v>0.48949069002937562</v>
      </c>
      <c r="AE58">
        <v>0.49412715912220645</v>
      </c>
      <c r="AF58">
        <v>0.49865449978278015</v>
      </c>
      <c r="AG58">
        <v>0.50307528056369322</v>
      </c>
      <c r="AH58">
        <v>0.50739200956159769</v>
      </c>
      <c r="AI58">
        <v>0.50663753129644262</v>
      </c>
      <c r="AJ58">
        <v>0.50590147212658843</v>
      </c>
      <c r="AK58">
        <v>0.5051833823862365</v>
      </c>
      <c r="AL58">
        <v>0.50448282338728967</v>
      </c>
      <c r="AM58">
        <v>0.50379936715135332</v>
      </c>
      <c r="AN58">
        <v>0.50313259614827932</v>
      </c>
      <c r="AO58">
        <v>0.50248210304109275</v>
      </c>
      <c r="AP58">
        <v>0.5018474904371456</v>
      </c>
      <c r="AQ58">
        <v>0.5079832841170383</v>
      </c>
      <c r="AR58">
        <v>0.51395042477783093</v>
      </c>
      <c r="AS58">
        <v>0.51975354814268115</v>
      </c>
      <c r="AT58">
        <v>0.52539716251378876</v>
      </c>
      <c r="AU58">
        <v>0.53088565227478401</v>
      </c>
      <c r="AV58">
        <v>0.53622328129684582</v>
      </c>
      <c r="AW58">
        <v>0.54141419625119769</v>
      </c>
      <c r="AX58">
        <v>0.54646242983055293</v>
      </c>
      <c r="AY58">
        <v>0.55137190388201363</v>
      </c>
      <c r="AZ58">
        <v>0.55614643245385598</v>
      </c>
      <c r="BA58">
        <v>0.5607897247585697</v>
      </c>
      <c r="BB58">
        <v>0.56530538805445285</v>
      </c>
      <c r="BC58">
        <v>0.56969693044800096</v>
      </c>
      <c r="BD58">
        <v>0.57396776361926793</v>
      </c>
      <c r="BE58">
        <v>0.57812120547231527</v>
      </c>
      <c r="BF58">
        <v>0.58216048271280918</v>
      </c>
      <c r="BG58">
        <v>0.58608873335476808</v>
      </c>
      <c r="BH58">
        <v>0.58990900915840749</v>
      </c>
      <c r="BI58">
        <v>0.59362427800097683</v>
      </c>
      <c r="BJ58">
        <v>0.59723742618242925</v>
      </c>
      <c r="BK58">
        <v>0.60075126066771645</v>
      </c>
      <c r="BL58">
        <v>0.60416851126744964</v>
      </c>
      <c r="BM58">
        <v>0.60749183275862195</v>
      </c>
      <c r="BN58">
        <v>0.61072380694703809</v>
      </c>
      <c r="BO58">
        <v>0.61386694467305558</v>
      </c>
      <c r="BP58">
        <v>0.61692368776219397</v>
      </c>
      <c r="BQ58">
        <v>0.6198964109221281</v>
      </c>
      <c r="BR58">
        <v>0.6227874235875398</v>
      </c>
      <c r="BS58">
        <v>0.62559897171426015</v>
      </c>
      <c r="BT58">
        <v>0.6283332395240967</v>
      </c>
      <c r="BU58">
        <v>0.63099235120170072</v>
      </c>
      <c r="BV58">
        <v>0.6335783725447941</v>
      </c>
      <c r="BW58">
        <v>0.63609331256903556</v>
      </c>
      <c r="BX58">
        <v>0.63853912506877541</v>
      </c>
      <c r="BY58">
        <v>0.6409177101349095</v>
      </c>
      <c r="BZ58">
        <v>0.64323091563101276</v>
      </c>
      <c r="CA58">
        <v>0.6454805386288982</v>
      </c>
      <c r="CB58">
        <v>0.64766832680471753</v>
      </c>
      <c r="CC58">
        <v>0.64979597979668735</v>
      </c>
      <c r="CD58">
        <v>0.65186515052549554</v>
      </c>
      <c r="CE58">
        <v>0.6538774464784145</v>
      </c>
      <c r="CF58">
        <v>0.65583443095811766</v>
      </c>
      <c r="CG58">
        <v>0.65773762429717098</v>
      </c>
      <c r="CH58">
        <v>0.65958850503914102</v>
      </c>
      <c r="CI58">
        <v>0.66138851108723895</v>
      </c>
      <c r="CJ58">
        <v>0.66313904082139152</v>
      </c>
      <c r="CK58">
        <v>0.66484145418460805</v>
      </c>
      <c r="CL58">
        <v>0.66649707373948586</v>
      </c>
      <c r="CM58">
        <v>0.66810718569567662</v>
      </c>
      <c r="CN58">
        <v>0.6696730409091104</v>
      </c>
      <c r="CO58">
        <v>0.67119585585375474</v>
      </c>
      <c r="CP58">
        <v>0.67267681356666287</v>
      </c>
      <c r="CQ58">
        <v>0.67411706456704579</v>
      </c>
      <c r="CR58">
        <v>0.67551772775008212</v>
      </c>
      <c r="CS58">
        <v>0.67687989125615966</v>
      </c>
      <c r="CT58">
        <v>0.67820461331622506</v>
      </c>
      <c r="CU58">
        <v>0.67949292307389653</v>
      </c>
      <c r="CV58">
        <v>0.68074582138498052</v>
      </c>
      <c r="CW58">
        <v>0.68196428159501143</v>
      </c>
      <c r="CX58">
        <v>0.68314925029541929</v>
      </c>
      <c r="CY58">
        <v>0.68430164805891347</v>
      </c>
      <c r="CZ58">
        <v>0.68542237015465268</v>
      </c>
      <c r="DA58">
        <v>0.68651228724375724</v>
      </c>
      <c r="DB58">
        <v>0.68757224605570377</v>
      </c>
      <c r="DC58">
        <v>0.68860307004612886</v>
      </c>
      <c r="DD58">
        <v>0.68960556003655071</v>
      </c>
      <c r="DE58">
        <v>0.69058049483650774</v>
      </c>
    </row>
    <row r="59" spans="1:109" x14ac:dyDescent="0.2">
      <c r="A59" t="s">
        <v>489</v>
      </c>
      <c r="B59">
        <v>0.51738662719726558</v>
      </c>
      <c r="C59">
        <v>0.51266714984007311</v>
      </c>
      <c r="D59">
        <v>0.5733159441283322</v>
      </c>
      <c r="E59">
        <v>0.50977780733653044</v>
      </c>
      <c r="F59">
        <v>0.46819310066906128</v>
      </c>
      <c r="G59">
        <v>0.47479686091968304</v>
      </c>
      <c r="H59">
        <v>0.54530035717486314</v>
      </c>
      <c r="I59">
        <v>0.60633940165885658</v>
      </c>
      <c r="J59">
        <v>0.65918453844509184</v>
      </c>
      <c r="K59">
        <v>0.70493572124232939</v>
      </c>
      <c r="L59">
        <v>0.74454524549833379</v>
      </c>
      <c r="M59">
        <v>0.77883757010861088</v>
      </c>
      <c r="N59">
        <v>0.80852647825040358</v>
      </c>
      <c r="O59">
        <v>0.83422993453891792</v>
      </c>
      <c r="P59">
        <f t="shared" ref="P59:AG59" si="4">MIN(P42:P58)</f>
        <v>0.29716283696870005</v>
      </c>
      <c r="Q59">
        <f t="shared" si="4"/>
        <v>0.29187206716090075</v>
      </c>
      <c r="R59">
        <f t="shared" si="4"/>
        <v>0.28668866971547141</v>
      </c>
      <c r="S59">
        <f t="shared" si="4"/>
        <v>0.30555773032620637</v>
      </c>
      <c r="T59">
        <f t="shared" si="4"/>
        <v>0.32313705048649333</v>
      </c>
      <c r="U59">
        <f t="shared" si="4"/>
        <v>0.32330566025630103</v>
      </c>
      <c r="V59">
        <f t="shared" si="4"/>
        <v>0.32066793104805774</v>
      </c>
      <c r="W59">
        <f t="shared" si="4"/>
        <v>0.31813397671434723</v>
      </c>
      <c r="X59">
        <f t="shared" si="4"/>
        <v>0.31569911917279331</v>
      </c>
      <c r="Y59">
        <f t="shared" si="4"/>
        <v>0.31335904948716448</v>
      </c>
      <c r="Z59">
        <f t="shared" si="4"/>
        <v>0.31110999608894102</v>
      </c>
      <c r="AA59">
        <f t="shared" si="4"/>
        <v>0.31505374498318295</v>
      </c>
      <c r="AB59">
        <f t="shared" si="4"/>
        <v>0.31894077109788843</v>
      </c>
      <c r="AC59">
        <f t="shared" si="4"/>
        <v>0.32276609392693567</v>
      </c>
      <c r="AD59">
        <f t="shared" si="4"/>
        <v>0.32652566864789445</v>
      </c>
      <c r="AE59">
        <f t="shared" si="4"/>
        <v>0.33021625146356703</v>
      </c>
      <c r="AF59">
        <f t="shared" si="4"/>
        <v>0.33383527931615686</v>
      </c>
      <c r="AG59">
        <f t="shared" si="4"/>
        <v>0.31069742730845784</v>
      </c>
      <c r="AH59">
        <f t="shared" ref="AH59:BM59" si="5">MIN(AH42:AH58)</f>
        <v>0.28945019032848007</v>
      </c>
      <c r="AI59">
        <f t="shared" si="5"/>
        <v>0.30209184632541963</v>
      </c>
      <c r="AJ59">
        <f t="shared" si="5"/>
        <v>0.31450858991766956</v>
      </c>
      <c r="AK59">
        <f t="shared" si="5"/>
        <v>0.32670442260549182</v>
      </c>
      <c r="AL59">
        <f t="shared" si="5"/>
        <v>0.33868327469696863</v>
      </c>
      <c r="AM59">
        <f t="shared" si="5"/>
        <v>0.33885142985517047</v>
      </c>
      <c r="AN59">
        <f t="shared" si="5"/>
        <v>0.33876907228497583</v>
      </c>
      <c r="AO59">
        <f t="shared" si="5"/>
        <v>0.33879853682308408</v>
      </c>
      <c r="AP59">
        <f t="shared" si="5"/>
        <v>0.3389424920991691</v>
      </c>
      <c r="AQ59">
        <f t="shared" si="5"/>
        <v>0.35582687832522186</v>
      </c>
      <c r="AR59">
        <f t="shared" si="5"/>
        <v>0.37228001236092317</v>
      </c>
      <c r="AS59">
        <f t="shared" si="5"/>
        <v>0.38200668229086449</v>
      </c>
      <c r="AT59">
        <f t="shared" si="5"/>
        <v>0.38192407711859927</v>
      </c>
      <c r="AU59">
        <f t="shared" si="5"/>
        <v>0.38215893772275367</v>
      </c>
      <c r="AV59">
        <f t="shared" si="5"/>
        <v>0.38268307603127061</v>
      </c>
      <c r="AW59">
        <f t="shared" si="5"/>
        <v>0.38347207625530405</v>
      </c>
      <c r="AX59">
        <f t="shared" si="5"/>
        <v>0.38450497064182648</v>
      </c>
      <c r="AY59">
        <f t="shared" si="5"/>
        <v>0.38576393701185863</v>
      </c>
      <c r="AZ59">
        <f t="shared" si="5"/>
        <v>0.38723401957024312</v>
      </c>
      <c r="BA59">
        <f t="shared" si="5"/>
        <v>0.38890287354735198</v>
      </c>
      <c r="BB59">
        <f t="shared" si="5"/>
        <v>0.39076045612560167</v>
      </c>
      <c r="BC59">
        <f t="shared" si="5"/>
        <v>0.39279881893952229</v>
      </c>
      <c r="BD59">
        <f t="shared" si="5"/>
        <v>0.39501192327477391</v>
      </c>
      <c r="BE59">
        <f t="shared" si="5"/>
        <v>0.39739547650873963</v>
      </c>
      <c r="BF59">
        <f t="shared" si="5"/>
        <v>0.39994678834239172</v>
      </c>
      <c r="BG59">
        <f t="shared" si="5"/>
        <v>0.40266464541907965</v>
      </c>
      <c r="BH59">
        <f t="shared" si="5"/>
        <v>0.40554920299927255</v>
      </c>
      <c r="BI59">
        <f t="shared" si="5"/>
        <v>0.4086018924524103</v>
      </c>
      <c r="BJ59">
        <f t="shared" si="5"/>
        <v>0.41182534343135807</v>
      </c>
      <c r="BK59">
        <f t="shared" si="5"/>
        <v>0.41522331970671367</v>
      </c>
      <c r="BL59">
        <f t="shared" si="5"/>
        <v>0.41880066775393332</v>
      </c>
      <c r="BM59">
        <f t="shared" si="5"/>
        <v>0.42256327730352855</v>
      </c>
      <c r="BN59">
        <f t="shared" ref="BN59:CS59" si="6">MIN(BN42:BN58)</f>
        <v>0.42651805318189429</v>
      </c>
      <c r="BO59">
        <f t="shared" si="6"/>
        <v>0.43067289788676116</v>
      </c>
      <c r="BP59">
        <f t="shared" si="6"/>
        <v>0.43503670445646131</v>
      </c>
      <c r="BQ59">
        <f t="shared" si="6"/>
        <v>0.43961935930619672</v>
      </c>
      <c r="BR59">
        <f t="shared" si="6"/>
        <v>0.4444317548176977</v>
      </c>
      <c r="BS59">
        <f t="shared" si="6"/>
        <v>0.4494858115817133</v>
      </c>
      <c r="BT59">
        <f t="shared" si="6"/>
        <v>0.45479451030659468</v>
      </c>
      <c r="BU59">
        <f t="shared" si="6"/>
        <v>0.45826918205648554</v>
      </c>
      <c r="BV59">
        <f t="shared" si="6"/>
        <v>0.46136223381725805</v>
      </c>
      <c r="BW59">
        <f t="shared" si="6"/>
        <v>0.46277250009895832</v>
      </c>
      <c r="BX59">
        <f t="shared" si="6"/>
        <v>0.4629597669376786</v>
      </c>
      <c r="BY59">
        <f t="shared" si="6"/>
        <v>0.46314230760344621</v>
      </c>
      <c r="BZ59">
        <f t="shared" si="6"/>
        <v>0.46332024137371003</v>
      </c>
      <c r="CA59">
        <f t="shared" si="6"/>
        <v>0.46349368451563766</v>
      </c>
      <c r="CB59">
        <f t="shared" si="6"/>
        <v>0.46366275036208793</v>
      </c>
      <c r="CC59">
        <f t="shared" si="6"/>
        <v>0.46382754938566567</v>
      </c>
      <c r="CD59">
        <f t="shared" si="6"/>
        <v>0.46398818927090812</v>
      </c>
      <c r="CE59">
        <f t="shared" si="6"/>
        <v>0.4641447749846489</v>
      </c>
      <c r="CF59">
        <f t="shared" si="6"/>
        <v>0.46429740884460652</v>
      </c>
      <c r="CG59">
        <f t="shared" si="6"/>
        <v>0.46444619058624187</v>
      </c>
      <c r="CH59">
        <f t="shared" si="6"/>
        <v>0.46459121742792819</v>
      </c>
      <c r="CI59">
        <f t="shared" si="6"/>
        <v>0.46473258413447649</v>
      </c>
      <c r="CJ59">
        <f t="shared" si="6"/>
        <v>0.46487038307905765</v>
      </c>
      <c r="CK59">
        <f t="shared" si="6"/>
        <v>0.46500470430356178</v>
      </c>
      <c r="CL59">
        <f t="shared" si="6"/>
        <v>0.4651356355774342</v>
      </c>
      <c r="CM59">
        <f t="shared" si="6"/>
        <v>0.46526326245502664</v>
      </c>
      <c r="CN59">
        <f t="shared" si="6"/>
        <v>0.46538766833150091</v>
      </c>
      <c r="CO59">
        <f t="shared" si="6"/>
        <v>0.46550893449732189</v>
      </c>
      <c r="CP59">
        <f t="shared" si="6"/>
        <v>0.46562714019137491</v>
      </c>
      <c r="CQ59">
        <f t="shared" si="6"/>
        <v>0.46574236265274299</v>
      </c>
      <c r="CR59">
        <f t="shared" si="6"/>
        <v>0.4658546771711769</v>
      </c>
      <c r="CS59">
        <f t="shared" si="6"/>
        <v>0.46596415713629191</v>
      </c>
      <c r="CT59">
        <f t="shared" ref="CT59:DE59" si="7">MIN(CT42:CT58)</f>
        <v>0.46607087408552267</v>
      </c>
      <c r="CU59">
        <f t="shared" si="7"/>
        <v>0.46617489775086773</v>
      </c>
      <c r="CV59">
        <f t="shared" si="7"/>
        <v>0.46627629610445476</v>
      </c>
      <c r="CW59">
        <f t="shared" si="7"/>
        <v>0.46637513540295522</v>
      </c>
      <c r="CX59">
        <f t="shared" si="7"/>
        <v>0.46647148023087875</v>
      </c>
      <c r="CY59">
        <f t="shared" si="7"/>
        <v>0.46656539354277426</v>
      </c>
      <c r="CZ59">
        <f t="shared" si="7"/>
        <v>0.46665693670436659</v>
      </c>
      <c r="DA59">
        <f t="shared" si="7"/>
        <v>0.46674616953265441</v>
      </c>
      <c r="DB59">
        <f t="shared" si="7"/>
        <v>0.46683315033499667</v>
      </c>
      <c r="DC59">
        <f t="shared" si="7"/>
        <v>0.4669179359472122</v>
      </c>
      <c r="DD59">
        <f t="shared" si="7"/>
        <v>0.46700058177071785</v>
      </c>
      <c r="DE59">
        <f t="shared" si="7"/>
        <v>0.46708114180872956</v>
      </c>
    </row>
    <row r="122" spans="2:5" x14ac:dyDescent="0.2">
      <c r="B122">
        <v>1.0443228483200073</v>
      </c>
      <c r="C122">
        <v>9.727290153503418</v>
      </c>
      <c r="D122">
        <v>5.8593792915344238</v>
      </c>
      <c r="E122">
        <v>5.7486491203308105</v>
      </c>
    </row>
    <row r="123" spans="2:5" x14ac:dyDescent="0.2">
      <c r="B123">
        <v>0.77684700489044189</v>
      </c>
      <c r="C123">
        <v>6.7482609748840332</v>
      </c>
      <c r="D123">
        <v>5.1719241142272949</v>
      </c>
      <c r="E123">
        <v>8.6016244888305664</v>
      </c>
    </row>
    <row r="124" spans="2:5" x14ac:dyDescent="0.2">
      <c r="B124">
        <v>9.5927085876464844</v>
      </c>
      <c r="C124">
        <v>8.7577972412109375</v>
      </c>
      <c r="D124">
        <v>8.6845369338989258</v>
      </c>
      <c r="E124">
        <v>4.3882637023925781</v>
      </c>
    </row>
    <row r="125" spans="2:5" x14ac:dyDescent="0.2">
      <c r="B125">
        <v>4.9437670707702637</v>
      </c>
      <c r="C125">
        <v>1.2308281660079956</v>
      </c>
      <c r="D125">
        <v>2.5954132080078125</v>
      </c>
      <c r="E125">
        <v>2.4567885398864746</v>
      </c>
    </row>
    <row r="126" spans="2:5" x14ac:dyDescent="0.2">
      <c r="B126">
        <v>2.1779985427856445</v>
      </c>
      <c r="C126">
        <v>7.9729728698730469</v>
      </c>
      <c r="D126">
        <v>3.469571590423584</v>
      </c>
      <c r="E126">
        <v>3.972435474395752</v>
      </c>
    </row>
    <row r="127" spans="2:5" x14ac:dyDescent="0.2">
      <c r="B127">
        <v>3.9584426879882813</v>
      </c>
      <c r="C127">
        <v>4.0160460472106934</v>
      </c>
      <c r="D127">
        <v>7.4234204292297363</v>
      </c>
      <c r="E127">
        <v>2.7035923004150391</v>
      </c>
    </row>
    <row r="128" spans="2:5" x14ac:dyDescent="0.2">
      <c r="B128">
        <v>5.0337119102478027</v>
      </c>
      <c r="C128">
        <v>1.6776281595230103</v>
      </c>
      <c r="D128">
        <v>2.7858943939208984</v>
      </c>
      <c r="E128">
        <v>2.096989631652832</v>
      </c>
    </row>
    <row r="129" spans="2:9" x14ac:dyDescent="0.2">
      <c r="B129">
        <v>5.1725583076477051</v>
      </c>
      <c r="C129">
        <v>5.0972003936767578</v>
      </c>
      <c r="D129">
        <v>4.0486459732055664</v>
      </c>
      <c r="E129">
        <v>8.9544620513916016</v>
      </c>
    </row>
    <row r="130" spans="2:9" x14ac:dyDescent="0.2">
      <c r="B130">
        <v>5.5750102996826172</v>
      </c>
      <c r="C130">
        <v>1.0613375902175903</v>
      </c>
      <c r="D130">
        <v>7.4178071022033691</v>
      </c>
      <c r="E130">
        <v>6.5237669944763184</v>
      </c>
    </row>
    <row r="131" spans="2:9" x14ac:dyDescent="0.2">
      <c r="B131">
        <v>6.5725641250610352</v>
      </c>
      <c r="C131">
        <v>6.4304680824279785</v>
      </c>
      <c r="D131">
        <v>0.77980577945709229</v>
      </c>
      <c r="E131">
        <v>2.3159666061401367</v>
      </c>
    </row>
    <row r="132" spans="2:9" x14ac:dyDescent="0.2">
      <c r="B132">
        <v>6.9299454689025879</v>
      </c>
      <c r="C132">
        <v>4.9796919822692871</v>
      </c>
      <c r="D132">
        <v>3.3937520980834961</v>
      </c>
      <c r="E132">
        <v>8.4618740081787109</v>
      </c>
    </row>
    <row r="133" spans="2:9" x14ac:dyDescent="0.2">
      <c r="B133">
        <v>7.5609259605407715</v>
      </c>
      <c r="C133">
        <v>8.9661664962768555</v>
      </c>
      <c r="D133">
        <v>3.1228809356689453</v>
      </c>
      <c r="E133">
        <v>4.9200625419616699</v>
      </c>
    </row>
    <row r="134" spans="2:9" x14ac:dyDescent="0.2">
      <c r="B134">
        <v>4.9707098007202148</v>
      </c>
      <c r="C134">
        <v>3.2355480194091797</v>
      </c>
      <c r="D134">
        <v>1.5175622701644897</v>
      </c>
      <c r="E134">
        <v>8.348933219909668</v>
      </c>
    </row>
    <row r="135" spans="2:9" x14ac:dyDescent="0.2">
      <c r="B135">
        <v>2.2373752593994141</v>
      </c>
      <c r="C135">
        <v>2.1800036430358887</v>
      </c>
      <c r="D135">
        <v>9.5623693466186523</v>
      </c>
      <c r="E135">
        <v>1.9553488492965698</v>
      </c>
    </row>
    <row r="136" spans="2:9" x14ac:dyDescent="0.2">
      <c r="B136">
        <v>7.844886302947998</v>
      </c>
      <c r="C136">
        <v>2.3602776527404785</v>
      </c>
      <c r="D136">
        <v>9.3997116088867188</v>
      </c>
      <c r="E136">
        <v>4.1323308944702148</v>
      </c>
    </row>
    <row r="137" spans="2:9" x14ac:dyDescent="0.2">
      <c r="B137">
        <v>5.1801590919494629</v>
      </c>
      <c r="C137">
        <v>6.1043281555175781</v>
      </c>
      <c r="D137">
        <v>9.8425321578979492</v>
      </c>
      <c r="E137">
        <v>6.1983151435852051</v>
      </c>
    </row>
    <row r="138" spans="2:9" x14ac:dyDescent="0.2">
      <c r="B138">
        <v>8.0066986083984375</v>
      </c>
      <c r="C138">
        <v>3.8950185775756836</v>
      </c>
      <c r="D138">
        <v>5.9885640144348145</v>
      </c>
      <c r="E138">
        <v>2.0504717826843262</v>
      </c>
    </row>
    <row r="139" spans="2:9" x14ac:dyDescent="0.2">
      <c r="B139">
        <v>0.185402512550354</v>
      </c>
      <c r="C139">
        <v>0.80426716804504395</v>
      </c>
      <c r="D139">
        <v>0.93155944347381592</v>
      </c>
      <c r="E139">
        <v>0.24517393112182617</v>
      </c>
      <c r="I139">
        <v>1</v>
      </c>
    </row>
    <row r="140" spans="2:9" x14ac:dyDescent="0.2">
      <c r="B140">
        <v>0.43275952339172363</v>
      </c>
      <c r="C140">
        <v>0.90512931346893311</v>
      </c>
      <c r="D140">
        <v>0.33030080795288086</v>
      </c>
      <c r="E140">
        <v>7.4950337409973145E-2</v>
      </c>
      <c r="I140">
        <v>1</v>
      </c>
    </row>
    <row r="141" spans="2:9" x14ac:dyDescent="0.2">
      <c r="B141">
        <v>0.54202926158905029</v>
      </c>
      <c r="C141">
        <v>0.41664838790893555</v>
      </c>
      <c r="D141">
        <v>0.25906097888946533</v>
      </c>
      <c r="E141">
        <v>0.7599790096282959</v>
      </c>
      <c r="I141">
        <v>1</v>
      </c>
    </row>
    <row r="142" spans="2:9" x14ac:dyDescent="0.2">
      <c r="B142">
        <v>0.97296667098999023</v>
      </c>
      <c r="C142">
        <v>0.95415794849395752</v>
      </c>
      <c r="D142">
        <v>0.17869353294372559</v>
      </c>
      <c r="E142">
        <v>0.37860620021820068</v>
      </c>
      <c r="I142">
        <v>1</v>
      </c>
    </row>
    <row r="143" spans="2:9" x14ac:dyDescent="0.2">
      <c r="B143">
        <v>0.37899124622344971</v>
      </c>
      <c r="C143">
        <v>0.69628500938415527</v>
      </c>
      <c r="D143">
        <v>2.5056600570678711E-3</v>
      </c>
      <c r="E143">
        <v>0.52657318115234375</v>
      </c>
      <c r="I143">
        <v>1</v>
      </c>
    </row>
    <row r="144" spans="2:9" x14ac:dyDescent="0.2">
      <c r="B144">
        <v>0.28150343894958496</v>
      </c>
      <c r="C144">
        <v>1.6297698020935059E-2</v>
      </c>
      <c r="D144">
        <v>0.84088706970214844</v>
      </c>
      <c r="E144">
        <v>0.58117640018463135</v>
      </c>
      <c r="I144">
        <v>1</v>
      </c>
    </row>
    <row r="145" spans="2:9" x14ac:dyDescent="0.2">
      <c r="B145">
        <v>0.13873231410980225</v>
      </c>
      <c r="C145">
        <v>0.16423416137695313</v>
      </c>
      <c r="D145">
        <v>0.70297014713287354</v>
      </c>
      <c r="E145">
        <v>7.8708887100219727E-2</v>
      </c>
      <c r="I145">
        <v>1</v>
      </c>
    </row>
    <row r="146" spans="2:9" x14ac:dyDescent="0.2">
      <c r="B146">
        <v>0.96536445617675781</v>
      </c>
      <c r="C146">
        <v>0.40606272220611572</v>
      </c>
      <c r="D146">
        <v>0.81157135963439941</v>
      </c>
      <c r="E146">
        <v>0.11143290996551514</v>
      </c>
      <c r="I146">
        <v>1</v>
      </c>
    </row>
    <row r="147" spans="2:9" x14ac:dyDescent="0.2">
      <c r="B147">
        <v>0.90920412540435791</v>
      </c>
      <c r="C147">
        <v>0.2761232852935791</v>
      </c>
      <c r="D147">
        <v>0.43766391277313232</v>
      </c>
      <c r="E147">
        <v>0.90033388137817383</v>
      </c>
      <c r="I147">
        <v>1</v>
      </c>
    </row>
    <row r="148" spans="2:9" x14ac:dyDescent="0.2">
      <c r="B148">
        <v>0.44111466407775879</v>
      </c>
      <c r="C148">
        <v>0.84909999370574951</v>
      </c>
      <c r="D148">
        <v>0.41063165664672852</v>
      </c>
      <c r="E148">
        <v>0.94990551471710205</v>
      </c>
      <c r="I148">
        <v>1</v>
      </c>
    </row>
    <row r="149" spans="2:9" x14ac:dyDescent="0.2">
      <c r="B149">
        <v>6.4491152763366699E-2</v>
      </c>
      <c r="C149">
        <v>0.1877751350402832</v>
      </c>
      <c r="D149">
        <v>0.71055424213409424</v>
      </c>
      <c r="E149">
        <v>0.44121623039245605</v>
      </c>
      <c r="I149">
        <v>1</v>
      </c>
    </row>
    <row r="150" spans="2:9" x14ac:dyDescent="0.2">
      <c r="B150">
        <v>0.70051431655883789</v>
      </c>
      <c r="C150">
        <v>0.37281429767608643</v>
      </c>
      <c r="D150">
        <v>0.79877352714538574</v>
      </c>
      <c r="E150">
        <v>0.76950681209564209</v>
      </c>
      <c r="I150">
        <v>1</v>
      </c>
    </row>
    <row r="151" spans="2:9" x14ac:dyDescent="0.2">
      <c r="B151">
        <v>0.15543568134307861</v>
      </c>
      <c r="C151">
        <v>0.77083277702331543</v>
      </c>
      <c r="D151">
        <v>0.59299123287200928</v>
      </c>
      <c r="E151">
        <v>0.38256931304931641</v>
      </c>
      <c r="I151">
        <v>1</v>
      </c>
    </row>
    <row r="152" spans="2:9" x14ac:dyDescent="0.2">
      <c r="B152">
        <v>0.32614398002624512</v>
      </c>
      <c r="C152">
        <v>0.44699323177337646</v>
      </c>
      <c r="D152">
        <v>0.24314785003662109</v>
      </c>
      <c r="E152">
        <v>0.32615721225738525</v>
      </c>
      <c r="I152">
        <v>1</v>
      </c>
    </row>
    <row r="153" spans="2:9" x14ac:dyDescent="0.2">
      <c r="B153">
        <v>5.0262808799743652E-2</v>
      </c>
      <c r="C153">
        <v>0.87838459014892578</v>
      </c>
      <c r="D153">
        <v>0.11433279514312744</v>
      </c>
      <c r="E153">
        <v>0.15267682075500488</v>
      </c>
      <c r="I153">
        <v>1</v>
      </c>
    </row>
    <row r="154" spans="2:9" x14ac:dyDescent="0.2">
      <c r="B154">
        <v>0.75702953338623047</v>
      </c>
      <c r="C154">
        <v>0.37443220615386963</v>
      </c>
      <c r="D154">
        <v>0.63297581672668457</v>
      </c>
      <c r="E154">
        <v>9.9409937858581543E-2</v>
      </c>
      <c r="I154">
        <v>1</v>
      </c>
    </row>
    <row r="155" spans="2:9" x14ac:dyDescent="0.2">
      <c r="B155">
        <v>0.32520544528961182</v>
      </c>
      <c r="C155">
        <v>0.86058926582336426</v>
      </c>
      <c r="D155">
        <v>0.90256965160369873</v>
      </c>
      <c r="E155">
        <v>0.69251775741577148</v>
      </c>
      <c r="I155">
        <v>1</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Chart22"/>
  <dimension ref="A1:N1"/>
  <sheetViews>
    <sheetView topLeftCell="A7" zoomScale="116" zoomScaleNormal="116" workbookViewId="0">
      <selection activeCell="F31" sqref="F31"/>
    </sheetView>
  </sheetViews>
  <sheetFormatPr defaultColWidth="11.5703125" defaultRowHeight="12.75" x14ac:dyDescent="0.2"/>
  <cols>
    <col min="1" max="14"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Chart23"/>
  <dimension ref="A1:N1"/>
  <sheetViews>
    <sheetView topLeftCell="A7" zoomScale="116" zoomScaleNormal="116" workbookViewId="0">
      <selection activeCell="L21" sqref="L21"/>
    </sheetView>
  </sheetViews>
  <sheetFormatPr defaultColWidth="11.5703125" defaultRowHeight="12.75" x14ac:dyDescent="0.2"/>
  <cols>
    <col min="1" max="14"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dimension ref="A1:IV312"/>
  <sheetViews>
    <sheetView tabSelected="1" workbookViewId="0">
      <pane xSplit="1" ySplit="2" topLeftCell="B148" activePane="bottomRight" state="frozen"/>
      <selection pane="topRight" activeCell="B1" sqref="B1"/>
      <selection pane="bottomLeft" activeCell="A121" sqref="A121"/>
      <selection pane="bottomRight" activeCell="O160" sqref="O160"/>
    </sheetView>
  </sheetViews>
  <sheetFormatPr defaultColWidth="12.5703125" defaultRowHeight="12.75" x14ac:dyDescent="0.2"/>
  <cols>
    <col min="1" max="1" width="29.7109375" customWidth="1"/>
    <col min="2" max="9" width="10.5703125" customWidth="1"/>
    <col min="10" max="99" width="11.5703125" customWidth="1"/>
  </cols>
  <sheetData>
    <row r="1" spans="1:256" s="20" customFormat="1" x14ac:dyDescent="0.2">
      <c r="A1" s="20" t="s">
        <v>470</v>
      </c>
      <c r="B1" s="20">
        <v>2017</v>
      </c>
      <c r="J1" s="20">
        <v>2018</v>
      </c>
      <c r="R1" s="20">
        <v>2019</v>
      </c>
      <c r="Z1" s="20">
        <v>2020</v>
      </c>
      <c r="AH1" s="20">
        <v>2021</v>
      </c>
      <c r="AP1" s="20">
        <v>2022</v>
      </c>
      <c r="AX1" s="20">
        <v>2023</v>
      </c>
      <c r="BF1" s="20">
        <v>2024</v>
      </c>
      <c r="BN1" s="20">
        <v>2025</v>
      </c>
      <c r="BV1" s="20">
        <v>2026</v>
      </c>
      <c r="CD1" s="20">
        <v>2027</v>
      </c>
      <c r="CL1" s="20">
        <v>2028</v>
      </c>
      <c r="CT1" s="20">
        <v>2029</v>
      </c>
      <c r="DB1" s="20">
        <v>2030</v>
      </c>
      <c r="DJ1" s="20">
        <v>2031</v>
      </c>
      <c r="DR1" s="20">
        <v>2032</v>
      </c>
      <c r="DZ1" s="20">
        <v>2033</v>
      </c>
      <c r="EH1" s="20">
        <v>2034</v>
      </c>
      <c r="EP1" s="20">
        <v>2035</v>
      </c>
      <c r="EX1" s="20">
        <v>2036</v>
      </c>
      <c r="FF1" s="20">
        <v>2037</v>
      </c>
      <c r="FN1" s="20">
        <v>2038</v>
      </c>
      <c r="FV1" s="20">
        <v>2039</v>
      </c>
      <c r="GD1" s="20">
        <v>2040</v>
      </c>
      <c r="GL1" s="20">
        <v>2041</v>
      </c>
      <c r="GT1" s="20">
        <v>2042</v>
      </c>
      <c r="HB1" s="20">
        <v>2043</v>
      </c>
      <c r="HJ1" s="20">
        <v>2044</v>
      </c>
      <c r="HR1" s="20">
        <v>2045</v>
      </c>
      <c r="HZ1" s="20">
        <v>2046</v>
      </c>
      <c r="IH1" s="20">
        <v>2047</v>
      </c>
      <c r="IP1" s="20">
        <v>2048</v>
      </c>
    </row>
    <row r="2" spans="1:256" x14ac:dyDescent="0.2">
      <c r="A2" t="s">
        <v>470</v>
      </c>
      <c r="B2">
        <f>B1</f>
        <v>2017</v>
      </c>
      <c r="C2">
        <f t="shared" ref="C2:BN2" si="0">B2+0.125</f>
        <v>2017.125</v>
      </c>
      <c r="D2">
        <f t="shared" si="0"/>
        <v>2017.25</v>
      </c>
      <c r="E2">
        <f t="shared" si="0"/>
        <v>2017.375</v>
      </c>
      <c r="F2">
        <f t="shared" si="0"/>
        <v>2017.5</v>
      </c>
      <c r="G2">
        <f t="shared" si="0"/>
        <v>2017.625</v>
      </c>
      <c r="H2">
        <f t="shared" si="0"/>
        <v>2017.75</v>
      </c>
      <c r="I2">
        <f t="shared" si="0"/>
        <v>2017.875</v>
      </c>
      <c r="J2">
        <f t="shared" si="0"/>
        <v>2018</v>
      </c>
      <c r="K2">
        <f t="shared" si="0"/>
        <v>2018.125</v>
      </c>
      <c r="L2">
        <f t="shared" si="0"/>
        <v>2018.25</v>
      </c>
      <c r="M2">
        <f t="shared" si="0"/>
        <v>2018.375</v>
      </c>
      <c r="N2">
        <f t="shared" si="0"/>
        <v>2018.5</v>
      </c>
      <c r="O2">
        <f t="shared" si="0"/>
        <v>2018.625</v>
      </c>
      <c r="P2">
        <f t="shared" si="0"/>
        <v>2018.75</v>
      </c>
      <c r="Q2">
        <f t="shared" si="0"/>
        <v>2018.875</v>
      </c>
      <c r="R2">
        <f t="shared" si="0"/>
        <v>2019</v>
      </c>
      <c r="S2">
        <f t="shared" si="0"/>
        <v>2019.125</v>
      </c>
      <c r="T2">
        <f t="shared" si="0"/>
        <v>2019.25</v>
      </c>
      <c r="U2">
        <f t="shared" si="0"/>
        <v>2019.375</v>
      </c>
      <c r="V2">
        <f t="shared" si="0"/>
        <v>2019.5</v>
      </c>
      <c r="W2">
        <f t="shared" si="0"/>
        <v>2019.625</v>
      </c>
      <c r="X2">
        <f t="shared" si="0"/>
        <v>2019.75</v>
      </c>
      <c r="Y2">
        <f t="shared" si="0"/>
        <v>2019.875</v>
      </c>
      <c r="Z2">
        <f t="shared" si="0"/>
        <v>2020</v>
      </c>
      <c r="AA2">
        <f t="shared" si="0"/>
        <v>2020.125</v>
      </c>
      <c r="AB2">
        <f t="shared" si="0"/>
        <v>2020.25</v>
      </c>
      <c r="AC2">
        <f t="shared" si="0"/>
        <v>2020.375</v>
      </c>
      <c r="AD2">
        <f t="shared" si="0"/>
        <v>2020.5</v>
      </c>
      <c r="AE2">
        <f t="shared" si="0"/>
        <v>2020.625</v>
      </c>
      <c r="AF2">
        <f t="shared" si="0"/>
        <v>2020.75</v>
      </c>
      <c r="AG2">
        <f t="shared" si="0"/>
        <v>2020.875</v>
      </c>
      <c r="AH2">
        <f t="shared" si="0"/>
        <v>2021</v>
      </c>
      <c r="AI2">
        <f t="shared" si="0"/>
        <v>2021.125</v>
      </c>
      <c r="AJ2">
        <f t="shared" si="0"/>
        <v>2021.25</v>
      </c>
      <c r="AK2">
        <f t="shared" si="0"/>
        <v>2021.375</v>
      </c>
      <c r="AL2">
        <f t="shared" si="0"/>
        <v>2021.5</v>
      </c>
      <c r="AM2">
        <f t="shared" si="0"/>
        <v>2021.625</v>
      </c>
      <c r="AN2">
        <f t="shared" si="0"/>
        <v>2021.75</v>
      </c>
      <c r="AO2">
        <f t="shared" si="0"/>
        <v>2021.875</v>
      </c>
      <c r="AP2">
        <f t="shared" si="0"/>
        <v>2022</v>
      </c>
      <c r="AQ2">
        <f t="shared" si="0"/>
        <v>2022.125</v>
      </c>
      <c r="AR2">
        <f t="shared" si="0"/>
        <v>2022.25</v>
      </c>
      <c r="AS2">
        <f t="shared" si="0"/>
        <v>2022.375</v>
      </c>
      <c r="AT2">
        <f t="shared" si="0"/>
        <v>2022.5</v>
      </c>
      <c r="AU2">
        <f t="shared" si="0"/>
        <v>2022.625</v>
      </c>
      <c r="AV2">
        <f t="shared" si="0"/>
        <v>2022.75</v>
      </c>
      <c r="AW2">
        <f t="shared" si="0"/>
        <v>2022.875</v>
      </c>
      <c r="AX2">
        <f t="shared" si="0"/>
        <v>2023</v>
      </c>
      <c r="AY2">
        <f t="shared" si="0"/>
        <v>2023.125</v>
      </c>
      <c r="AZ2">
        <f t="shared" si="0"/>
        <v>2023.25</v>
      </c>
      <c r="BA2">
        <f t="shared" si="0"/>
        <v>2023.375</v>
      </c>
      <c r="BB2">
        <f t="shared" si="0"/>
        <v>2023.5</v>
      </c>
      <c r="BC2">
        <f t="shared" si="0"/>
        <v>2023.625</v>
      </c>
      <c r="BD2">
        <f t="shared" si="0"/>
        <v>2023.75</v>
      </c>
      <c r="BE2">
        <f t="shared" si="0"/>
        <v>2023.875</v>
      </c>
      <c r="BF2">
        <f t="shared" si="0"/>
        <v>2024</v>
      </c>
      <c r="BG2">
        <f t="shared" si="0"/>
        <v>2024.125</v>
      </c>
      <c r="BH2">
        <f t="shared" si="0"/>
        <v>2024.25</v>
      </c>
      <c r="BI2">
        <f t="shared" si="0"/>
        <v>2024.375</v>
      </c>
      <c r="BJ2">
        <f t="shared" si="0"/>
        <v>2024.5</v>
      </c>
      <c r="BK2">
        <f t="shared" si="0"/>
        <v>2024.625</v>
      </c>
      <c r="BL2">
        <f t="shared" si="0"/>
        <v>2024.75</v>
      </c>
      <c r="BM2">
        <f t="shared" si="0"/>
        <v>2024.875</v>
      </c>
      <c r="BN2">
        <f t="shared" si="0"/>
        <v>2025</v>
      </c>
      <c r="BO2">
        <f t="shared" ref="BO2:DZ2" si="1">BN2+0.125</f>
        <v>2025.125</v>
      </c>
      <c r="BP2">
        <f t="shared" si="1"/>
        <v>2025.25</v>
      </c>
      <c r="BQ2">
        <f t="shared" si="1"/>
        <v>2025.375</v>
      </c>
      <c r="BR2">
        <f t="shared" si="1"/>
        <v>2025.5</v>
      </c>
      <c r="BS2">
        <f t="shared" si="1"/>
        <v>2025.625</v>
      </c>
      <c r="BT2">
        <f t="shared" si="1"/>
        <v>2025.75</v>
      </c>
      <c r="BU2">
        <f t="shared" si="1"/>
        <v>2025.875</v>
      </c>
      <c r="BV2">
        <f t="shared" si="1"/>
        <v>2026</v>
      </c>
      <c r="BW2">
        <f t="shared" si="1"/>
        <v>2026.125</v>
      </c>
      <c r="BX2">
        <f t="shared" si="1"/>
        <v>2026.25</v>
      </c>
      <c r="BY2">
        <f t="shared" si="1"/>
        <v>2026.375</v>
      </c>
      <c r="BZ2">
        <f t="shared" si="1"/>
        <v>2026.5</v>
      </c>
      <c r="CA2">
        <f t="shared" si="1"/>
        <v>2026.625</v>
      </c>
      <c r="CB2">
        <f t="shared" si="1"/>
        <v>2026.75</v>
      </c>
      <c r="CC2">
        <f t="shared" si="1"/>
        <v>2026.875</v>
      </c>
      <c r="CD2">
        <f t="shared" si="1"/>
        <v>2027</v>
      </c>
      <c r="CE2">
        <f t="shared" si="1"/>
        <v>2027.125</v>
      </c>
      <c r="CF2">
        <f t="shared" si="1"/>
        <v>2027.25</v>
      </c>
      <c r="CG2">
        <f t="shared" si="1"/>
        <v>2027.375</v>
      </c>
      <c r="CH2">
        <f t="shared" si="1"/>
        <v>2027.5</v>
      </c>
      <c r="CI2">
        <f t="shared" si="1"/>
        <v>2027.625</v>
      </c>
      <c r="CJ2">
        <f t="shared" si="1"/>
        <v>2027.75</v>
      </c>
      <c r="CK2">
        <f t="shared" si="1"/>
        <v>2027.875</v>
      </c>
      <c r="CL2">
        <f t="shared" si="1"/>
        <v>2028</v>
      </c>
      <c r="CM2">
        <f t="shared" si="1"/>
        <v>2028.125</v>
      </c>
      <c r="CN2">
        <f t="shared" si="1"/>
        <v>2028.25</v>
      </c>
      <c r="CO2">
        <f t="shared" si="1"/>
        <v>2028.375</v>
      </c>
      <c r="CP2">
        <f t="shared" si="1"/>
        <v>2028.5</v>
      </c>
      <c r="CQ2">
        <f t="shared" si="1"/>
        <v>2028.625</v>
      </c>
      <c r="CR2">
        <f t="shared" si="1"/>
        <v>2028.75</v>
      </c>
      <c r="CS2">
        <f t="shared" si="1"/>
        <v>2028.875</v>
      </c>
      <c r="CT2">
        <f t="shared" si="1"/>
        <v>2029</v>
      </c>
      <c r="CU2">
        <f t="shared" si="1"/>
        <v>2029.125</v>
      </c>
      <c r="CV2">
        <f t="shared" si="1"/>
        <v>2029.25</v>
      </c>
      <c r="CW2">
        <f t="shared" si="1"/>
        <v>2029.375</v>
      </c>
      <c r="CX2">
        <f t="shared" si="1"/>
        <v>2029.5</v>
      </c>
      <c r="CY2">
        <f t="shared" si="1"/>
        <v>2029.625</v>
      </c>
      <c r="CZ2">
        <f t="shared" si="1"/>
        <v>2029.75</v>
      </c>
      <c r="DA2">
        <f t="shared" si="1"/>
        <v>2029.875</v>
      </c>
      <c r="DB2">
        <f t="shared" si="1"/>
        <v>2030</v>
      </c>
      <c r="DC2">
        <f t="shared" si="1"/>
        <v>2030.125</v>
      </c>
      <c r="DD2">
        <f t="shared" si="1"/>
        <v>2030.25</v>
      </c>
      <c r="DE2">
        <f t="shared" si="1"/>
        <v>2030.375</v>
      </c>
      <c r="DF2">
        <f t="shared" si="1"/>
        <v>2030.5</v>
      </c>
      <c r="DG2">
        <f t="shared" si="1"/>
        <v>2030.625</v>
      </c>
      <c r="DH2">
        <f t="shared" si="1"/>
        <v>2030.75</v>
      </c>
      <c r="DI2">
        <f t="shared" si="1"/>
        <v>2030.875</v>
      </c>
      <c r="DJ2">
        <f t="shared" si="1"/>
        <v>2031</v>
      </c>
      <c r="DK2">
        <f t="shared" si="1"/>
        <v>2031.125</v>
      </c>
      <c r="DL2">
        <f t="shared" si="1"/>
        <v>2031.25</v>
      </c>
      <c r="DM2">
        <f t="shared" si="1"/>
        <v>2031.375</v>
      </c>
      <c r="DN2">
        <f t="shared" si="1"/>
        <v>2031.5</v>
      </c>
      <c r="DO2">
        <f t="shared" si="1"/>
        <v>2031.625</v>
      </c>
      <c r="DP2">
        <f t="shared" si="1"/>
        <v>2031.75</v>
      </c>
      <c r="DQ2">
        <f t="shared" si="1"/>
        <v>2031.875</v>
      </c>
      <c r="DR2">
        <f t="shared" si="1"/>
        <v>2032</v>
      </c>
      <c r="DS2">
        <f t="shared" si="1"/>
        <v>2032.125</v>
      </c>
      <c r="DT2">
        <f t="shared" si="1"/>
        <v>2032.25</v>
      </c>
      <c r="DU2">
        <f t="shared" si="1"/>
        <v>2032.375</v>
      </c>
      <c r="DV2">
        <f t="shared" si="1"/>
        <v>2032.5</v>
      </c>
      <c r="DW2">
        <f t="shared" si="1"/>
        <v>2032.625</v>
      </c>
      <c r="DX2">
        <f t="shared" si="1"/>
        <v>2032.75</v>
      </c>
      <c r="DY2">
        <f t="shared" si="1"/>
        <v>2032.875</v>
      </c>
      <c r="DZ2">
        <f t="shared" si="1"/>
        <v>2033</v>
      </c>
      <c r="EA2">
        <f t="shared" ref="EA2:GL2" si="2">DZ2+0.125</f>
        <v>2033.125</v>
      </c>
      <c r="EB2">
        <f t="shared" si="2"/>
        <v>2033.25</v>
      </c>
      <c r="EC2">
        <f t="shared" si="2"/>
        <v>2033.375</v>
      </c>
      <c r="ED2">
        <f t="shared" si="2"/>
        <v>2033.5</v>
      </c>
      <c r="EE2">
        <f t="shared" si="2"/>
        <v>2033.625</v>
      </c>
      <c r="EF2">
        <f t="shared" si="2"/>
        <v>2033.75</v>
      </c>
      <c r="EG2">
        <f t="shared" si="2"/>
        <v>2033.875</v>
      </c>
      <c r="EH2">
        <f t="shared" si="2"/>
        <v>2034</v>
      </c>
      <c r="EI2">
        <f t="shared" si="2"/>
        <v>2034.125</v>
      </c>
      <c r="EJ2">
        <f t="shared" si="2"/>
        <v>2034.25</v>
      </c>
      <c r="EK2">
        <f t="shared" si="2"/>
        <v>2034.375</v>
      </c>
      <c r="EL2">
        <f t="shared" si="2"/>
        <v>2034.5</v>
      </c>
      <c r="EM2">
        <f t="shared" si="2"/>
        <v>2034.625</v>
      </c>
      <c r="EN2">
        <f t="shared" si="2"/>
        <v>2034.75</v>
      </c>
      <c r="EO2">
        <f t="shared" si="2"/>
        <v>2034.875</v>
      </c>
      <c r="EP2">
        <f t="shared" si="2"/>
        <v>2035</v>
      </c>
      <c r="EQ2">
        <f t="shared" si="2"/>
        <v>2035.125</v>
      </c>
      <c r="ER2">
        <f t="shared" si="2"/>
        <v>2035.25</v>
      </c>
      <c r="ES2">
        <f t="shared" si="2"/>
        <v>2035.375</v>
      </c>
      <c r="ET2">
        <f t="shared" si="2"/>
        <v>2035.5</v>
      </c>
      <c r="EU2">
        <f t="shared" si="2"/>
        <v>2035.625</v>
      </c>
      <c r="EV2">
        <f t="shared" si="2"/>
        <v>2035.75</v>
      </c>
      <c r="EW2">
        <f t="shared" si="2"/>
        <v>2035.875</v>
      </c>
      <c r="EX2">
        <f t="shared" si="2"/>
        <v>2036</v>
      </c>
      <c r="EY2">
        <f t="shared" si="2"/>
        <v>2036.125</v>
      </c>
      <c r="EZ2">
        <f t="shared" si="2"/>
        <v>2036.25</v>
      </c>
      <c r="FA2">
        <f t="shared" si="2"/>
        <v>2036.375</v>
      </c>
      <c r="FB2">
        <f t="shared" si="2"/>
        <v>2036.5</v>
      </c>
      <c r="FC2">
        <f t="shared" si="2"/>
        <v>2036.625</v>
      </c>
      <c r="FD2">
        <f t="shared" si="2"/>
        <v>2036.75</v>
      </c>
      <c r="FE2">
        <f t="shared" si="2"/>
        <v>2036.875</v>
      </c>
      <c r="FF2">
        <f t="shared" si="2"/>
        <v>2037</v>
      </c>
      <c r="FG2">
        <f t="shared" si="2"/>
        <v>2037.125</v>
      </c>
      <c r="FH2">
        <f t="shared" si="2"/>
        <v>2037.25</v>
      </c>
      <c r="FI2">
        <f t="shared" si="2"/>
        <v>2037.375</v>
      </c>
      <c r="FJ2">
        <f t="shared" si="2"/>
        <v>2037.5</v>
      </c>
      <c r="FK2">
        <f t="shared" si="2"/>
        <v>2037.625</v>
      </c>
      <c r="FL2">
        <f t="shared" si="2"/>
        <v>2037.75</v>
      </c>
      <c r="FM2">
        <f t="shared" si="2"/>
        <v>2037.875</v>
      </c>
      <c r="FN2">
        <f t="shared" si="2"/>
        <v>2038</v>
      </c>
      <c r="FO2">
        <f t="shared" si="2"/>
        <v>2038.125</v>
      </c>
      <c r="FP2">
        <f t="shared" si="2"/>
        <v>2038.25</v>
      </c>
      <c r="FQ2">
        <f t="shared" si="2"/>
        <v>2038.375</v>
      </c>
      <c r="FR2">
        <f t="shared" si="2"/>
        <v>2038.5</v>
      </c>
      <c r="FS2">
        <f t="shared" si="2"/>
        <v>2038.625</v>
      </c>
      <c r="FT2">
        <f t="shared" si="2"/>
        <v>2038.75</v>
      </c>
      <c r="FU2">
        <f t="shared" si="2"/>
        <v>2038.875</v>
      </c>
      <c r="FV2">
        <f t="shared" si="2"/>
        <v>2039</v>
      </c>
      <c r="FW2">
        <f t="shared" si="2"/>
        <v>2039.125</v>
      </c>
      <c r="FX2">
        <f t="shared" si="2"/>
        <v>2039.25</v>
      </c>
      <c r="FY2">
        <f t="shared" si="2"/>
        <v>2039.375</v>
      </c>
      <c r="FZ2">
        <f t="shared" si="2"/>
        <v>2039.5</v>
      </c>
      <c r="GA2">
        <f t="shared" si="2"/>
        <v>2039.625</v>
      </c>
      <c r="GB2">
        <f t="shared" si="2"/>
        <v>2039.75</v>
      </c>
      <c r="GC2">
        <f t="shared" si="2"/>
        <v>2039.875</v>
      </c>
      <c r="GD2">
        <f t="shared" si="2"/>
        <v>2040</v>
      </c>
      <c r="GE2">
        <f t="shared" si="2"/>
        <v>2040.125</v>
      </c>
      <c r="GF2">
        <f t="shared" si="2"/>
        <v>2040.25</v>
      </c>
      <c r="GG2">
        <f t="shared" si="2"/>
        <v>2040.375</v>
      </c>
      <c r="GH2">
        <f t="shared" si="2"/>
        <v>2040.5</v>
      </c>
      <c r="GI2">
        <f t="shared" si="2"/>
        <v>2040.625</v>
      </c>
      <c r="GJ2">
        <f t="shared" si="2"/>
        <v>2040.75</v>
      </c>
      <c r="GK2">
        <f t="shared" si="2"/>
        <v>2040.875</v>
      </c>
      <c r="GL2">
        <f t="shared" si="2"/>
        <v>2041</v>
      </c>
      <c r="GM2">
        <f t="shared" ref="GM2:IV2" si="3">GL2+0.125</f>
        <v>2041.125</v>
      </c>
      <c r="GN2">
        <f t="shared" si="3"/>
        <v>2041.25</v>
      </c>
      <c r="GO2">
        <f t="shared" si="3"/>
        <v>2041.375</v>
      </c>
      <c r="GP2">
        <f t="shared" si="3"/>
        <v>2041.5</v>
      </c>
      <c r="GQ2">
        <f t="shared" si="3"/>
        <v>2041.625</v>
      </c>
      <c r="GR2">
        <f t="shared" si="3"/>
        <v>2041.75</v>
      </c>
      <c r="GS2">
        <f t="shared" si="3"/>
        <v>2041.875</v>
      </c>
      <c r="GT2">
        <f t="shared" si="3"/>
        <v>2042</v>
      </c>
      <c r="GU2">
        <f t="shared" si="3"/>
        <v>2042.125</v>
      </c>
      <c r="GV2">
        <f t="shared" si="3"/>
        <v>2042.25</v>
      </c>
      <c r="GW2">
        <f t="shared" si="3"/>
        <v>2042.375</v>
      </c>
      <c r="GX2">
        <f t="shared" si="3"/>
        <v>2042.5</v>
      </c>
      <c r="GY2">
        <f t="shared" si="3"/>
        <v>2042.625</v>
      </c>
      <c r="GZ2">
        <f t="shared" si="3"/>
        <v>2042.75</v>
      </c>
      <c r="HA2">
        <f t="shared" si="3"/>
        <v>2042.875</v>
      </c>
      <c r="HB2">
        <f t="shared" si="3"/>
        <v>2043</v>
      </c>
      <c r="HC2">
        <f t="shared" si="3"/>
        <v>2043.125</v>
      </c>
      <c r="HD2">
        <f t="shared" si="3"/>
        <v>2043.25</v>
      </c>
      <c r="HE2">
        <f t="shared" si="3"/>
        <v>2043.375</v>
      </c>
      <c r="HF2">
        <f t="shared" si="3"/>
        <v>2043.5</v>
      </c>
      <c r="HG2">
        <f t="shared" si="3"/>
        <v>2043.625</v>
      </c>
      <c r="HH2">
        <f t="shared" si="3"/>
        <v>2043.75</v>
      </c>
      <c r="HI2">
        <f t="shared" si="3"/>
        <v>2043.875</v>
      </c>
      <c r="HJ2">
        <f t="shared" si="3"/>
        <v>2044</v>
      </c>
      <c r="HK2">
        <f t="shared" si="3"/>
        <v>2044.125</v>
      </c>
      <c r="HL2">
        <f t="shared" si="3"/>
        <v>2044.25</v>
      </c>
      <c r="HM2">
        <f t="shared" si="3"/>
        <v>2044.375</v>
      </c>
      <c r="HN2">
        <f t="shared" si="3"/>
        <v>2044.5</v>
      </c>
      <c r="HO2">
        <f t="shared" si="3"/>
        <v>2044.625</v>
      </c>
      <c r="HP2">
        <f t="shared" si="3"/>
        <v>2044.75</v>
      </c>
      <c r="HQ2">
        <f t="shared" si="3"/>
        <v>2044.875</v>
      </c>
      <c r="HR2">
        <f t="shared" si="3"/>
        <v>2045</v>
      </c>
      <c r="HS2">
        <f t="shared" si="3"/>
        <v>2045.125</v>
      </c>
      <c r="HT2">
        <f t="shared" si="3"/>
        <v>2045.25</v>
      </c>
      <c r="HU2">
        <f t="shared" si="3"/>
        <v>2045.375</v>
      </c>
      <c r="HV2">
        <f t="shared" si="3"/>
        <v>2045.5</v>
      </c>
      <c r="HW2">
        <f t="shared" si="3"/>
        <v>2045.625</v>
      </c>
      <c r="HX2">
        <f t="shared" si="3"/>
        <v>2045.75</v>
      </c>
      <c r="HY2">
        <f t="shared" si="3"/>
        <v>2045.875</v>
      </c>
      <c r="HZ2">
        <f t="shared" si="3"/>
        <v>2046</v>
      </c>
      <c r="IA2">
        <f t="shared" si="3"/>
        <v>2046.125</v>
      </c>
      <c r="IB2">
        <f t="shared" si="3"/>
        <v>2046.25</v>
      </c>
      <c r="IC2">
        <f t="shared" si="3"/>
        <v>2046.375</v>
      </c>
      <c r="ID2">
        <f t="shared" si="3"/>
        <v>2046.5</v>
      </c>
      <c r="IE2">
        <f t="shared" si="3"/>
        <v>2046.625</v>
      </c>
      <c r="IF2">
        <f t="shared" si="3"/>
        <v>2046.75</v>
      </c>
      <c r="IG2">
        <f t="shared" si="3"/>
        <v>2046.875</v>
      </c>
      <c r="IH2">
        <f t="shared" si="3"/>
        <v>2047</v>
      </c>
      <c r="II2">
        <f t="shared" si="3"/>
        <v>2047.125</v>
      </c>
      <c r="IJ2">
        <f t="shared" si="3"/>
        <v>2047.25</v>
      </c>
      <c r="IK2">
        <f t="shared" si="3"/>
        <v>2047.375</v>
      </c>
      <c r="IL2">
        <f t="shared" si="3"/>
        <v>2047.5</v>
      </c>
      <c r="IM2">
        <f t="shared" si="3"/>
        <v>2047.625</v>
      </c>
      <c r="IN2">
        <f t="shared" si="3"/>
        <v>2047.75</v>
      </c>
      <c r="IO2">
        <f t="shared" si="3"/>
        <v>2047.875</v>
      </c>
      <c r="IP2">
        <f t="shared" si="3"/>
        <v>2048</v>
      </c>
      <c r="IQ2">
        <f t="shared" si="3"/>
        <v>2048.125</v>
      </c>
      <c r="IR2">
        <f t="shared" si="3"/>
        <v>2048.25</v>
      </c>
      <c r="IS2">
        <f t="shared" si="3"/>
        <v>2048.375</v>
      </c>
      <c r="IT2">
        <f t="shared" si="3"/>
        <v>2048.5</v>
      </c>
      <c r="IU2">
        <f t="shared" si="3"/>
        <v>2048.625</v>
      </c>
      <c r="IV2">
        <f t="shared" si="3"/>
        <v>2048.75</v>
      </c>
    </row>
    <row r="3" spans="1:256" x14ac:dyDescent="0.2">
      <c r="A3" t="s">
        <v>473</v>
      </c>
      <c r="B3">
        <f>$B$105</f>
        <v>0.93385078430175783</v>
      </c>
      <c r="C3">
        <f t="shared" ref="C3:C19" si="4">B3+0.125*B20</f>
        <v>0.92244640333044547</v>
      </c>
      <c r="D3">
        <f t="shared" ref="D3:D19" si="5">C3+0.125*C20</f>
        <v>0.92341582328881489</v>
      </c>
      <c r="E3">
        <f t="shared" ref="E3:E19" si="6">D3+0.125*D20</f>
        <v>0.92437312549770467</v>
      </c>
      <c r="F3">
        <f t="shared" ref="F3:F19" si="7">E3+0.125*E20</f>
        <v>0.92531846142898333</v>
      </c>
      <c r="G3">
        <f t="shared" ref="G3:G19" si="8">F3+0.125*F20</f>
        <v>0.92625198066112102</v>
      </c>
      <c r="H3">
        <f t="shared" ref="H3:H19" si="9">G3+0.125*G20</f>
        <v>0.92717383090285699</v>
      </c>
      <c r="I3">
        <f t="shared" ref="I3:I19" si="10">H3+0.125*H20</f>
        <v>0.92808415801657129</v>
      </c>
      <c r="J3">
        <f t="shared" ref="J3:J19" si="11">I3+0.125*I20</f>
        <v>0.92898310604136414</v>
      </c>
      <c r="K3">
        <f t="shared" ref="K3:K19" si="12">J3+0.125*J20</f>
        <v>0.92987081721584708</v>
      </c>
      <c r="L3">
        <f t="shared" ref="L3:L19" si="13">K3+0.125*K20</f>
        <v>0.93074743200064902</v>
      </c>
      <c r="M3">
        <f t="shared" ref="M3:M19" si="14">L3+0.125*L20</f>
        <v>0.93161308910064089</v>
      </c>
      <c r="N3">
        <f t="shared" ref="N3:N19" si="15">M3+0.125*M20</f>
        <v>0.93246792548688284</v>
      </c>
      <c r="O3">
        <f t="shared" ref="O3:O19" si="16">N3+0.125*N20</f>
        <v>0.93331207641829683</v>
      </c>
      <c r="P3">
        <f t="shared" ref="P3:P19" si="17">O3+0.125*O20</f>
        <v>0.93414567546306815</v>
      </c>
      <c r="Q3">
        <f t="shared" ref="Q3:Q19" si="18">P3+0.125*P20</f>
        <v>0.93496885451977985</v>
      </c>
      <c r="R3">
        <f t="shared" ref="R3:R19" si="19">Q3+0.125*Q20</f>
        <v>0.93578174383828261</v>
      </c>
      <c r="S3">
        <f t="shared" ref="S3:S19" si="20">R3+0.125*R20</f>
        <v>0.93658447204030404</v>
      </c>
      <c r="T3">
        <f t="shared" ref="T3:T19" si="21">S3+0.125*S20</f>
        <v>0.93737716613980027</v>
      </c>
      <c r="U3">
        <f t="shared" ref="U3:U19" si="22">T3+0.125*T20</f>
        <v>0.93815995156305276</v>
      </c>
      <c r="V3">
        <f t="shared" ref="V3:V19" si="23">U3+0.125*U20</f>
        <v>0.93893295216851458</v>
      </c>
      <c r="W3">
        <f t="shared" ref="W3:W19" si="24">V3+0.125*V20</f>
        <v>0.93969629026640811</v>
      </c>
      <c r="X3">
        <f t="shared" ref="X3:X19" si="25">W3+0.125*W20</f>
        <v>0.94045008663807805</v>
      </c>
      <c r="Y3">
        <f t="shared" ref="Y3:Y19" si="26">X3+0.125*X20</f>
        <v>0.94119446055510203</v>
      </c>
      <c r="Z3">
        <f t="shared" ref="Z3:Z19" si="27">Y3+0.125*Y20</f>
        <v>0.94192952979816325</v>
      </c>
      <c r="AA3">
        <f t="shared" ref="AA3:AA19" si="28">Z3+0.125*Z20</f>
        <v>0.93176508656014145</v>
      </c>
      <c r="AB3">
        <f t="shared" ref="AB3:AB19" si="29">AA3+0.125*AA20</f>
        <v>0.92175045652556775</v>
      </c>
      <c r="AC3">
        <f t="shared" ref="AC3:AC19" si="30">AB3+0.125*AB20</f>
        <v>0.91188300090781793</v>
      </c>
      <c r="AD3">
        <f t="shared" ref="AD3:AD19" si="31">AC3+0.125*AC20</f>
        <v>0.90216012636256526</v>
      </c>
      <c r="AE3">
        <f t="shared" ref="AE3:AE19" si="32">AD3+0.125*AD20</f>
        <v>0.89257928428755096</v>
      </c>
      <c r="AF3">
        <f t="shared" ref="AF3:AF19" si="33">AE3+0.125*AE20</f>
        <v>0.88313797012373185</v>
      </c>
      <c r="AG3">
        <f t="shared" ref="AG3:AG19" si="34">AF3+0.125*AF20</f>
        <v>0.87383372266284232</v>
      </c>
      <c r="AH3">
        <f t="shared" ref="AH3:AH19" si="35">AG3+0.125*AG20</f>
        <v>0.8646641233651986</v>
      </c>
      <c r="AI3">
        <f t="shared" ref="AI3:AI19" si="36">AH3+0.125*AH20</f>
        <v>0.86635582182313364</v>
      </c>
      <c r="AJ3">
        <f t="shared" ref="AJ3:AJ19" si="37">AI3+0.125*AI20</f>
        <v>0.86802637405034444</v>
      </c>
      <c r="AK3">
        <f t="shared" ref="AK3:AK19" si="38">AJ3+0.125*AJ20</f>
        <v>0.86967604437471513</v>
      </c>
      <c r="AL3">
        <f t="shared" ref="AL3:AL19" si="39">AK3+0.125*AK20</f>
        <v>0.87130509382003118</v>
      </c>
      <c r="AM3">
        <f t="shared" ref="AM3:AM19" si="40">AL3+0.125*AL20</f>
        <v>0.87291378014728083</v>
      </c>
      <c r="AN3">
        <f t="shared" ref="AN3:AN19" si="41">AM3+0.125*AM20</f>
        <v>0.87450235789543984</v>
      </c>
      <c r="AO3">
        <f t="shared" ref="AO3:AO19" si="42">AN3+0.125*AN20</f>
        <v>0.87607107842174681</v>
      </c>
      <c r="AP3">
        <f t="shared" ref="AP3:AP19" si="43">AO3+0.125*AO20</f>
        <v>0.87762018994147495</v>
      </c>
      <c r="AQ3">
        <f t="shared" ref="AQ3:AQ19" si="44">AP3+0.125*AP20</f>
        <v>0.8791499375672065</v>
      </c>
      <c r="AR3">
        <f t="shared" ref="AR3:AR19" si="45">AQ3+0.125*AQ20</f>
        <v>0.88066056334761644</v>
      </c>
      <c r="AS3">
        <f t="shared" ref="AS3:AS19" si="46">AR3+0.125*AR20</f>
        <v>0.88215230630577124</v>
      </c>
      <c r="AT3">
        <f t="shared" ref="AT3:AT19" si="47">AS3+0.125*AS20</f>
        <v>0.8836254024769491</v>
      </c>
      <c r="AU3">
        <f t="shared" ref="AU3:AU19" si="48">AT3+0.125*AT20</f>
        <v>0.88508008494598722</v>
      </c>
      <c r="AV3">
        <f t="shared" ref="AV3:AV19" si="49">AU3+0.125*AU20</f>
        <v>0.88651658388416243</v>
      </c>
      <c r="AW3">
        <f t="shared" ref="AW3:AW19" si="50">AV3+0.125*AV20</f>
        <v>0.88793512658561036</v>
      </c>
      <c r="AX3">
        <f t="shared" ref="AX3:AX19" si="51">AW3+0.125*AW20</f>
        <v>0.88933593750329021</v>
      </c>
      <c r="AY3">
        <f t="shared" ref="AY3:AY19" si="52">AX3+0.125*AX20</f>
        <v>0.88755103181569883</v>
      </c>
      <c r="AZ3">
        <f t="shared" ref="AZ3:AZ19" si="53">AY3+0.125*AY20</f>
        <v>0.88594529977473557</v>
      </c>
      <c r="BA3">
        <f t="shared" ref="BA3:BA19" si="54">AZ3+0.125*AZ20</f>
        <v>0.88452502745567274</v>
      </c>
      <c r="BB3">
        <f t="shared" ref="BB3:BB19" si="55">BA3+0.125*BA20</f>
        <v>0.88329698018196712</v>
      </c>
      <c r="BC3">
        <f t="shared" ref="BC3:BC19" si="56">BB3+0.125*BB20</f>
        <v>0.88226843661236953</v>
      </c>
      <c r="BD3">
        <f t="shared" ref="BD3:BD19" si="57">BC3+0.125*BC20</f>
        <v>0.88144722646182727</v>
      </c>
      <c r="BE3">
        <f t="shared" ref="BE3:BE19" si="58">BD3+0.125*BD20</f>
        <v>0.88084177224769922</v>
      </c>
      <c r="BF3">
        <f t="shared" ref="BF3:BF19" si="59">BE3+0.125*BE20</f>
        <v>0.88046113550600502</v>
      </c>
      <c r="BG3">
        <f t="shared" ref="BG3:BG19" si="60">BF3+0.125*BF20</f>
        <v>0.88031506798358072</v>
      </c>
      <c r="BH3">
        <f t="shared" ref="BH3:BH19" si="61">BG3+0.125*BG20</f>
        <v>0.88041406838248093</v>
      </c>
      <c r="BI3">
        <f t="shared" ref="BI3:BI19" si="62">BH3+0.125*BH20</f>
        <v>0.88076944531438828</v>
      </c>
      <c r="BJ3">
        <f t="shared" ref="BJ3:BJ19" si="63">BI3+0.125*BI20</f>
        <v>0.88139114791538486</v>
      </c>
      <c r="BK3">
        <f t="shared" ref="BK3:BK19" si="64">BJ3+0.125*BJ20</f>
        <v>0.88228505708756078</v>
      </c>
      <c r="BL3">
        <f t="shared" ref="BL3:BL19" si="65">BK3+0.125*BK20</f>
        <v>0.88345741727751215</v>
      </c>
      <c r="BM3">
        <f t="shared" ref="BM3:BM19" si="66">BL3+0.125*BL20</f>
        <v>0.88491419956154327</v>
      </c>
      <c r="BN3">
        <f t="shared" ref="BN3:BN19" si="67">BM3+0.125*BM20</f>
        <v>0.88635277206702401</v>
      </c>
      <c r="BO3">
        <f t="shared" ref="BO3:BO19" si="68">BN3+0.125*BN20</f>
        <v>0.88777336241618621</v>
      </c>
      <c r="BP3">
        <f t="shared" ref="BP3:BP19" si="69">BO3+0.125*BO20</f>
        <v>0.88917619538598391</v>
      </c>
      <c r="BQ3">
        <f t="shared" ref="BQ3:BQ19" si="70">BP3+0.125*BP20</f>
        <v>0.89056149294365916</v>
      </c>
      <c r="BR3">
        <f t="shared" ref="BR3:BR19" si="71">BQ3+0.125*BQ20</f>
        <v>0.89192947428186342</v>
      </c>
      <c r="BS3">
        <f t="shared" ref="BS3:BS19" si="72">BR3+0.125*BR20</f>
        <v>0.89328035585334009</v>
      </c>
      <c r="BT3">
        <f t="shared" ref="BT3:BT19" si="73">BS3+0.125*BS20</f>
        <v>0.89461435140517331</v>
      </c>
      <c r="BU3">
        <f t="shared" ref="BU3:BU19" si="74">BT3+0.125*BT20</f>
        <v>0.89593167201260859</v>
      </c>
      <c r="BV3">
        <f t="shared" ref="BV3:BV19" si="75">BU3+0.125*BU20</f>
        <v>0.89723252611245097</v>
      </c>
      <c r="BW3">
        <f t="shared" ref="BW3:BW19" si="76">BV3+0.125*BV20</f>
        <v>0.89851711953604529</v>
      </c>
      <c r="BX3">
        <f t="shared" ref="BX3:BX19" si="77">BW3+0.125*BW20</f>
        <v>0.89978565554184475</v>
      </c>
      <c r="BY3">
        <f t="shared" ref="BY3:BY19" si="78">BX3+0.125*BX20</f>
        <v>0.90103833484757168</v>
      </c>
      <c r="BZ3">
        <f t="shared" ref="BZ3:BZ19" si="79">BY3+0.125*BY20</f>
        <v>0.90227535566197703</v>
      </c>
      <c r="CA3">
        <f t="shared" ref="CA3:CA19" si="80">BZ3+0.125*BZ20</f>
        <v>0.90349691371620233</v>
      </c>
      <c r="CB3">
        <f t="shared" ref="CB3:CB19" si="81">CA3+0.125*CA20</f>
        <v>0.90470320229474976</v>
      </c>
      <c r="CC3">
        <f t="shared" ref="CC3:CC19" si="82">CB3+0.125*CB20</f>
        <v>0.90589441226606537</v>
      </c>
      <c r="CD3">
        <f t="shared" ref="CD3:CD19" si="83">CC3+0.125*CC20</f>
        <v>0.90707073211273959</v>
      </c>
      <c r="CE3">
        <f t="shared" ref="CE3:CE19" si="84">CD3+0.125*CD20</f>
        <v>0.90823234796133034</v>
      </c>
      <c r="CF3">
        <f t="shared" ref="CF3:CF19" si="85">CE3+0.125*CE20</f>
        <v>0.90937944361181366</v>
      </c>
      <c r="CG3">
        <f t="shared" ref="CG3:CG19" si="86">CF3+0.125*CF20</f>
        <v>0.91051220056666604</v>
      </c>
      <c r="CH3">
        <f t="shared" ref="CH3:CH19" si="87">CG3+0.125*CG20</f>
        <v>0.91163079805958269</v>
      </c>
      <c r="CI3">
        <f t="shared" ref="CI3:CI19" si="88">CH3+0.125*CH20</f>
        <v>0.91273541308383788</v>
      </c>
      <c r="CJ3">
        <f t="shared" ref="CJ3:CJ19" si="89">CI3+0.125*CI20</f>
        <v>0.91382622042028994</v>
      </c>
      <c r="CK3">
        <f t="shared" ref="CK3:CK19" si="90">CJ3+0.125*CJ20</f>
        <v>0.91490339266503629</v>
      </c>
      <c r="CL3">
        <f t="shared" ref="CL3:CL19" si="91">CK3+0.125*CK20</f>
        <v>0.91596710025672334</v>
      </c>
      <c r="CM3">
        <f t="shared" ref="CM3:CM19" si="92">CL3+0.125*CL20</f>
        <v>0.91701751150351429</v>
      </c>
      <c r="CN3">
        <f t="shared" ref="CN3:CN19" si="93">CM3+0.125*CM20</f>
        <v>0.91805479260972034</v>
      </c>
      <c r="CO3">
        <f t="shared" ref="CO3:CO19" si="94">CN3+0.125*CN20</f>
        <v>0.91907910770209889</v>
      </c>
      <c r="CP3">
        <f t="shared" ref="CP3:CP19" si="95">CO3+0.125*CO20</f>
        <v>0.92009061885582266</v>
      </c>
      <c r="CQ3">
        <f t="shared" ref="CQ3:CQ19" si="96">CP3+0.125*CP20</f>
        <v>0.92108948612012487</v>
      </c>
      <c r="CR3">
        <f t="shared" ref="CR3:CR19" si="97">CQ3+0.125*CQ20</f>
        <v>0.92207586754362336</v>
      </c>
      <c r="CS3">
        <f t="shared" ref="CS3:CS19" si="98">CR3+0.125*CR20</f>
        <v>0.92304991919932811</v>
      </c>
      <c r="CT3">
        <f t="shared" ref="CT3:CT19" si="99">CS3+0.125*CS20</f>
        <v>0.92401179520933652</v>
      </c>
      <c r="CU3">
        <f t="shared" ref="CU3:CU19" si="100">CT3+0.125*CT20</f>
        <v>0.92496164776921985</v>
      </c>
      <c r="CV3">
        <f t="shared" ref="CV3:CV19" si="101">CU3+0.125*CU20</f>
        <v>0.92589962717210461</v>
      </c>
      <c r="CW3">
        <f t="shared" ref="CW3:CW19" si="102">CV3+0.125*CV20</f>
        <v>0.92682588183245329</v>
      </c>
      <c r="CX3">
        <f t="shared" ref="CX3:CX19" si="103">CW3+0.125*CW20</f>
        <v>0.9277405583095476</v>
      </c>
      <c r="CY3">
        <f t="shared" ref="CY3:CY19" si="104">CX3+0.125*CX20</f>
        <v>0.92864380133067825</v>
      </c>
      <c r="CZ3">
        <f t="shared" ref="CZ3:CZ19" si="105">CY3+0.125*CY20</f>
        <v>0.92953575381404474</v>
      </c>
      <c r="DA3">
        <f t="shared" ref="DA3:DA19" si="106">CZ3+0.125*CZ20</f>
        <v>0.93041655689136915</v>
      </c>
      <c r="DB3">
        <f t="shared" ref="DB3:DB19" si="107">DA3+0.125*DA20</f>
        <v>0.93128634993022708</v>
      </c>
      <c r="DC3">
        <f t="shared" ref="DC3:DC19" si="108">DB3+0.125*DB20</f>
        <v>0.93214527055609919</v>
      </c>
      <c r="DD3">
        <f t="shared" ref="DD3:DD19" si="109">DC3+0.125*DC20</f>
        <v>0.93299345467414796</v>
      </c>
      <c r="DE3">
        <f t="shared" ref="DE3:DE19" si="110">DD3+0.125*DD20</f>
        <v>0.93383103649072108</v>
      </c>
      <c r="DF3">
        <f t="shared" ref="DF3:DF19" si="111">DE3+0.125*DE20</f>
        <v>0.93465814853458706</v>
      </c>
      <c r="DG3">
        <f t="shared" ref="DG3:DG19" si="112">DF3+0.125*DF20</f>
        <v>0.93547492167790469</v>
      </c>
      <c r="DH3">
        <f t="shared" ref="DH3:DH19" si="113">DG3+0.125*DG20</f>
        <v>0.93628148515693088</v>
      </c>
      <c r="DI3">
        <f t="shared" ref="DI3:DI19" si="114">DH3+0.125*DH20</f>
        <v>0.93707796659246922</v>
      </c>
      <c r="DJ3">
        <f t="shared" ref="DJ3:DJ19" si="115">DI3+0.125*DI20</f>
        <v>0.93786449201006339</v>
      </c>
      <c r="DK3">
        <f t="shared" ref="DK3:DK19" si="116">DJ3+0.125*DJ20</f>
        <v>0.93864118585993761</v>
      </c>
      <c r="DL3">
        <f t="shared" ref="DL3:DL19" si="117">DK3+0.125*DK20</f>
        <v>0.93940817103668839</v>
      </c>
      <c r="DM3">
        <f t="shared" ref="DM3:DM19" si="118">DL3+0.125*DL20</f>
        <v>0.94016556889872982</v>
      </c>
      <c r="DN3">
        <f t="shared" ref="DN3:DN19" si="119">DM3+0.125*DM20</f>
        <v>0.94091349928749568</v>
      </c>
      <c r="DO3">
        <f t="shared" ref="DO3:DO19" si="120">DN3+0.125*DN20</f>
        <v>0.94165208054640204</v>
      </c>
      <c r="DP3">
        <f t="shared" ref="DP3:DP19" si="121">DO3+0.125*DO20</f>
        <v>0.94238142953957205</v>
      </c>
      <c r="DQ3">
        <f t="shared" ref="DQ3:DQ19" si="122">DP3+0.125*DP20</f>
        <v>0.94310166167032738</v>
      </c>
      <c r="DR3">
        <f t="shared" ref="DR3:DR19" si="123">DQ3+0.125*DQ20</f>
        <v>0.94381289089944831</v>
      </c>
      <c r="DS3">
        <f t="shared" ref="DS3:DS19" si="124">DR3+0.125*DR20</f>
        <v>0.94451522976320523</v>
      </c>
      <c r="DT3">
        <f t="shared" ref="DT3:DT19" si="125">DS3+0.125*DS20</f>
        <v>0.94520878939116515</v>
      </c>
      <c r="DU3">
        <f t="shared" ref="DU3:DU19" si="126">DT3+0.125*DT20</f>
        <v>0.94589367952377557</v>
      </c>
      <c r="DV3">
        <f t="shared" ref="DV3:DV19" si="127">DU3+0.125*DU20</f>
        <v>0.94657000852972839</v>
      </c>
      <c r="DW3">
        <f t="shared" ref="DW3:DW19" si="128">DV3+0.125*DV20</f>
        <v>0.94723788342310677</v>
      </c>
      <c r="DX3">
        <f t="shared" ref="DX3:DX19" si="129">DW3+0.125*DW20</f>
        <v>0.9478974098803179</v>
      </c>
      <c r="DY3">
        <f t="shared" ref="DY3:DY19" si="130">DX3+0.125*DX20</f>
        <v>0.94854869225681393</v>
      </c>
      <c r="DZ3">
        <f t="shared" ref="DZ3:DZ19" si="131">DY3+0.125*DY20</f>
        <v>0.94919183360360371</v>
      </c>
      <c r="EA3">
        <f t="shared" ref="EA3:EA19" si="132">DZ3+0.125*DZ20</f>
        <v>0.94982693568355869</v>
      </c>
      <c r="EB3">
        <f t="shared" ref="EB3:EB19" si="133">EA3+0.125*EA20</f>
        <v>0.95045409898751421</v>
      </c>
      <c r="EC3">
        <f t="shared" ref="EC3:EC19" si="134">EB3+0.125*EB20</f>
        <v>0.95107342275017026</v>
      </c>
      <c r="ED3">
        <f t="shared" ref="ED3:ED19" si="135">EC3+0.125*EC20</f>
        <v>0.95168500496579311</v>
      </c>
      <c r="EE3">
        <f t="shared" ref="EE3:EE19" si="136">ED3+0.125*ED20</f>
        <v>0.95228894240372075</v>
      </c>
      <c r="EF3">
        <f t="shared" ref="EF3:EF19" si="137">EE3+0.125*EE20</f>
        <v>0.9528853306236742</v>
      </c>
      <c r="EG3">
        <f t="shared" ref="EG3:EG19" si="138">EF3+0.125*EF20</f>
        <v>0.95347426399087831</v>
      </c>
      <c r="EH3">
        <f t="shared" ref="EH3:EH19" si="139">EG3+0.125*EG20</f>
        <v>0.95405583569099228</v>
      </c>
      <c r="EI3">
        <f t="shared" ref="EI3:EI19" si="140">EH3+0.125*EH20</f>
        <v>0.95463013774485483</v>
      </c>
      <c r="EJ3">
        <f t="shared" ref="EJ3:EJ19" si="141">EI3+0.125*EI20</f>
        <v>0.95519726102304414</v>
      </c>
      <c r="EK3">
        <f t="shared" ref="EK3:EK19" si="142">EJ3+0.125*EJ20</f>
        <v>0.9557572952602561</v>
      </c>
      <c r="EL3">
        <f t="shared" ref="EL3:EL19" si="143">EK3+0.125*EK20</f>
        <v>0.95631032906950286</v>
      </c>
      <c r="EM3">
        <f t="shared" ref="EM3:EM19" si="144">EL3+0.125*EL20</f>
        <v>0.95685644995613406</v>
      </c>
      <c r="EN3">
        <f t="shared" ref="EN3:EN19" si="145">EM3+0.125*EM20</f>
        <v>0.9573957443316824</v>
      </c>
      <c r="EO3">
        <f t="shared" ref="EO3:EO19" si="146">EN3+0.125*EN20</f>
        <v>0.95792829752753639</v>
      </c>
      <c r="EP3">
        <f t="shared" ref="EP3:EP19" si="147">EO3+0.125*EO20</f>
        <v>0.95845419380844221</v>
      </c>
      <c r="EQ3">
        <f t="shared" ref="EQ3:EQ19" si="148">EP3+0.125*EP20</f>
        <v>0.95897351638583672</v>
      </c>
      <c r="ER3">
        <f t="shared" ref="ER3:ER19" si="149">EQ3+0.125*EQ20</f>
        <v>0.9594863474310138</v>
      </c>
      <c r="ES3">
        <f t="shared" ref="ES3:ES19" si="150">ER3+0.125*ER20</f>
        <v>0.95999276808812617</v>
      </c>
      <c r="ET3">
        <f t="shared" ref="ET3:ET19" si="151">ES3+0.125*ES20</f>
        <v>0.96049285848702459</v>
      </c>
      <c r="EU3">
        <f t="shared" ref="EU3:EU19" si="152">ET3+0.125*ET20</f>
        <v>0.96098669775593681</v>
      </c>
      <c r="EV3">
        <f t="shared" ref="EV3:EV19" si="153">EU3+0.125*EU20</f>
        <v>0.96147436403398756</v>
      </c>
      <c r="EW3">
        <f t="shared" ref="EW3:EW19" si="154">EV3+0.125*EV20</f>
        <v>0.96195593448356276</v>
      </c>
      <c r="EX3">
        <f t="shared" ref="EX3:EX19" si="155">EW3+0.125*EW20</f>
        <v>0.96243148530251821</v>
      </c>
      <c r="EY3">
        <f t="shared" ref="EY3:EY19" si="156">EX3+0.125*EX20</f>
        <v>0.96290109173623673</v>
      </c>
      <c r="EZ3">
        <f t="shared" ref="EZ3:EZ19" si="157">EY3+0.125*EY20</f>
        <v>0.96336482808953372</v>
      </c>
      <c r="FA3">
        <f t="shared" ref="FA3:FA19" si="158">EZ3+0.125*EZ20</f>
        <v>0.96382276773841458</v>
      </c>
      <c r="FB3">
        <f t="shared" ref="FB3:FB19" si="159">FA3+0.125*FA20</f>
        <v>0.96427498314168436</v>
      </c>
      <c r="FC3">
        <f t="shared" ref="FC3:FC19" si="160">FB3+0.125*FB20</f>
        <v>0.96472154585241332</v>
      </c>
      <c r="FD3">
        <f t="shared" ref="FD3:FD19" si="161">FC3+0.125*FC20</f>
        <v>0.96516252652925816</v>
      </c>
      <c r="FE3">
        <f t="shared" ref="FE3:FE19" si="162">FD3+0.125*FD20</f>
        <v>0.96559799494764242</v>
      </c>
      <c r="FF3">
        <f t="shared" ref="FF3:FF19" si="163">FE3+0.125*FE20</f>
        <v>0.96602802001079691</v>
      </c>
      <c r="FG3">
        <f t="shared" ref="FG3:FG19" si="164">FF3+0.125*FF20</f>
        <v>0.96645266976066191</v>
      </c>
      <c r="FH3">
        <f t="shared" ref="FH3:FH19" si="165">FG3+0.125*FG20</f>
        <v>0.96687201138865364</v>
      </c>
      <c r="FI3">
        <f t="shared" ref="FI3:FI19" si="166">FH3+0.125*FH20</f>
        <v>0.96728611124629549</v>
      </c>
      <c r="FJ3">
        <f t="shared" ref="FJ3:FJ19" si="167">FI3+0.125*FI20</f>
        <v>0.96769503485571684</v>
      </c>
      <c r="FK3">
        <f t="shared" ref="FK3:FK19" si="168">FJ3+0.125*FJ20</f>
        <v>0.96809884692002035</v>
      </c>
      <c r="FL3">
        <f t="shared" ref="FL3:FL19" si="169">FK3+0.125*FK20</f>
        <v>0.96849761133352008</v>
      </c>
      <c r="FM3">
        <f t="shared" ref="FM3:FM19" si="170">FL3+0.125*FL20</f>
        <v>0.96889139119185108</v>
      </c>
      <c r="FN3">
        <f t="shared" ref="FN3:FN19" si="171">FM3+0.125*FM20</f>
        <v>0.96928024880195296</v>
      </c>
      <c r="FO3">
        <f t="shared" ref="FO3:FO19" si="172">FN3+0.125*FN20</f>
        <v>0.96966424569192855</v>
      </c>
      <c r="FP3">
        <f t="shared" ref="FP3:FP19" si="173">FO3+0.125*FO20</f>
        <v>0.97004344262077946</v>
      </c>
      <c r="FQ3">
        <f t="shared" ref="FQ3:FQ19" si="174">FP3+0.125*FP20</f>
        <v>0.97041789958801972</v>
      </c>
      <c r="FR3">
        <f t="shared" ref="FR3:FR19" si="175">FQ3+0.125*FQ20</f>
        <v>0.9707876758431695</v>
      </c>
      <c r="FS3">
        <f t="shared" ref="FS3:FS19" si="176">FR3+0.125*FR20</f>
        <v>0.97115282989512985</v>
      </c>
      <c r="FT3">
        <f t="shared" ref="FT3:FT19" si="177">FS3+0.125*FS20</f>
        <v>0.97151341952144077</v>
      </c>
      <c r="FU3">
        <f t="shared" ref="FU3:FU19" si="178">FT3+0.125*FT20</f>
        <v>0.97186950177742271</v>
      </c>
      <c r="FV3">
        <f t="shared" ref="FV3:FV19" si="179">FU3+0.125*FU20</f>
        <v>0.97222113300520496</v>
      </c>
      <c r="FW3">
        <f t="shared" ref="FW3:FW19" si="180">FV3+0.125*FV20</f>
        <v>0.97256836884263986</v>
      </c>
      <c r="FX3">
        <f t="shared" ref="FX3:FX19" si="181">FW3+0.125*FW20</f>
        <v>0.97291126423210683</v>
      </c>
      <c r="FY3">
        <f t="shared" ref="FY3:FY19" si="182">FX3+0.125*FX20</f>
        <v>0.97324987342920555</v>
      </c>
      <c r="FZ3">
        <f t="shared" ref="FZ3:FZ19" si="183">FY3+0.125*FY20</f>
        <v>0.97358425001134052</v>
      </c>
      <c r="GA3">
        <f t="shared" ref="GA3:GA19" si="184">FZ3+0.125*FZ20</f>
        <v>0.97391444688619877</v>
      </c>
      <c r="GB3">
        <f t="shared" ref="GB3:GB19" si="185">GA3+0.125*GA20</f>
        <v>0.97424051630012132</v>
      </c>
      <c r="GC3">
        <f t="shared" ref="GC3:GC19" si="186">GB3+0.125*GB20</f>
        <v>0.97456250984636983</v>
      </c>
      <c r="GD3">
        <f t="shared" ref="GD3:GD19" si="187">GC3+0.125*GC20</f>
        <v>0.97488047847329018</v>
      </c>
      <c r="GE3">
        <f t="shared" ref="GE3:GE19" si="188">GD3+0.125*GD20</f>
        <v>0.97519447249237401</v>
      </c>
      <c r="GF3">
        <f t="shared" ref="GF3:GF19" si="189">GE3+0.125*GE20</f>
        <v>0.97550454158621935</v>
      </c>
      <c r="GG3">
        <f t="shared" ref="GG3:GG19" si="190">GF3+0.125*GF20</f>
        <v>0.97581073481639158</v>
      </c>
      <c r="GH3">
        <f t="shared" ref="GH3:GH19" si="191">GG3+0.125*GG20</f>
        <v>0.97611310063118673</v>
      </c>
      <c r="GI3">
        <f t="shared" ref="GI3:GI19" si="192">GH3+0.125*GH20</f>
        <v>0.97641168687329694</v>
      </c>
      <c r="GJ3">
        <f t="shared" ref="GJ3:GJ19" si="193">GI3+0.125*GI20</f>
        <v>0.97670654078738073</v>
      </c>
      <c r="GK3">
        <f t="shared" ref="GK3:GK19" si="194">GJ3+0.125*GJ20</f>
        <v>0.97699770902753846</v>
      </c>
      <c r="GL3">
        <f t="shared" ref="GL3:GL19" si="195">GK3+0.125*GK20</f>
        <v>0.97728523766469422</v>
      </c>
      <c r="GM3">
        <f t="shared" ref="GM3:GM19" si="196">GL3+0.125*GL20</f>
        <v>0.9775691721938855</v>
      </c>
      <c r="GN3">
        <f t="shared" ref="GN3:GN19" si="197">GM3+0.125*GM20</f>
        <v>0.97784955754146197</v>
      </c>
      <c r="GO3">
        <f t="shared" ref="GO3:GO19" si="198">GN3+0.125*GN20</f>
        <v>0.97812643807219368</v>
      </c>
      <c r="GP3">
        <f t="shared" ref="GP3:GP19" si="199">GO3+0.125*GO20</f>
        <v>0.97839985759629122</v>
      </c>
      <c r="GQ3">
        <f t="shared" ref="GQ3:GQ19" si="200">GP3+0.125*GP20</f>
        <v>0.97866985937633755</v>
      </c>
      <c r="GR3">
        <f t="shared" ref="GR3:GR19" si="201">GQ3+0.125*GQ20</f>
        <v>0.97893648613413331</v>
      </c>
      <c r="GS3">
        <f t="shared" ref="GS3:GS19" si="202">GR3+0.125*GR20</f>
        <v>0.97919978005745667</v>
      </c>
      <c r="GT3">
        <f t="shared" ref="GT3:GT19" si="203">GS3+0.125*GS20</f>
        <v>0.97945978280673851</v>
      </c>
      <c r="GU3">
        <f t="shared" ref="GU3:GU19" si="204">GT3+0.125*GT20</f>
        <v>0.97971653552165427</v>
      </c>
      <c r="GV3">
        <f t="shared" ref="GV3:GV19" si="205">GU3+0.125*GU20</f>
        <v>0.97997007882763365</v>
      </c>
      <c r="GW3">
        <f t="shared" ref="GW3:GW19" si="206">GV3+0.125*GV20</f>
        <v>0.9802204528422882</v>
      </c>
      <c r="GX3">
        <f t="shared" ref="GX3:GX19" si="207">GW3+0.125*GW20</f>
        <v>0.98046769718175963</v>
      </c>
      <c r="GY3">
        <f t="shared" ref="GY3:GY19" si="208">GX3+0.125*GX20</f>
        <v>0.98071185096698765</v>
      </c>
      <c r="GZ3">
        <f t="shared" ref="GZ3:GZ19" si="209">GY3+0.125*GY20</f>
        <v>0.98095295282990036</v>
      </c>
      <c r="HA3">
        <f t="shared" ref="HA3:HA19" si="210">GZ3+0.125*GZ20</f>
        <v>0.98119104091952658</v>
      </c>
      <c r="HB3">
        <f t="shared" ref="HB3:HB19" si="211">HA3+0.125*HA20</f>
        <v>0.98142615290803248</v>
      </c>
      <c r="HC3">
        <f t="shared" ref="HC3:HC19" si="212">HB3+0.125*HB20</f>
        <v>0.98165832599668212</v>
      </c>
      <c r="HD3">
        <f t="shared" ref="HD3:HD19" si="213">HC3+0.125*HC20</f>
        <v>0.98188759692172356</v>
      </c>
      <c r="HE3">
        <f t="shared" ref="HE3:HE19" si="214">HD3+0.125*HD20</f>
        <v>0.98211400196020204</v>
      </c>
      <c r="HF3">
        <f t="shared" ref="HF3:HF19" si="215">HE3+0.125*HE20</f>
        <v>0.98233757693569956</v>
      </c>
      <c r="HG3">
        <f t="shared" ref="HG3:HG19" si="216">HF3+0.125*HF20</f>
        <v>0.98255835722400331</v>
      </c>
      <c r="HH3">
        <f t="shared" ref="HH3:HH19" si="217">HG3+0.125*HG20</f>
        <v>0.9827763777587033</v>
      </c>
      <c r="HI3">
        <f t="shared" ref="HI3:HI19" si="218">HH3+0.125*HH20</f>
        <v>0.98299167303671953</v>
      </c>
      <c r="HJ3">
        <f t="shared" ref="HJ3:HJ19" si="219">HI3+0.125*HI20</f>
        <v>0.98320427712376057</v>
      </c>
      <c r="HK3">
        <f t="shared" ref="HK3:HK19" si="220">HJ3+0.125*HJ20</f>
        <v>0.98341422365971354</v>
      </c>
      <c r="HL3">
        <f t="shared" ref="HL3:HL19" si="221">HK3+0.125*HK20</f>
        <v>0.98362154586396711</v>
      </c>
      <c r="HM3">
        <f t="shared" ref="HM3:HM19" si="222">HL3+0.125*HL20</f>
        <v>0.98382627654066757</v>
      </c>
      <c r="HN3">
        <f t="shared" ref="HN3:HN19" si="223">HM3+0.125*HM20</f>
        <v>0.98402844808390921</v>
      </c>
      <c r="HO3">
        <f t="shared" ref="HO3:HO19" si="224">HN3+0.125*HN20</f>
        <v>0.98422809248286036</v>
      </c>
      <c r="HP3">
        <f t="shared" ref="HP3:HP19" si="225">HO3+0.125*HO20</f>
        <v>0.98442524132682463</v>
      </c>
      <c r="HQ3">
        <f t="shared" ref="HQ3:HQ19" si="226">HP3+0.125*HP20</f>
        <v>0.98461992581023927</v>
      </c>
      <c r="HR3">
        <f t="shared" ref="HR3:HR19" si="227">HQ3+0.125*HQ20</f>
        <v>0.98481217673761123</v>
      </c>
      <c r="HS3">
        <f t="shared" ref="HS3:HS19" si="228">HR3+0.125*HR20</f>
        <v>0.98500202452839114</v>
      </c>
      <c r="HT3">
        <f t="shared" ref="HT3:HT19" si="229">HS3+0.125*HS20</f>
        <v>0.98518949922178622</v>
      </c>
      <c r="HU3">
        <f t="shared" ref="HU3:HU19" si="230">HT3+0.125*HT20</f>
        <v>0.98537463048151386</v>
      </c>
      <c r="HV3">
        <f t="shared" ref="HV3:HV19" si="231">HU3+0.125*HU20</f>
        <v>0.98555744760049491</v>
      </c>
      <c r="HW3">
        <f t="shared" ref="HW3:HW19" si="232">HV3+0.125*HV20</f>
        <v>0.98573797950548869</v>
      </c>
      <c r="HX3">
        <f t="shared" ref="HX3:HX19" si="233">HW3+0.125*HW20</f>
        <v>0.98591625476167011</v>
      </c>
      <c r="HY3">
        <f t="shared" ref="HY3:HY19" si="234">HX3+0.125*HX20</f>
        <v>0.98609230157714922</v>
      </c>
      <c r="HZ3">
        <f t="shared" ref="HZ3:HZ19" si="235">HY3+0.125*HY20</f>
        <v>0.98626614780743482</v>
      </c>
      <c r="IA3">
        <f t="shared" ref="IA3:IA19" si="236">HZ3+0.125*HZ20</f>
        <v>0.98643782095984189</v>
      </c>
      <c r="IB3">
        <f t="shared" ref="IB3:IB19" si="237">IA3+0.125*IA20</f>
        <v>0.9866073481978439</v>
      </c>
      <c r="IC3">
        <f t="shared" ref="IC3:IC19" si="238">IB3+0.125*IB20</f>
        <v>0.98677475634537082</v>
      </c>
      <c r="ID3">
        <f t="shared" ref="ID3:ID19" si="239">IC3+0.125*IC20</f>
        <v>0.98694007189105371</v>
      </c>
      <c r="IE3">
        <f t="shared" ref="IE3:IE19" si="240">ID3+0.125*ID20</f>
        <v>0.98710332099241549</v>
      </c>
      <c r="IF3">
        <f t="shared" ref="IF3:IF19" si="241">IE3+0.125*IE20</f>
        <v>0.98726452948001031</v>
      </c>
      <c r="IG3">
        <f t="shared" ref="IG3:IG19" si="242">IF3+0.125*IF20</f>
        <v>0.98742372286151014</v>
      </c>
      <c r="IH3">
        <f t="shared" ref="IH3:IH19" si="243">IG3+0.125*IG20</f>
        <v>0.98758092632574124</v>
      </c>
      <c r="II3">
        <f t="shared" ref="II3:II19" si="244">IH3+0.125*IH20</f>
        <v>0.98773616474666948</v>
      </c>
      <c r="IJ3">
        <f t="shared" ref="IJ3:IJ19" si="245">II3+0.125*II20</f>
        <v>0.98788946268733613</v>
      </c>
      <c r="IK3">
        <f t="shared" ref="IK3:IK19" si="246">IJ3+0.125*IJ20</f>
        <v>0.9880408444037444</v>
      </c>
      <c r="IL3">
        <f t="shared" ref="IL3:IL19" si="247">IK3+0.125*IK20</f>
        <v>0.98819033384869759</v>
      </c>
      <c r="IM3">
        <f t="shared" ref="IM3:IM19" si="248">IL3+0.125*IL20</f>
        <v>0.98833795467558883</v>
      </c>
      <c r="IN3">
        <f t="shared" ref="IN3:IN19" si="249">IM3+0.125*IM20</f>
        <v>0.98848373024214398</v>
      </c>
      <c r="IO3">
        <f t="shared" ref="IO3:IO19" si="250">IN3+0.125*IN20</f>
        <v>0.98862768361411713</v>
      </c>
      <c r="IP3">
        <f t="shared" ref="IP3:IP19" si="251">IO3+0.125*IO20</f>
        <v>0.98876983756894066</v>
      </c>
      <c r="IQ3">
        <f t="shared" ref="IQ3:IQ19" si="252">IP3+0.125*IP20</f>
        <v>0.98891021459932893</v>
      </c>
      <c r="IR3">
        <f t="shared" ref="IR3:IR19" si="253">IQ3+0.125*IQ20</f>
        <v>0.98904883691683732</v>
      </c>
      <c r="IS3">
        <f t="shared" ref="IS3:IS19" si="254">IR3+0.125*IR20</f>
        <v>0.98918572645537683</v>
      </c>
      <c r="IT3">
        <f t="shared" ref="IT3:IT19" si="255">IS3+0.125*IS20</f>
        <v>0.9893209048746846</v>
      </c>
      <c r="IU3">
        <f t="shared" ref="IU3:IU19" si="256">IT3+0.125*IT20</f>
        <v>0.98945439356375109</v>
      </c>
      <c r="IV3">
        <f t="shared" ref="IV3:IV19" si="257">IU3+0.125*IU20</f>
        <v>0.98958621364420418</v>
      </c>
    </row>
    <row r="4" spans="1:256" x14ac:dyDescent="0.2">
      <c r="A4" t="s">
        <v>474</v>
      </c>
      <c r="B4">
        <f>$B$106</f>
        <v>0.36852024078369139</v>
      </c>
      <c r="C4">
        <f t="shared" si="4"/>
        <v>0.37127538151947953</v>
      </c>
      <c r="D4">
        <f t="shared" si="5"/>
        <v>0.37470541941586782</v>
      </c>
      <c r="E4">
        <f t="shared" si="6"/>
        <v>0.37804261146437212</v>
      </c>
      <c r="F4">
        <f t="shared" si="7"/>
        <v>0.3812900276001821</v>
      </c>
      <c r="G4">
        <f t="shared" si="8"/>
        <v>0.3844505615488274</v>
      </c>
      <c r="H4">
        <f t="shared" si="9"/>
        <v>0.38752694750815281</v>
      </c>
      <c r="I4">
        <f t="shared" si="10"/>
        <v>0.39052177484870149</v>
      </c>
      <c r="J4">
        <f t="shared" si="11"/>
        <v>0.3934375011155759</v>
      </c>
      <c r="K4">
        <f t="shared" si="12"/>
        <v>0.39866691094459028</v>
      </c>
      <c r="L4">
        <f t="shared" si="13"/>
        <v>0.40369385898633925</v>
      </c>
      <c r="M4">
        <f t="shared" si="14"/>
        <v>0.40852334669105311</v>
      </c>
      <c r="N4">
        <f t="shared" si="15"/>
        <v>0.41316025716448324</v>
      </c>
      <c r="O4">
        <f t="shared" si="16"/>
        <v>0.41760935825685902</v>
      </c>
      <c r="P4">
        <f t="shared" si="17"/>
        <v>0.42187530555561537</v>
      </c>
      <c r="Q4">
        <f t="shared" si="18"/>
        <v>0.42596264528555605</v>
      </c>
      <c r="R4">
        <f t="shared" si="19"/>
        <v>0.42987581711995126</v>
      </c>
      <c r="S4">
        <f t="shared" si="20"/>
        <v>0.4333304499154283</v>
      </c>
      <c r="T4">
        <f t="shared" si="21"/>
        <v>0.43662685645577209</v>
      </c>
      <c r="U4">
        <f t="shared" si="22"/>
        <v>0.43976901521792133</v>
      </c>
      <c r="V4">
        <f t="shared" si="23"/>
        <v>0.44276081192224909</v>
      </c>
      <c r="W4">
        <f t="shared" si="24"/>
        <v>0.44560604186495806</v>
      </c>
      <c r="X4">
        <f t="shared" si="25"/>
        <v>0.44830841218164375</v>
      </c>
      <c r="Y4">
        <f t="shared" si="26"/>
        <v>0.45087154404449059</v>
      </c>
      <c r="Z4">
        <f t="shared" si="27"/>
        <v>0.45329897479545966</v>
      </c>
      <c r="AA4">
        <f t="shared" si="28"/>
        <v>0.46013273761051643</v>
      </c>
      <c r="AB4">
        <f t="shared" si="29"/>
        <v>0.46688107839038495</v>
      </c>
      <c r="AC4">
        <f t="shared" si="30"/>
        <v>0.47354506491050513</v>
      </c>
      <c r="AD4">
        <f t="shared" si="31"/>
        <v>0.4801257515991238</v>
      </c>
      <c r="AE4">
        <f t="shared" si="32"/>
        <v>0.48662417970413474</v>
      </c>
      <c r="AF4">
        <f t="shared" si="33"/>
        <v>0.49304137745783305</v>
      </c>
      <c r="AG4">
        <f t="shared" si="34"/>
        <v>0.49937836023961013</v>
      </c>
      <c r="AH4">
        <f t="shared" si="35"/>
        <v>0.50563613073661495</v>
      </c>
      <c r="AI4">
        <f t="shared" si="36"/>
        <v>0.50258931702685483</v>
      </c>
      <c r="AJ4">
        <f t="shared" si="37"/>
        <v>0.49961347685906504</v>
      </c>
      <c r="AK4">
        <f t="shared" si="38"/>
        <v>0.49670751083767328</v>
      </c>
      <c r="AL4">
        <f t="shared" si="39"/>
        <v>0.49387032617638654</v>
      </c>
      <c r="AM4">
        <f t="shared" si="40"/>
        <v>0.49110083701179735</v>
      </c>
      <c r="AN4">
        <f t="shared" si="41"/>
        <v>0.48839796472578256</v>
      </c>
      <c r="AO4">
        <f t="shared" si="42"/>
        <v>0.48576063827533922</v>
      </c>
      <c r="AP4">
        <f t="shared" si="43"/>
        <v>0.48318779452848171</v>
      </c>
      <c r="AQ4">
        <f t="shared" si="44"/>
        <v>0.4842088101127488</v>
      </c>
      <c r="AR4">
        <f t="shared" si="45"/>
        <v>0.48521781047936807</v>
      </c>
      <c r="AS4">
        <f t="shared" si="46"/>
        <v>0.48621762514541716</v>
      </c>
      <c r="AT4">
        <f t="shared" si="47"/>
        <v>0.48721088148567954</v>
      </c>
      <c r="AU4">
        <f t="shared" si="48"/>
        <v>0.48820002404324458</v>
      </c>
      <c r="AV4">
        <f t="shared" si="49"/>
        <v>0.48918733159399375</v>
      </c>
      <c r="AW4">
        <f t="shared" si="50"/>
        <v>0.49017493227542902</v>
      </c>
      <c r="AX4">
        <f t="shared" si="51"/>
        <v>0.49116481704097387</v>
      </c>
      <c r="AY4">
        <f t="shared" si="52"/>
        <v>0.49329559363800141</v>
      </c>
      <c r="AZ4">
        <f t="shared" si="53"/>
        <v>0.49557319556786167</v>
      </c>
      <c r="BA4">
        <f t="shared" si="54"/>
        <v>0.49799802166309065</v>
      </c>
      <c r="BB4">
        <f t="shared" si="55"/>
        <v>0.50057049444540924</v>
      </c>
      <c r="BC4">
        <f t="shared" si="56"/>
        <v>0.50329106053579253</v>
      </c>
      <c r="BD4">
        <f t="shared" si="57"/>
        <v>0.50616019102511556</v>
      </c>
      <c r="BE4">
        <f t="shared" si="58"/>
        <v>0.50917838181059261</v>
      </c>
      <c r="BF4">
        <f t="shared" si="59"/>
        <v>0.51234615390236793</v>
      </c>
      <c r="BG4">
        <f t="shared" si="60"/>
        <v>0.51566405370391499</v>
      </c>
      <c r="BH4">
        <f t="shared" si="61"/>
        <v>0.51913265326932967</v>
      </c>
      <c r="BI4">
        <f t="shared" si="62"/>
        <v>0.52275255054013392</v>
      </c>
      <c r="BJ4">
        <f t="shared" si="63"/>
        <v>0.5265243695638161</v>
      </c>
      <c r="BK4">
        <f t="shared" si="64"/>
        <v>0.53044876069601454</v>
      </c>
      <c r="BL4">
        <f t="shared" si="65"/>
        <v>0.53452640075576296</v>
      </c>
      <c r="BM4">
        <f t="shared" si="66"/>
        <v>0.53875799310016648</v>
      </c>
      <c r="BN4">
        <f t="shared" si="67"/>
        <v>0.54314426768848012</v>
      </c>
      <c r="BO4">
        <f t="shared" si="68"/>
        <v>0.54768598113715394</v>
      </c>
      <c r="BP4">
        <f t="shared" si="69"/>
        <v>0.55238391473483772</v>
      </c>
      <c r="BQ4">
        <f t="shared" si="70"/>
        <v>0.55723887195013877</v>
      </c>
      <c r="BR4">
        <f t="shared" si="71"/>
        <v>0.56225167867907</v>
      </c>
      <c r="BS4">
        <f t="shared" si="72"/>
        <v>0.56742318352961707</v>
      </c>
      <c r="BT4">
        <f t="shared" si="73"/>
        <v>0.57275425810347402</v>
      </c>
      <c r="BU4">
        <f t="shared" si="74"/>
        <v>0.57809482987718064</v>
      </c>
      <c r="BV4">
        <f t="shared" si="75"/>
        <v>0.58336864450371584</v>
      </c>
      <c r="BW4">
        <f t="shared" si="76"/>
        <v>0.58857653644741936</v>
      </c>
      <c r="BX4">
        <f t="shared" si="77"/>
        <v>0.59371932974182662</v>
      </c>
      <c r="BY4">
        <f t="shared" si="78"/>
        <v>0.59879783812005383</v>
      </c>
      <c r="BZ4">
        <f t="shared" si="79"/>
        <v>0.60381286514355315</v>
      </c>
      <c r="CA4">
        <f t="shared" si="80"/>
        <v>0.60876520432925874</v>
      </c>
      <c r="CB4">
        <f t="shared" si="81"/>
        <v>0.61365563927514299</v>
      </c>
      <c r="CC4">
        <f t="shared" si="82"/>
        <v>0.61848494378420371</v>
      </c>
      <c r="CD4">
        <f t="shared" si="83"/>
        <v>0.62325388198690113</v>
      </c>
      <c r="CE4">
        <f t="shared" si="84"/>
        <v>0.62796320846206488</v>
      </c>
      <c r="CF4">
        <f t="shared" si="85"/>
        <v>0.63261366835628907</v>
      </c>
      <c r="CG4">
        <f t="shared" si="86"/>
        <v>0.63720599750183549</v>
      </c>
      <c r="CH4">
        <f t="shared" si="87"/>
        <v>0.64174092253306259</v>
      </c>
      <c r="CI4">
        <f t="shared" si="88"/>
        <v>0.64621916100139931</v>
      </c>
      <c r="CJ4">
        <f t="shared" si="89"/>
        <v>0.65064142148888182</v>
      </c>
      <c r="CK4">
        <f t="shared" si="90"/>
        <v>0.6550084037202708</v>
      </c>
      <c r="CL4">
        <f t="shared" si="91"/>
        <v>0.65932079867376747</v>
      </c>
      <c r="CM4">
        <f t="shared" si="92"/>
        <v>0.66357928869034533</v>
      </c>
      <c r="CN4">
        <f t="shared" si="93"/>
        <v>0.66778454758171601</v>
      </c>
      <c r="CO4">
        <f t="shared" si="94"/>
        <v>0.67193724073694461</v>
      </c>
      <c r="CP4">
        <f t="shared" si="95"/>
        <v>0.67603802522773282</v>
      </c>
      <c r="CQ4">
        <f t="shared" si="96"/>
        <v>0.68008754991238618</v>
      </c>
      <c r="CR4">
        <f t="shared" si="97"/>
        <v>0.68408645553848135</v>
      </c>
      <c r="CS4">
        <f t="shared" si="98"/>
        <v>0.68803537484425037</v>
      </c>
      <c r="CT4">
        <f t="shared" si="99"/>
        <v>0.69193493265869721</v>
      </c>
      <c r="CU4">
        <f t="shared" si="100"/>
        <v>0.6957857460004635</v>
      </c>
      <c r="CV4">
        <f t="shared" si="101"/>
        <v>0.69958842417545775</v>
      </c>
      <c r="CW4">
        <f t="shared" si="102"/>
        <v>0.70334356887326455</v>
      </c>
      <c r="CX4">
        <f t="shared" si="103"/>
        <v>0.70705177426234878</v>
      </c>
      <c r="CY4">
        <f t="shared" si="104"/>
        <v>0.71071362708406938</v>
      </c>
      <c r="CZ4">
        <f t="shared" si="105"/>
        <v>0.71432970674551854</v>
      </c>
      <c r="DA4">
        <f t="shared" si="106"/>
        <v>0.71790058541119961</v>
      </c>
      <c r="DB4">
        <f t="shared" si="107"/>
        <v>0.72142682809355962</v>
      </c>
      <c r="DC4">
        <f t="shared" si="108"/>
        <v>0.72490899274239018</v>
      </c>
      <c r="DD4">
        <f t="shared" si="109"/>
        <v>0.72834763033311034</v>
      </c>
      <c r="DE4">
        <f t="shared" si="110"/>
        <v>0.73174328495394647</v>
      </c>
      <c r="DF4">
        <f t="shared" si="111"/>
        <v>0.73509649389202214</v>
      </c>
      <c r="DG4">
        <f t="shared" si="112"/>
        <v>0.7384077877183719</v>
      </c>
      <c r="DH4">
        <f t="shared" si="113"/>
        <v>0.74167769037189224</v>
      </c>
      <c r="DI4">
        <f t="shared" si="114"/>
        <v>0.74490671924224361</v>
      </c>
      <c r="DJ4">
        <f t="shared" si="115"/>
        <v>0.74809538525171559</v>
      </c>
      <c r="DK4">
        <f t="shared" si="116"/>
        <v>0.75124419293606914</v>
      </c>
      <c r="DL4">
        <f t="shared" si="117"/>
        <v>0.75435364052436826</v>
      </c>
      <c r="DM4">
        <f t="shared" si="118"/>
        <v>0.75742422001781362</v>
      </c>
      <c r="DN4">
        <f t="shared" si="119"/>
        <v>0.76045641726759095</v>
      </c>
      <c r="DO4">
        <f t="shared" si="120"/>
        <v>0.76345071205174608</v>
      </c>
      <c r="DP4">
        <f t="shared" si="121"/>
        <v>0.76640757815109928</v>
      </c>
      <c r="DQ4">
        <f t="shared" si="122"/>
        <v>0.76932748342421053</v>
      </c>
      <c r="DR4">
        <f t="shared" si="123"/>
        <v>0.77221088988140796</v>
      </c>
      <c r="DS4">
        <f t="shared" si="124"/>
        <v>0.77505825375789039</v>
      </c>
      <c r="DT4">
        <f t="shared" si="125"/>
        <v>0.77787002558591678</v>
      </c>
      <c r="DU4">
        <f t="shared" si="126"/>
        <v>0.78064665026609281</v>
      </c>
      <c r="DV4">
        <f t="shared" si="127"/>
        <v>0.78338856713776661</v>
      </c>
      <c r="DW4">
        <f t="shared" si="128"/>
        <v>0.78609621004854457</v>
      </c>
      <c r="DX4">
        <f t="shared" si="129"/>
        <v>0.78877000742293779</v>
      </c>
      <c r="DY4">
        <f t="shared" si="130"/>
        <v>0.79141038233015104</v>
      </c>
      <c r="DZ4">
        <f t="shared" si="131"/>
        <v>0.79401775255102414</v>
      </c>
      <c r="EA4">
        <f t="shared" si="132"/>
        <v>0.79659253064413638</v>
      </c>
      <c r="EB4">
        <f t="shared" si="133"/>
        <v>0.79913512401108466</v>
      </c>
      <c r="EC4">
        <f t="shared" si="134"/>
        <v>0.80164593496094616</v>
      </c>
      <c r="ED4">
        <f t="shared" si="135"/>
        <v>0.80412536077393437</v>
      </c>
      <c r="EE4">
        <f t="shared" si="136"/>
        <v>0.80657379376426019</v>
      </c>
      <c r="EF4">
        <f t="shared" si="137"/>
        <v>0.80899162134220692</v>
      </c>
      <c r="EG4">
        <f t="shared" si="138"/>
        <v>0.81137922607542934</v>
      </c>
      <c r="EH4">
        <f t="shared" si="139"/>
        <v>0.8137369857494865</v>
      </c>
      <c r="EI4">
        <f t="shared" si="140"/>
        <v>0.81606527342761792</v>
      </c>
      <c r="EJ4">
        <f t="shared" si="141"/>
        <v>0.81836445750977271</v>
      </c>
      <c r="EK4">
        <f t="shared" si="142"/>
        <v>0.82063490179090059</v>
      </c>
      <c r="EL4">
        <f t="shared" si="143"/>
        <v>0.8228769655185143</v>
      </c>
      <c r="EM4">
        <f t="shared" si="144"/>
        <v>0.8250910034495329</v>
      </c>
      <c r="EN4">
        <f t="shared" si="145"/>
        <v>0.82727736590641376</v>
      </c>
      <c r="EO4">
        <f t="shared" si="146"/>
        <v>0.82943639883258358</v>
      </c>
      <c r="EP4">
        <f t="shared" si="147"/>
        <v>0.83156844384717632</v>
      </c>
      <c r="EQ4">
        <f t="shared" si="148"/>
        <v>0.83367383829908659</v>
      </c>
      <c r="ER4">
        <f t="shared" si="149"/>
        <v>0.83575291532034801</v>
      </c>
      <c r="ES4">
        <f t="shared" si="150"/>
        <v>0.83780600387884363</v>
      </c>
      <c r="ET4">
        <f t="shared" si="151"/>
        <v>0.83983342883035805</v>
      </c>
      <c r="EU4">
        <f t="shared" si="152"/>
        <v>0.84183551096997855</v>
      </c>
      <c r="EV4">
        <f t="shared" si="153"/>
        <v>0.84381256708285379</v>
      </c>
      <c r="EW4">
        <f t="shared" si="154"/>
        <v>0.84576490999431808</v>
      </c>
      <c r="EX4">
        <f t="shared" si="155"/>
        <v>0.84769284861938909</v>
      </c>
      <c r="EY4">
        <f t="shared" si="156"/>
        <v>0.84959668801164678</v>
      </c>
      <c r="EZ4">
        <f t="shared" si="157"/>
        <v>0.85147672941150121</v>
      </c>
      <c r="FA4">
        <f t="shared" si="158"/>
        <v>0.85333327029385742</v>
      </c>
      <c r="FB4">
        <f t="shared" si="159"/>
        <v>0.85516660441518422</v>
      </c>
      <c r="FC4">
        <f t="shared" si="160"/>
        <v>0.85697702185999436</v>
      </c>
      <c r="FD4">
        <f t="shared" si="161"/>
        <v>0.85876480908674446</v>
      </c>
      <c r="FE4">
        <f t="shared" si="162"/>
        <v>0.86053024897316011</v>
      </c>
      <c r="FF4">
        <f t="shared" si="163"/>
        <v>0.86227362086099557</v>
      </c>
      <c r="FG4">
        <f t="shared" si="164"/>
        <v>0.86399520060023316</v>
      </c>
      <c r="FH4">
        <f t="shared" si="165"/>
        <v>0.86569526059273028</v>
      </c>
      <c r="FI4">
        <f t="shared" si="166"/>
        <v>0.86737406983532117</v>
      </c>
      <c r="FJ4">
        <f t="shared" si="167"/>
        <v>0.86903189396237968</v>
      </c>
      <c r="FK4">
        <f t="shared" si="168"/>
        <v>0.87066899528784991</v>
      </c>
      <c r="FL4">
        <f t="shared" si="169"/>
        <v>0.87228563284675176</v>
      </c>
      <c r="FM4">
        <f t="shared" si="170"/>
        <v>0.87388206243616739</v>
      </c>
      <c r="FN4">
        <f t="shared" si="171"/>
        <v>0.87545853665571527</v>
      </c>
      <c r="FO4">
        <f t="shared" si="172"/>
        <v>0.87701530494751878</v>
      </c>
      <c r="FP4">
        <f t="shared" si="173"/>
        <v>0.87855261363567483</v>
      </c>
      <c r="FQ4">
        <f t="shared" si="174"/>
        <v>0.88007070596522885</v>
      </c>
      <c r="FR4">
        <f t="shared" si="175"/>
        <v>0.88156982214066348</v>
      </c>
      <c r="FS4">
        <f t="shared" si="176"/>
        <v>0.88305019936390516</v>
      </c>
      <c r="FT4">
        <f t="shared" si="177"/>
        <v>0.88451207187185632</v>
      </c>
      <c r="FU4">
        <f t="shared" si="178"/>
        <v>0.88595567097345806</v>
      </c>
      <c r="FV4">
        <f t="shared" si="179"/>
        <v>0.8873812250862898</v>
      </c>
      <c r="FW4">
        <f t="shared" si="180"/>
        <v>0.88878895977271122</v>
      </c>
      <c r="FX4">
        <f t="shared" si="181"/>
        <v>0.89017909777555237</v>
      </c>
      <c r="FY4">
        <f t="shared" si="182"/>
        <v>0.89155185905335799</v>
      </c>
      <c r="FZ4">
        <f t="shared" si="183"/>
        <v>0.89290746081519101</v>
      </c>
      <c r="GA4">
        <f t="shared" si="184"/>
        <v>0.89424611755500116</v>
      </c>
      <c r="GB4">
        <f t="shared" si="185"/>
        <v>0.89556804108556365</v>
      </c>
      <c r="GC4">
        <f t="shared" si="186"/>
        <v>0.89687344057199414</v>
      </c>
      <c r="GD4">
        <f t="shared" si="187"/>
        <v>0.89816252256484419</v>
      </c>
      <c r="GE4">
        <f t="shared" si="188"/>
        <v>0.89943549103278364</v>
      </c>
      <c r="GF4">
        <f t="shared" si="189"/>
        <v>0.90069254739487381</v>
      </c>
      <c r="GG4">
        <f t="shared" si="190"/>
        <v>0.90193389055243789</v>
      </c>
      <c r="GH4">
        <f t="shared" si="191"/>
        <v>0.90315971692053243</v>
      </c>
      <c r="GI4">
        <f t="shared" si="192"/>
        <v>0.90437022045902582</v>
      </c>
      <c r="GJ4">
        <f t="shared" si="193"/>
        <v>0.90556559270328796</v>
      </c>
      <c r="GK4">
        <f t="shared" si="194"/>
        <v>0.9067460227944969</v>
      </c>
      <c r="GL4">
        <f t="shared" si="195"/>
        <v>0.90791169750956568</v>
      </c>
      <c r="GM4">
        <f t="shared" si="196"/>
        <v>0.90906280129069617</v>
      </c>
      <c r="GN4">
        <f t="shared" si="197"/>
        <v>0.91019951627456241</v>
      </c>
      <c r="GO4">
        <f t="shared" si="198"/>
        <v>0.91132202232113035</v>
      </c>
      <c r="GP4">
        <f t="shared" si="199"/>
        <v>0.91243049704211621</v>
      </c>
      <c r="GQ4">
        <f t="shared" si="200"/>
        <v>0.9135251158290898</v>
      </c>
      <c r="GR4">
        <f t="shared" si="201"/>
        <v>0.91460605188122612</v>
      </c>
      <c r="GS4">
        <f t="shared" si="202"/>
        <v>0.91567347623271078</v>
      </c>
      <c r="GT4">
        <f t="shared" si="203"/>
        <v>0.91672755777980186</v>
      </c>
      <c r="GU4">
        <f t="shared" si="204"/>
        <v>0.91776846330755435</v>
      </c>
      <c r="GV4">
        <f t="shared" si="205"/>
        <v>0.91879635751620992</v>
      </c>
      <c r="GW4">
        <f t="shared" si="206"/>
        <v>0.91981140304725728</v>
      </c>
      <c r="GX4">
        <f t="shared" si="207"/>
        <v>0.92081376050916652</v>
      </c>
      <c r="GY4">
        <f t="shared" si="208"/>
        <v>0.92180358850280197</v>
      </c>
      <c r="GZ4">
        <f t="shared" si="209"/>
        <v>0.92278104364651692</v>
      </c>
      <c r="HA4">
        <f t="shared" si="210"/>
        <v>0.92374628060093544</v>
      </c>
      <c r="HB4">
        <f t="shared" si="211"/>
        <v>0.92469945209342375</v>
      </c>
      <c r="HC4">
        <f t="shared" si="212"/>
        <v>0.92564070894225592</v>
      </c>
      <c r="HD4">
        <f t="shared" si="213"/>
        <v>0.92657020008047775</v>
      </c>
      <c r="HE4">
        <f t="shared" si="214"/>
        <v>0.92748807257947175</v>
      </c>
      <c r="HF4">
        <f t="shared" si="215"/>
        <v>0.92839447167222833</v>
      </c>
      <c r="HG4">
        <f t="shared" si="216"/>
        <v>0.92928954077632553</v>
      </c>
      <c r="HH4">
        <f t="shared" si="217"/>
        <v>0.93017342151662141</v>
      </c>
      <c r="HI4">
        <f t="shared" si="218"/>
        <v>0.9310462537476637</v>
      </c>
      <c r="HJ4">
        <f t="shared" si="219"/>
        <v>0.93190817557581795</v>
      </c>
      <c r="HK4">
        <f t="shared" si="220"/>
        <v>0.93275932338112022</v>
      </c>
      <c r="HL4">
        <f t="shared" si="221"/>
        <v>0.9335998318388562</v>
      </c>
      <c r="HM4">
        <f t="shared" si="222"/>
        <v>0.93442983394087054</v>
      </c>
      <c r="HN4">
        <f t="shared" si="223"/>
        <v>0.93524946101660966</v>
      </c>
      <c r="HO4">
        <f t="shared" si="224"/>
        <v>0.93605884275390205</v>
      </c>
      <c r="HP4">
        <f t="shared" si="225"/>
        <v>0.93685810721947826</v>
      </c>
      <c r="HQ4">
        <f t="shared" si="226"/>
        <v>0.93764738087923483</v>
      </c>
      <c r="HR4">
        <f t="shared" si="227"/>
        <v>0.93842678861824436</v>
      </c>
      <c r="HS4">
        <f t="shared" si="228"/>
        <v>0.9391964537605163</v>
      </c>
      <c r="HT4">
        <f t="shared" si="229"/>
        <v>0.9399564980885099</v>
      </c>
      <c r="HU4">
        <f t="shared" si="230"/>
        <v>0.9407070418624035</v>
      </c>
      <c r="HV4">
        <f t="shared" si="231"/>
        <v>0.94144820383912342</v>
      </c>
      <c r="HW4">
        <f t="shared" si="232"/>
        <v>0.94218010129113439</v>
      </c>
      <c r="HX4">
        <f t="shared" si="233"/>
        <v>0.94290285002499519</v>
      </c>
      <c r="HY4">
        <f t="shared" si="234"/>
        <v>0.94361656439968278</v>
      </c>
      <c r="HZ4">
        <f t="shared" si="235"/>
        <v>0.9443213573446867</v>
      </c>
      <c r="IA4">
        <f t="shared" si="236"/>
        <v>0.9450173403778781</v>
      </c>
      <c r="IB4">
        <f t="shared" si="237"/>
        <v>0.94570462362315466</v>
      </c>
      <c r="IC4">
        <f t="shared" si="238"/>
        <v>0.94638331582786528</v>
      </c>
      <c r="ID4">
        <f t="shared" si="239"/>
        <v>0.947053524380017</v>
      </c>
      <c r="IE4">
        <f t="shared" si="240"/>
        <v>0.94771535532526674</v>
      </c>
      <c r="IF4">
        <f t="shared" si="241"/>
        <v>0.94836891338370088</v>
      </c>
      <c r="IG4">
        <f t="shared" si="242"/>
        <v>0.94901430196640457</v>
      </c>
      <c r="IH4">
        <f t="shared" si="243"/>
        <v>0.9496516231918245</v>
      </c>
      <c r="II4">
        <f t="shared" si="244"/>
        <v>0.95028097790192667</v>
      </c>
      <c r="IJ4">
        <f t="shared" si="245"/>
        <v>0.95090246567815262</v>
      </c>
      <c r="IK4">
        <f t="shared" si="246"/>
        <v>0.95151618485717571</v>
      </c>
      <c r="IL4">
        <f t="shared" si="247"/>
        <v>0.952122232546461</v>
      </c>
      <c r="IM4">
        <f t="shared" si="248"/>
        <v>0.95272070463963021</v>
      </c>
      <c r="IN4">
        <f t="shared" si="249"/>
        <v>0.95331169583163489</v>
      </c>
      <c r="IO4">
        <f t="shared" si="250"/>
        <v>0.95389529963373942</v>
      </c>
      <c r="IP4">
        <f t="shared" si="251"/>
        <v>0.95447160838831768</v>
      </c>
      <c r="IQ4">
        <f t="shared" si="252"/>
        <v>0.95504071328346374</v>
      </c>
      <c r="IR4">
        <f t="shared" si="253"/>
        <v>0.95560270436742045</v>
      </c>
      <c r="IS4">
        <f t="shared" si="254"/>
        <v>0.95615767056282774</v>
      </c>
      <c r="IT4">
        <f t="shared" si="255"/>
        <v>0.95670569968079244</v>
      </c>
      <c r="IU4">
        <f t="shared" si="256"/>
        <v>0.95724687843478251</v>
      </c>
      <c r="IV4">
        <f t="shared" si="257"/>
        <v>0.95778129245434773</v>
      </c>
    </row>
    <row r="5" spans="1:256" x14ac:dyDescent="0.2">
      <c r="A5" t="s">
        <v>475</v>
      </c>
      <c r="B5">
        <f>$B$107</f>
        <v>0.55213714599609376</v>
      </c>
      <c r="C5">
        <f t="shared" si="4"/>
        <v>0.54675483075526654</v>
      </c>
      <c r="D5">
        <f t="shared" si="5"/>
        <v>0.55242039537082566</v>
      </c>
      <c r="E5">
        <f t="shared" si="6"/>
        <v>0.55801514042869038</v>
      </c>
      <c r="F5">
        <f t="shared" si="7"/>
        <v>0.56353995117333178</v>
      </c>
      <c r="G5">
        <f t="shared" si="8"/>
        <v>0.5689957017836651</v>
      </c>
      <c r="H5">
        <f t="shared" si="9"/>
        <v>0.57438325551136926</v>
      </c>
      <c r="I5">
        <f t="shared" si="10"/>
        <v>0.57970346481747714</v>
      </c>
      <c r="J5">
        <f t="shared" si="11"/>
        <v>0.58495717150725868</v>
      </c>
      <c r="K5">
        <f t="shared" si="12"/>
        <v>0.58475838278982328</v>
      </c>
      <c r="L5">
        <f t="shared" si="13"/>
        <v>0.58469047892275849</v>
      </c>
      <c r="M5">
        <f t="shared" si="14"/>
        <v>0.58474558120979558</v>
      </c>
      <c r="N5">
        <f t="shared" si="15"/>
        <v>0.58491596998512441</v>
      </c>
      <c r="O5">
        <f t="shared" si="16"/>
        <v>0.58519409298068081</v>
      </c>
      <c r="P5">
        <f t="shared" si="17"/>
        <v>0.5855725724555586</v>
      </c>
      <c r="Q5">
        <f t="shared" si="18"/>
        <v>0.58604421119029759</v>
      </c>
      <c r="R5">
        <f t="shared" si="19"/>
        <v>0.58660199744134756</v>
      </c>
      <c r="S5">
        <f t="shared" si="20"/>
        <v>0.58287169286621721</v>
      </c>
      <c r="T5">
        <f t="shared" si="21"/>
        <v>0.57920907176234193</v>
      </c>
      <c r="U5">
        <f t="shared" si="22"/>
        <v>0.57560973875798549</v>
      </c>
      <c r="V5">
        <f t="shared" si="23"/>
        <v>0.57206948809114233</v>
      </c>
      <c r="W5">
        <f t="shared" si="24"/>
        <v>0.56858430065526877</v>
      </c>
      <c r="X5">
        <f t="shared" si="25"/>
        <v>0.56515034065612602</v>
      </c>
      <c r="Y5">
        <f t="shared" si="26"/>
        <v>0.5617639519400176</v>
      </c>
      <c r="Z5">
        <f t="shared" si="27"/>
        <v>0.55842165404730537</v>
      </c>
      <c r="AA5">
        <f t="shared" si="28"/>
        <v>0.55879889270691641</v>
      </c>
      <c r="AB5">
        <f t="shared" si="29"/>
        <v>0.55927535599789757</v>
      </c>
      <c r="AC5">
        <f t="shared" si="30"/>
        <v>0.5598458992306492</v>
      </c>
      <c r="AD5">
        <f t="shared" si="31"/>
        <v>0.56050551318725683</v>
      </c>
      <c r="AE5">
        <f t="shared" si="32"/>
        <v>0.56124932406144068</v>
      </c>
      <c r="AF5">
        <f t="shared" si="33"/>
        <v>0.56207259302588164</v>
      </c>
      <c r="AG5">
        <f t="shared" si="34"/>
        <v>0.56297071547184596</v>
      </c>
      <c r="AH5">
        <f t="shared" si="35"/>
        <v>0.56393921996174712</v>
      </c>
      <c r="AI5">
        <f t="shared" si="36"/>
        <v>0.56727513303172217</v>
      </c>
      <c r="AJ5">
        <f t="shared" si="37"/>
        <v>0.57054505176662962</v>
      </c>
      <c r="AK5">
        <f t="shared" si="38"/>
        <v>0.57375033078483018</v>
      </c>
      <c r="AL5">
        <f t="shared" si="39"/>
        <v>0.57689231641137018</v>
      </c>
      <c r="AM5">
        <f t="shared" si="40"/>
        <v>0.57997234656836238</v>
      </c>
      <c r="AN5">
        <f t="shared" si="41"/>
        <v>0.58299175068817033</v>
      </c>
      <c r="AO5">
        <f t="shared" si="42"/>
        <v>0.58595184964777902</v>
      </c>
      <c r="AP5">
        <f t="shared" si="43"/>
        <v>0.58885395572279753</v>
      </c>
      <c r="AQ5">
        <f t="shared" si="44"/>
        <v>0.59399328127626261</v>
      </c>
      <c r="AR5">
        <f t="shared" si="45"/>
        <v>0.59906836526030938</v>
      </c>
      <c r="AS5">
        <f t="shared" si="46"/>
        <v>0.60408001069455552</v>
      </c>
      <c r="AT5">
        <f t="shared" si="47"/>
        <v>0.60902901056087355</v>
      </c>
      <c r="AU5">
        <f t="shared" si="48"/>
        <v>0.61391614792886262</v>
      </c>
      <c r="AV5">
        <f t="shared" si="49"/>
        <v>0.61874219607975189</v>
      </c>
      <c r="AW5">
        <f t="shared" si="50"/>
        <v>0.62350791862875499</v>
      </c>
      <c r="AX5">
        <f t="shared" si="51"/>
        <v>0.62821406964589555</v>
      </c>
      <c r="AY5">
        <f t="shared" si="52"/>
        <v>0.62973131961806328</v>
      </c>
      <c r="AZ5">
        <f t="shared" si="53"/>
        <v>0.63150255094071328</v>
      </c>
      <c r="BA5">
        <f t="shared" si="54"/>
        <v>0.63353491355532954</v>
      </c>
      <c r="BB5">
        <f t="shared" si="55"/>
        <v>0.6358359471037629</v>
      </c>
      <c r="BC5">
        <f t="shared" si="56"/>
        <v>0.6384136007320006</v>
      </c>
      <c r="BD5">
        <f t="shared" si="57"/>
        <v>0.64127625413448286</v>
      </c>
      <c r="BE5">
        <f t="shared" si="58"/>
        <v>0.64443273993593553</v>
      </c>
      <c r="BF5">
        <f t="shared" si="59"/>
        <v>0.64789236751403678</v>
      </c>
      <c r="BG5">
        <f t="shared" si="60"/>
        <v>0.65166494837335598</v>
      </c>
      <c r="BH5">
        <f t="shared" si="61"/>
        <v>0.65576082318891038</v>
      </c>
      <c r="BI5">
        <f t="shared" si="62"/>
        <v>0.66006381289904903</v>
      </c>
      <c r="BJ5">
        <f t="shared" si="63"/>
        <v>0.66431301523781094</v>
      </c>
      <c r="BK5">
        <f t="shared" si="64"/>
        <v>0.66850910254733831</v>
      </c>
      <c r="BL5">
        <f t="shared" si="65"/>
        <v>0.67265273876549658</v>
      </c>
      <c r="BM5">
        <f t="shared" si="66"/>
        <v>0.67674457953092793</v>
      </c>
      <c r="BN5">
        <f t="shared" si="67"/>
        <v>0.68078527228679131</v>
      </c>
      <c r="BO5">
        <f t="shared" si="68"/>
        <v>0.68477545638320647</v>
      </c>
      <c r="BP5">
        <f t="shared" si="69"/>
        <v>0.68871576317841643</v>
      </c>
      <c r="BQ5">
        <f t="shared" si="70"/>
        <v>0.69260681613868624</v>
      </c>
      <c r="BR5">
        <f t="shared" si="71"/>
        <v>0.69644923093695266</v>
      </c>
      <c r="BS5">
        <f t="shared" si="72"/>
        <v>0.70024361555024073</v>
      </c>
      <c r="BT5">
        <f t="shared" si="73"/>
        <v>0.70399057035586277</v>
      </c>
      <c r="BU5">
        <f t="shared" si="74"/>
        <v>0.70769068822641445</v>
      </c>
      <c r="BV5">
        <f t="shared" si="75"/>
        <v>0.71134455462358426</v>
      </c>
      <c r="BW5">
        <f t="shared" si="76"/>
        <v>0.71495274769078943</v>
      </c>
      <c r="BX5">
        <f t="shared" si="77"/>
        <v>0.7185158383446546</v>
      </c>
      <c r="BY5">
        <f t="shared" si="78"/>
        <v>0.72203439036534645</v>
      </c>
      <c r="BZ5">
        <f t="shared" si="79"/>
        <v>0.72550896048577962</v>
      </c>
      <c r="CA5">
        <f t="shared" si="80"/>
        <v>0.72894009847970742</v>
      </c>
      <c r="CB5">
        <f t="shared" si="81"/>
        <v>0.7323283472487111</v>
      </c>
      <c r="CC5">
        <f t="shared" si="82"/>
        <v>0.73567424290810224</v>
      </c>
      <c r="CD5">
        <f t="shared" si="83"/>
        <v>0.73897831487175092</v>
      </c>
      <c r="CE5">
        <f t="shared" si="84"/>
        <v>0.74224108593585403</v>
      </c>
      <c r="CF5">
        <f t="shared" si="85"/>
        <v>0.74546307236165588</v>
      </c>
      <c r="CG5">
        <f t="shared" si="86"/>
        <v>0.74864478395713518</v>
      </c>
      <c r="CH5">
        <f t="shared" si="87"/>
        <v>0.751786724157671</v>
      </c>
      <c r="CI5">
        <f t="shared" si="88"/>
        <v>0.75488939010570011</v>
      </c>
      <c r="CJ5">
        <f t="shared" si="89"/>
        <v>0.75795327272937885</v>
      </c>
      <c r="CK5">
        <f t="shared" si="90"/>
        <v>0.76097885682026156</v>
      </c>
      <c r="CL5">
        <f t="shared" si="91"/>
        <v>0.76396662111000824</v>
      </c>
      <c r="CM5">
        <f t="shared" si="92"/>
        <v>0.76691703834613312</v>
      </c>
      <c r="CN5">
        <f t="shared" si="93"/>
        <v>0.76983057536680644</v>
      </c>
      <c r="CO5">
        <f t="shared" si="94"/>
        <v>0.77270769317472132</v>
      </c>
      <c r="CP5">
        <f t="shared" si="95"/>
        <v>0.77554884701003735</v>
      </c>
      <c r="CQ5">
        <f t="shared" si="96"/>
        <v>0.7783544864224119</v>
      </c>
      <c r="CR5">
        <f t="shared" si="97"/>
        <v>0.78112505534213172</v>
      </c>
      <c r="CS5">
        <f t="shared" si="98"/>
        <v>0.7838609921503551</v>
      </c>
      <c r="CT5">
        <f t="shared" si="99"/>
        <v>0.78656272974847563</v>
      </c>
      <c r="CU5">
        <f t="shared" si="100"/>
        <v>0.78923069562661974</v>
      </c>
      <c r="CV5">
        <f t="shared" si="101"/>
        <v>0.79186531193128695</v>
      </c>
      <c r="CW5">
        <f t="shared" si="102"/>
        <v>0.79446699553214584</v>
      </c>
      <c r="CX5">
        <f t="shared" si="103"/>
        <v>0.797036158087994</v>
      </c>
      <c r="CY5">
        <f t="shared" si="104"/>
        <v>0.79957320611189409</v>
      </c>
      <c r="CZ5">
        <f t="shared" si="105"/>
        <v>0.80207854103549536</v>
      </c>
      <c r="DA5">
        <f t="shared" si="106"/>
        <v>0.80455255927255165</v>
      </c>
      <c r="DB5">
        <f t="shared" si="107"/>
        <v>0.80699565228164472</v>
      </c>
      <c r="DC5">
        <f t="shared" si="108"/>
        <v>0.80940820662812418</v>
      </c>
      <c r="DD5">
        <f t="shared" si="109"/>
        <v>0.81179060404527259</v>
      </c>
      <c r="DE5">
        <f t="shared" si="110"/>
        <v>0.81414322149470664</v>
      </c>
      <c r="DF5">
        <f t="shared" si="111"/>
        <v>0.8164664312260228</v>
      </c>
      <c r="DG5">
        <f t="shared" si="112"/>
        <v>0.81876060083569757</v>
      </c>
      <c r="DH5">
        <f t="shared" si="113"/>
        <v>0.82102609332525134</v>
      </c>
      <c r="DI5">
        <f t="shared" si="114"/>
        <v>0.8232632671586857</v>
      </c>
      <c r="DJ5">
        <f t="shared" si="115"/>
        <v>0.82547247631920218</v>
      </c>
      <c r="DK5">
        <f t="shared" si="116"/>
        <v>0.8276540703652121</v>
      </c>
      <c r="DL5">
        <f t="shared" si="117"/>
        <v>0.82980839448564692</v>
      </c>
      <c r="DM5">
        <f t="shared" si="118"/>
        <v>0.83193578955457637</v>
      </c>
      <c r="DN5">
        <f t="shared" si="119"/>
        <v>0.83403659218514414</v>
      </c>
      <c r="DO5">
        <f t="shared" si="120"/>
        <v>0.83611113478282983</v>
      </c>
      <c r="DP5">
        <f t="shared" si="121"/>
        <v>0.83815974559804451</v>
      </c>
      <c r="DQ5">
        <f t="shared" si="122"/>
        <v>0.84018274877806898</v>
      </c>
      <c r="DR5">
        <f t="shared" si="123"/>
        <v>0.84218046441834316</v>
      </c>
      <c r="DS5">
        <f t="shared" si="124"/>
        <v>0.84415320861311383</v>
      </c>
      <c r="DT5">
        <f t="shared" si="125"/>
        <v>0.84610129350544994</v>
      </c>
      <c r="DU5">
        <f t="shared" si="126"/>
        <v>0.84802502733663176</v>
      </c>
      <c r="DV5">
        <f t="shared" si="127"/>
        <v>0.84992471449492391</v>
      </c>
      <c r="DW5">
        <f t="shared" si="128"/>
        <v>0.85180065556373741</v>
      </c>
      <c r="DX5">
        <f t="shared" si="129"/>
        <v>0.85365314736919073</v>
      </c>
      <c r="DY5">
        <f t="shared" si="130"/>
        <v>0.85548248302707586</v>
      </c>
      <c r="DZ5">
        <f t="shared" si="131"/>
        <v>0.85728895198923738</v>
      </c>
      <c r="EA5">
        <f t="shared" si="132"/>
        <v>0.8590728400893719</v>
      </c>
      <c r="EB5">
        <f t="shared" si="133"/>
        <v>0.86083442958825473</v>
      </c>
      <c r="EC5">
        <f t="shared" si="134"/>
        <v>0.8625739992184015</v>
      </c>
      <c r="ED5">
        <f t="shared" si="135"/>
        <v>0.86429182422817152</v>
      </c>
      <c r="EE5">
        <f t="shared" si="136"/>
        <v>0.86598817642531933</v>
      </c>
      <c r="EF5">
        <f t="shared" si="137"/>
        <v>0.86766332422000281</v>
      </c>
      <c r="EG5">
        <f t="shared" si="138"/>
        <v>0.86931753266725276</v>
      </c>
      <c r="EH5">
        <f t="shared" si="139"/>
        <v>0.87095106350891205</v>
      </c>
      <c r="EI5">
        <f t="shared" si="140"/>
        <v>0.8725641752150507</v>
      </c>
      <c r="EJ5">
        <f t="shared" si="141"/>
        <v>0.87415712302486259</v>
      </c>
      <c r="EK5">
        <f t="shared" si="142"/>
        <v>0.87573015898705187</v>
      </c>
      <c r="EL5">
        <f t="shared" si="143"/>
        <v>0.87728353199971376</v>
      </c>
      <c r="EM5">
        <f t="shared" si="144"/>
        <v>0.87881748784971736</v>
      </c>
      <c r="EN5">
        <f t="shared" si="145"/>
        <v>0.88033226925159591</v>
      </c>
      <c r="EO5">
        <f t="shared" si="146"/>
        <v>0.881828115885951</v>
      </c>
      <c r="EP5">
        <f t="shared" si="147"/>
        <v>0.88330526443737667</v>
      </c>
      <c r="EQ5">
        <f t="shared" si="148"/>
        <v>0.88476394863190944</v>
      </c>
      <c r="ER5">
        <f t="shared" si="149"/>
        <v>0.88620439927401051</v>
      </c>
      <c r="ES5">
        <f t="shared" si="150"/>
        <v>0.88762684428308536</v>
      </c>
      <c r="ET5">
        <f t="shared" si="151"/>
        <v>0.88903150872954684</v>
      </c>
      <c r="EU5">
        <f t="shared" si="152"/>
        <v>0.89041861487042751</v>
      </c>
      <c r="EV5">
        <f t="shared" si="153"/>
        <v>0.89178838218454715</v>
      </c>
      <c r="EW5">
        <f t="shared" si="154"/>
        <v>0.89314102740724033</v>
      </c>
      <c r="EX5">
        <f t="shared" si="155"/>
        <v>0.89447676456464986</v>
      </c>
      <c r="EY5">
        <f t="shared" si="156"/>
        <v>0.89579580500759171</v>
      </c>
      <c r="EZ5">
        <f t="shared" si="157"/>
        <v>0.89709835744499677</v>
      </c>
      <c r="FA5">
        <f t="shared" si="158"/>
        <v>0.8983846279769343</v>
      </c>
      <c r="FB5">
        <f t="shared" si="159"/>
        <v>0.89965482012722264</v>
      </c>
      <c r="FC5">
        <f t="shared" si="160"/>
        <v>0.9009091348756324</v>
      </c>
      <c r="FD5">
        <f t="shared" si="161"/>
        <v>0.90214777068968699</v>
      </c>
      <c r="FE5">
        <f t="shared" si="162"/>
        <v>0.90337092355606585</v>
      </c>
      <c r="FF5">
        <f t="shared" si="163"/>
        <v>0.90457878701161498</v>
      </c>
      <c r="FG5">
        <f t="shared" si="164"/>
        <v>0.90577155217396976</v>
      </c>
      <c r="FH5">
        <f t="shared" si="165"/>
        <v>0.90694940777179511</v>
      </c>
      <c r="FI5">
        <f t="shared" si="166"/>
        <v>0.90811254017464771</v>
      </c>
      <c r="FJ5">
        <f t="shared" si="167"/>
        <v>0.90926113342246462</v>
      </c>
      <c r="FK5">
        <f t="shared" si="168"/>
        <v>0.91039536925468378</v>
      </c>
      <c r="FL5">
        <f t="shared" si="169"/>
        <v>0.91151542713900024</v>
      </c>
      <c r="FM5">
        <f t="shared" si="170"/>
        <v>0.91262148429976275</v>
      </c>
      <c r="FN5">
        <f t="shared" si="171"/>
        <v>0.91371371574601568</v>
      </c>
      <c r="FO5">
        <f t="shared" si="172"/>
        <v>0.91479229429919051</v>
      </c>
      <c r="FP5">
        <f t="shared" si="173"/>
        <v>0.91585739062045068</v>
      </c>
      <c r="FQ5">
        <f t="shared" si="174"/>
        <v>0.91690917323769505</v>
      </c>
      <c r="FR5">
        <f t="shared" si="175"/>
        <v>0.91794780857222391</v>
      </c>
      <c r="FS5">
        <f t="shared" si="176"/>
        <v>0.91897346096507115</v>
      </c>
      <c r="FT5">
        <f t="shared" si="177"/>
        <v>0.9199862927030078</v>
      </c>
      <c r="FU5">
        <f t="shared" si="178"/>
        <v>0.92098646404422024</v>
      </c>
      <c r="FV5">
        <f t="shared" si="179"/>
        <v>0.9219741332436675</v>
      </c>
      <c r="FW5">
        <f t="shared" si="180"/>
        <v>0.92294945657812166</v>
      </c>
      <c r="FX5">
        <f t="shared" si="181"/>
        <v>0.92391258837089518</v>
      </c>
      <c r="FY5">
        <f t="shared" si="182"/>
        <v>0.92486368101625904</v>
      </c>
      <c r="FZ5">
        <f t="shared" si="183"/>
        <v>0.92580288500355579</v>
      </c>
      <c r="GA5">
        <f t="shared" si="184"/>
        <v>0.92673034894101136</v>
      </c>
      <c r="GB5">
        <f t="shared" si="185"/>
        <v>0.92764621957924875</v>
      </c>
      <c r="GC5">
        <f t="shared" si="186"/>
        <v>0.92855064183450819</v>
      </c>
      <c r="GD5">
        <f t="shared" si="187"/>
        <v>0.92944375881157681</v>
      </c>
      <c r="GE5">
        <f t="shared" si="188"/>
        <v>0.93032571182643209</v>
      </c>
      <c r="GF5">
        <f t="shared" si="189"/>
        <v>0.93119664042860173</v>
      </c>
      <c r="GG5">
        <f t="shared" si="190"/>
        <v>0.93205668242324424</v>
      </c>
      <c r="GH5">
        <f t="shared" si="191"/>
        <v>0.93290597389295371</v>
      </c>
      <c r="GI5">
        <f t="shared" si="192"/>
        <v>0.93374464921929179</v>
      </c>
      <c r="GJ5">
        <f t="shared" si="193"/>
        <v>0.93457284110405059</v>
      </c>
      <c r="GK5">
        <f t="shared" si="194"/>
        <v>0.93539068059024999</v>
      </c>
      <c r="GL5">
        <f t="shared" si="195"/>
        <v>0.93619829708287183</v>
      </c>
      <c r="GM5">
        <f t="shared" si="196"/>
        <v>0.93699581836933599</v>
      </c>
      <c r="GN5">
        <f t="shared" si="197"/>
        <v>0.93778337063971928</v>
      </c>
      <c r="GO5">
        <f t="shared" si="198"/>
        <v>0.93856107850672277</v>
      </c>
      <c r="GP5">
        <f t="shared" si="199"/>
        <v>0.93932906502538871</v>
      </c>
      <c r="GQ5">
        <f t="shared" si="200"/>
        <v>0.94008745171257135</v>
      </c>
      <c r="GR5">
        <f t="shared" si="201"/>
        <v>0.94083635856616421</v>
      </c>
      <c r="GS5">
        <f t="shared" si="202"/>
        <v>0.9415759040840872</v>
      </c>
      <c r="GT5">
        <f t="shared" si="203"/>
        <v>0.9423062052830361</v>
      </c>
      <c r="GU5">
        <f t="shared" si="204"/>
        <v>0.94302737771699818</v>
      </c>
      <c r="GV5">
        <f t="shared" si="205"/>
        <v>0.94373953549553569</v>
      </c>
      <c r="GW5">
        <f t="shared" si="206"/>
        <v>0.9444427913018415</v>
      </c>
      <c r="GX5">
        <f t="shared" si="207"/>
        <v>0.94513725641056845</v>
      </c>
      <c r="GY5">
        <f t="shared" si="208"/>
        <v>0.94582304070543632</v>
      </c>
      <c r="GZ5">
        <f t="shared" si="209"/>
        <v>0.94650025269661842</v>
      </c>
      <c r="HA5">
        <f t="shared" si="210"/>
        <v>0.94716899953791067</v>
      </c>
      <c r="HB5">
        <f t="shared" si="211"/>
        <v>0.9478293870436868</v>
      </c>
      <c r="HC5">
        <f t="shared" si="212"/>
        <v>0.94848151970564076</v>
      </c>
      <c r="HD5">
        <f t="shared" si="213"/>
        <v>0.94912550070932022</v>
      </c>
      <c r="HE5">
        <f t="shared" si="214"/>
        <v>0.94976143195045371</v>
      </c>
      <c r="HF5">
        <f t="shared" si="215"/>
        <v>0.95038941405107302</v>
      </c>
      <c r="HG5">
        <f t="shared" si="216"/>
        <v>0.95100954637543456</v>
      </c>
      <c r="HH5">
        <f t="shared" si="217"/>
        <v>0.95162192704574167</v>
      </c>
      <c r="HI5">
        <f t="shared" si="218"/>
        <v>0.95222665295766995</v>
      </c>
      <c r="HJ5">
        <f t="shared" si="219"/>
        <v>0.95282381979569908</v>
      </c>
      <c r="HK5">
        <f t="shared" si="220"/>
        <v>0.9534135220482528</v>
      </c>
      <c r="HL5">
        <f t="shared" si="221"/>
        <v>0.95399585302264966</v>
      </c>
      <c r="HM5">
        <f t="shared" si="222"/>
        <v>0.95457090485986651</v>
      </c>
      <c r="HN5">
        <f t="shared" si="223"/>
        <v>0.95513876854911817</v>
      </c>
      <c r="HO5">
        <f t="shared" si="224"/>
        <v>0.95569953394225415</v>
      </c>
      <c r="HP5">
        <f t="shared" si="225"/>
        <v>0.95625328976797597</v>
      </c>
      <c r="HQ5">
        <f t="shared" si="226"/>
        <v>0.9568001236458763</v>
      </c>
      <c r="HR5">
        <f t="shared" si="227"/>
        <v>0.95734012210030284</v>
      </c>
      <c r="HS5">
        <f t="shared" si="228"/>
        <v>0.95787337057404909</v>
      </c>
      <c r="HT5">
        <f t="shared" si="229"/>
        <v>0.95839995344187345</v>
      </c>
      <c r="HU5">
        <f t="shared" si="230"/>
        <v>0.95891995402385</v>
      </c>
      <c r="HV5">
        <f t="shared" si="231"/>
        <v>0.95943345459855189</v>
      </c>
      <c r="HW5">
        <f t="shared" si="232"/>
        <v>0.95994053641607002</v>
      </c>
      <c r="HX5">
        <f t="shared" si="233"/>
        <v>0.96044127971086912</v>
      </c>
      <c r="HY5">
        <f t="shared" si="234"/>
        <v>0.9609357637144833</v>
      </c>
      <c r="HZ5">
        <f t="shared" si="235"/>
        <v>0.96142406666805225</v>
      </c>
      <c r="IA5">
        <f t="shared" si="236"/>
        <v>0.96190626583470162</v>
      </c>
      <c r="IB5">
        <f t="shared" si="237"/>
        <v>0.96238243751176789</v>
      </c>
      <c r="IC5">
        <f t="shared" si="238"/>
        <v>0.96285265704287082</v>
      </c>
      <c r="ID5">
        <f t="shared" si="239"/>
        <v>0.9633169988298349</v>
      </c>
      <c r="IE5">
        <f t="shared" si="240"/>
        <v>0.963775536344462</v>
      </c>
      <c r="IF5">
        <f t="shared" si="241"/>
        <v>0.96422834214015618</v>
      </c>
      <c r="IG5">
        <f t="shared" si="242"/>
        <v>0.96467548786340418</v>
      </c>
      <c r="IH5">
        <f t="shared" si="243"/>
        <v>0.96511704426511158</v>
      </c>
      <c r="II5">
        <f t="shared" si="244"/>
        <v>0.96555308121179773</v>
      </c>
      <c r="IJ5">
        <f t="shared" si="245"/>
        <v>0.96598366769665023</v>
      </c>
      <c r="IK5">
        <f t="shared" si="246"/>
        <v>0.96640887185044211</v>
      </c>
      <c r="IL5">
        <f t="shared" si="247"/>
        <v>0.96682876095231163</v>
      </c>
      <c r="IM5">
        <f t="shared" si="248"/>
        <v>0.96724340144040777</v>
      </c>
      <c r="IN5">
        <f t="shared" si="249"/>
        <v>0.96765285892240271</v>
      </c>
      <c r="IO5">
        <f t="shared" si="250"/>
        <v>0.96805719818587266</v>
      </c>
      <c r="IP5">
        <f t="shared" si="251"/>
        <v>0.96845648320854927</v>
      </c>
      <c r="IQ5">
        <f t="shared" si="252"/>
        <v>0.96885077716844237</v>
      </c>
      <c r="IR5">
        <f t="shared" si="253"/>
        <v>0.96924014245383683</v>
      </c>
      <c r="IS5">
        <f t="shared" si="254"/>
        <v>0.9696246406731639</v>
      </c>
      <c r="IT5">
        <f t="shared" si="255"/>
        <v>0.97000433266474939</v>
      </c>
      <c r="IU5">
        <f t="shared" si="256"/>
        <v>0.97037927850644001</v>
      </c>
      <c r="IV5">
        <f t="shared" si="257"/>
        <v>0.97074953752510951</v>
      </c>
    </row>
    <row r="6" spans="1:256" x14ac:dyDescent="0.2">
      <c r="A6" t="s">
        <v>476</v>
      </c>
      <c r="B6">
        <f>$B$108</f>
        <v>0.65300369262695313</v>
      </c>
      <c r="C6">
        <f t="shared" si="4"/>
        <v>0.64659995584762542</v>
      </c>
      <c r="D6">
        <f t="shared" si="5"/>
        <v>0.64614405520789708</v>
      </c>
      <c r="E6">
        <f t="shared" si="6"/>
        <v>0.64588308178044695</v>
      </c>
      <c r="F6">
        <f t="shared" si="7"/>
        <v>0.6458186072197476</v>
      </c>
      <c r="G6">
        <f t="shared" si="8"/>
        <v>0.645952151991671</v>
      </c>
      <c r="H6">
        <f t="shared" si="9"/>
        <v>0.64628519297153431</v>
      </c>
      <c r="I6">
        <f t="shared" si="10"/>
        <v>0.64681917061184768</v>
      </c>
      <c r="J6">
        <f t="shared" si="11"/>
        <v>0.64755549575108007</v>
      </c>
      <c r="K6">
        <f t="shared" si="12"/>
        <v>0.65196105205419153</v>
      </c>
      <c r="L6">
        <f t="shared" si="13"/>
        <v>0.65631153890351412</v>
      </c>
      <c r="M6">
        <f t="shared" si="14"/>
        <v>0.66060764466722022</v>
      </c>
      <c r="N6">
        <f t="shared" si="15"/>
        <v>0.66485004910888001</v>
      </c>
      <c r="O6">
        <f t="shared" si="16"/>
        <v>0.66903942349501899</v>
      </c>
      <c r="P6">
        <f t="shared" si="17"/>
        <v>0.67317643070133126</v>
      </c>
      <c r="Q6">
        <f t="shared" si="18"/>
        <v>0.67726172531756457</v>
      </c>
      <c r="R6">
        <f t="shared" si="19"/>
        <v>0.68129595375109497</v>
      </c>
      <c r="S6">
        <f t="shared" si="20"/>
        <v>0.68527975432920629</v>
      </c>
      <c r="T6">
        <f t="shared" si="21"/>
        <v>0.68921375740009116</v>
      </c>
      <c r="U6">
        <f t="shared" si="22"/>
        <v>0.69309858543259006</v>
      </c>
      <c r="V6">
        <f t="shared" si="23"/>
        <v>0.69693485311468273</v>
      </c>
      <c r="W6">
        <f t="shared" si="24"/>
        <v>0.70072316745074914</v>
      </c>
      <c r="X6">
        <f t="shared" si="25"/>
        <v>0.70446412785761481</v>
      </c>
      <c r="Y6">
        <f t="shared" si="26"/>
        <v>0.70815832625939468</v>
      </c>
      <c r="Z6">
        <f t="shared" si="27"/>
        <v>0.71180634718115221</v>
      </c>
      <c r="AA6">
        <f t="shared" si="28"/>
        <v>0.71540876784138785</v>
      </c>
      <c r="AB6">
        <f t="shared" si="29"/>
        <v>0.71896615824337051</v>
      </c>
      <c r="AC6">
        <f t="shared" si="30"/>
        <v>0.72247908126532834</v>
      </c>
      <c r="AD6">
        <f t="shared" si="31"/>
        <v>0.72594809274951178</v>
      </c>
      <c r="AE6">
        <f t="shared" si="32"/>
        <v>0.7293737415901429</v>
      </c>
      <c r="AF6">
        <f t="shared" si="33"/>
        <v>0.73275656982026616</v>
      </c>
      <c r="AG6">
        <f t="shared" si="34"/>
        <v>0.73609711269751288</v>
      </c>
      <c r="AH6">
        <f t="shared" si="35"/>
        <v>0.73939589878879397</v>
      </c>
      <c r="AI6">
        <f t="shared" si="36"/>
        <v>0.73744803397568859</v>
      </c>
      <c r="AJ6">
        <f t="shared" si="37"/>
        <v>0.73562887021701162</v>
      </c>
      <c r="AK6">
        <f t="shared" si="38"/>
        <v>0.73393654944713771</v>
      </c>
      <c r="AL6">
        <f t="shared" si="39"/>
        <v>0.73236922459698428</v>
      </c>
      <c r="AM6">
        <f t="shared" si="40"/>
        <v>0.73092506121110035</v>
      </c>
      <c r="AN6">
        <f t="shared" si="41"/>
        <v>0.72960223907838773</v>
      </c>
      <c r="AO6">
        <f t="shared" si="42"/>
        <v>0.72839895387188103</v>
      </c>
      <c r="AP6">
        <f t="shared" si="43"/>
        <v>0.7273134187931406</v>
      </c>
      <c r="AQ6">
        <f t="shared" si="44"/>
        <v>0.73072200105822638</v>
      </c>
      <c r="AR6">
        <f t="shared" si="45"/>
        <v>0.73408797604499854</v>
      </c>
      <c r="AS6">
        <f t="shared" si="46"/>
        <v>0.73741187634443606</v>
      </c>
      <c r="AT6">
        <f t="shared" si="47"/>
        <v>0.74069422789013062</v>
      </c>
      <c r="AU6">
        <f t="shared" si="48"/>
        <v>0.74393555004150402</v>
      </c>
      <c r="AV6">
        <f t="shared" si="49"/>
        <v>0.74713635566598524</v>
      </c>
      <c r="AW6">
        <f t="shared" si="50"/>
        <v>0.75029715122016039</v>
      </c>
      <c r="AX6">
        <f t="shared" si="51"/>
        <v>0.75341843682990839</v>
      </c>
      <c r="AY6">
        <f t="shared" si="52"/>
        <v>0.7521952001512987</v>
      </c>
      <c r="AZ6">
        <f t="shared" si="53"/>
        <v>0.75119043457739221</v>
      </c>
      <c r="BA6">
        <f t="shared" si="54"/>
        <v>0.75041043145446606</v>
      </c>
      <c r="BB6">
        <f t="shared" si="55"/>
        <v>0.74986207826619</v>
      </c>
      <c r="BC6">
        <f t="shared" si="56"/>
        <v>0.74955290528382479</v>
      </c>
      <c r="BD6">
        <f t="shared" si="57"/>
        <v>0.74949113709411963</v>
      </c>
      <c r="BE6">
        <f t="shared" si="58"/>
        <v>0.74968574960871326</v>
      </c>
      <c r="BF6">
        <f t="shared" si="59"/>
        <v>0.75014653324135883</v>
      </c>
      <c r="BG6">
        <f t="shared" si="60"/>
        <v>0.75088416303530392</v>
      </c>
      <c r="BH6">
        <f t="shared" si="61"/>
        <v>0.75191027663499455</v>
      </c>
      <c r="BI6">
        <f t="shared" si="62"/>
        <v>0.75323756112674478</v>
      </c>
      <c r="BJ6">
        <f t="shared" si="63"/>
        <v>0.7548777214577489</v>
      </c>
      <c r="BK6">
        <f t="shared" si="64"/>
        <v>0.75683886231846953</v>
      </c>
      <c r="BL6">
        <f t="shared" si="65"/>
        <v>0.75912965946459288</v>
      </c>
      <c r="BM6">
        <f t="shared" si="66"/>
        <v>0.76175940181280399</v>
      </c>
      <c r="BN6">
        <f t="shared" si="67"/>
        <v>0.764737409290144</v>
      </c>
      <c r="BO6">
        <f t="shared" si="68"/>
        <v>0.76767819167401719</v>
      </c>
      <c r="BP6">
        <f t="shared" si="69"/>
        <v>0.77058221427809193</v>
      </c>
      <c r="BQ6">
        <f t="shared" si="70"/>
        <v>0.77344993659961581</v>
      </c>
      <c r="BR6">
        <f t="shared" si="71"/>
        <v>0.77628181239212057</v>
      </c>
      <c r="BS6">
        <f t="shared" si="72"/>
        <v>0.77907828973721904</v>
      </c>
      <c r="BT6">
        <f t="shared" si="73"/>
        <v>0.78183981111550382</v>
      </c>
      <c r="BU6">
        <f t="shared" si="74"/>
        <v>0.78456681347655999</v>
      </c>
      <c r="BV6">
        <f t="shared" si="75"/>
        <v>0.78725972830810298</v>
      </c>
      <c r="BW6">
        <f t="shared" si="76"/>
        <v>0.78991898170425168</v>
      </c>
      <c r="BX6">
        <f t="shared" si="77"/>
        <v>0.79254499443294857</v>
      </c>
      <c r="BY6">
        <f t="shared" si="78"/>
        <v>0.79513818200253672</v>
      </c>
      <c r="BZ6">
        <f t="shared" si="79"/>
        <v>0.79769895472750496</v>
      </c>
      <c r="CA6">
        <f t="shared" si="80"/>
        <v>0.80022771779341118</v>
      </c>
      <c r="CB6">
        <f t="shared" si="81"/>
        <v>0.80272487132099357</v>
      </c>
      <c r="CC6">
        <f t="shared" si="82"/>
        <v>0.80519081042948115</v>
      </c>
      <c r="CD6">
        <f t="shared" si="83"/>
        <v>0.80762592529911259</v>
      </c>
      <c r="CE6">
        <f t="shared" si="84"/>
        <v>0.81003060123287374</v>
      </c>
      <c r="CF6">
        <f t="shared" si="85"/>
        <v>0.81240521871746285</v>
      </c>
      <c r="CG6">
        <f t="shared" si="86"/>
        <v>0.81475015348349455</v>
      </c>
      <c r="CH6">
        <f t="shared" si="87"/>
        <v>0.81706577656495083</v>
      </c>
      <c r="CI6">
        <f t="shared" si="88"/>
        <v>0.81935245435788895</v>
      </c>
      <c r="CJ6">
        <f t="shared" si="89"/>
        <v>0.82161054867841532</v>
      </c>
      <c r="CK6">
        <f t="shared" si="90"/>
        <v>0.82384041681993514</v>
      </c>
      <c r="CL6">
        <f t="shared" si="91"/>
        <v>0.82604241160968594</v>
      </c>
      <c r="CM6">
        <f t="shared" si="92"/>
        <v>0.82821688146456485</v>
      </c>
      <c r="CN6">
        <f t="shared" si="93"/>
        <v>0.83036417044625777</v>
      </c>
      <c r="CO6">
        <f t="shared" si="94"/>
        <v>0.83248461831567955</v>
      </c>
      <c r="CP6">
        <f t="shared" si="95"/>
        <v>0.83457856058673352</v>
      </c>
      <c r="CQ6">
        <f t="shared" si="96"/>
        <v>0.83664632857939936</v>
      </c>
      <c r="CR6">
        <f t="shared" si="97"/>
        <v>0.83868824947215681</v>
      </c>
      <c r="CS6">
        <f t="shared" si="98"/>
        <v>0.84070464635375486</v>
      </c>
      <c r="CT6">
        <f t="shared" si="99"/>
        <v>0.84269583827433292</v>
      </c>
      <c r="CU6">
        <f t="shared" si="100"/>
        <v>0.84466214029590381</v>
      </c>
      <c r="CV6">
        <f t="shared" si="101"/>
        <v>0.84660386354220496</v>
      </c>
      <c r="CW6">
        <f t="shared" si="102"/>
        <v>0.8485213152479274</v>
      </c>
      <c r="CX6">
        <f t="shared" si="103"/>
        <v>0.85041479880732829</v>
      </c>
      <c r="CY6">
        <f t="shared" si="104"/>
        <v>0.85228461382223664</v>
      </c>
      <c r="CZ6">
        <f t="shared" si="105"/>
        <v>0.85413105614945872</v>
      </c>
      <c r="DA6">
        <f t="shared" si="106"/>
        <v>0.85595441794759053</v>
      </c>
      <c r="DB6">
        <f t="shared" si="107"/>
        <v>0.85775498772324565</v>
      </c>
      <c r="DC6">
        <f t="shared" si="108"/>
        <v>0.85953305037670513</v>
      </c>
      <c r="DD6">
        <f t="shared" si="109"/>
        <v>0.86128888724699637</v>
      </c>
      <c r="DE6">
        <f t="shared" si="110"/>
        <v>0.86302277615640888</v>
      </c>
      <c r="DF6">
        <f t="shared" si="111"/>
        <v>0.86473499145445376</v>
      </c>
      <c r="DG6">
        <f t="shared" si="112"/>
        <v>0.86642580406127312</v>
      </c>
      <c r="DH6">
        <f t="shared" si="113"/>
        <v>0.86809548151050719</v>
      </c>
      <c r="DI6">
        <f t="shared" si="114"/>
        <v>0.86974428799162584</v>
      </c>
      <c r="DJ6">
        <f t="shared" si="115"/>
        <v>0.87137248439173054</v>
      </c>
      <c r="DK6">
        <f t="shared" si="116"/>
        <v>0.87298032833683392</v>
      </c>
      <c r="DL6">
        <f t="shared" si="117"/>
        <v>0.8745680742326235</v>
      </c>
      <c r="DM6">
        <f t="shared" si="118"/>
        <v>0.87613597330471571</v>
      </c>
      <c r="DN6">
        <f t="shared" si="119"/>
        <v>0.87768427363840673</v>
      </c>
      <c r="DO6">
        <f t="shared" si="120"/>
        <v>0.87921322021792669</v>
      </c>
      <c r="DP6">
        <f t="shared" si="121"/>
        <v>0.88072305496520265</v>
      </c>
      <c r="DQ6">
        <f t="shared" si="122"/>
        <v>0.8822140167781376</v>
      </c>
      <c r="DR6">
        <f t="shared" si="123"/>
        <v>0.88368634156841086</v>
      </c>
      <c r="DS6">
        <f t="shared" si="124"/>
        <v>0.88514026229880571</v>
      </c>
      <c r="DT6">
        <f t="shared" si="125"/>
        <v>0.88657600902007061</v>
      </c>
      <c r="DU6">
        <f t="shared" si="126"/>
        <v>0.88799380890731971</v>
      </c>
      <c r="DV6">
        <f t="shared" si="127"/>
        <v>0.88939388629597826</v>
      </c>
      <c r="DW6">
        <f t="shared" si="128"/>
        <v>0.89077646271727851</v>
      </c>
      <c r="DX6">
        <f t="shared" si="129"/>
        <v>0.89214175693331255</v>
      </c>
      <c r="DY6">
        <f t="shared" si="130"/>
        <v>0.89348998497164611</v>
      </c>
      <c r="DZ6">
        <f t="shared" si="131"/>
        <v>0.89482136015950053</v>
      </c>
      <c r="EA6">
        <f t="shared" si="132"/>
        <v>0.89613609315750675</v>
      </c>
      <c r="EB6">
        <f t="shared" si="133"/>
        <v>0.89743439199303787</v>
      </c>
      <c r="EC6">
        <f t="shared" si="134"/>
        <v>0.89871646209312495</v>
      </c>
      <c r="ED6">
        <f t="shared" si="135"/>
        <v>0.89998250631696086</v>
      </c>
      <c r="EE6">
        <f t="shared" si="136"/>
        <v>0.90123272498799889</v>
      </c>
      <c r="EF6">
        <f t="shared" si="137"/>
        <v>0.90246731592564888</v>
      </c>
      <c r="EG6">
        <f t="shared" si="138"/>
        <v>0.90368647447657824</v>
      </c>
      <c r="EH6">
        <f t="shared" si="139"/>
        <v>0.90489039354562106</v>
      </c>
      <c r="EI6">
        <f t="shared" si="140"/>
        <v>0.90607926362630076</v>
      </c>
      <c r="EJ6">
        <f t="shared" si="141"/>
        <v>0.90725327283097201</v>
      </c>
      <c r="EK6">
        <f t="shared" si="142"/>
        <v>0.9084126069205849</v>
      </c>
      <c r="EL6">
        <f t="shared" si="143"/>
        <v>0.90955744933407756</v>
      </c>
      <c r="EM6">
        <f t="shared" si="144"/>
        <v>0.91068798121740158</v>
      </c>
      <c r="EN6">
        <f t="shared" si="145"/>
        <v>0.91180438145218401</v>
      </c>
      <c r="EO6">
        <f t="shared" si="146"/>
        <v>0.91290682668403167</v>
      </c>
      <c r="EP6">
        <f t="shared" si="147"/>
        <v>0.9139954913504813</v>
      </c>
      <c r="EQ6">
        <f t="shared" si="148"/>
        <v>0.9150705477086003</v>
      </c>
      <c r="ER6">
        <f t="shared" si="149"/>
        <v>0.91613216586224278</v>
      </c>
      <c r="ES6">
        <f t="shared" si="150"/>
        <v>0.9171805137889647</v>
      </c>
      <c r="ET6">
        <f t="shared" si="151"/>
        <v>0.91821575736660266</v>
      </c>
      <c r="EU6">
        <f t="shared" si="152"/>
        <v>0.91923806039952016</v>
      </c>
      <c r="EV6">
        <f t="shared" si="153"/>
        <v>0.92024758464452616</v>
      </c>
      <c r="EW6">
        <f t="shared" si="154"/>
        <v>0.92124448983646956</v>
      </c>
      <c r="EX6">
        <f t="shared" si="155"/>
        <v>0.92222893371351367</v>
      </c>
      <c r="EY6">
        <f t="shared" si="156"/>
        <v>0.92320107204209478</v>
      </c>
      <c r="EZ6">
        <f t="shared" si="157"/>
        <v>0.92416105864156861</v>
      </c>
      <c r="FA6">
        <f t="shared" si="158"/>
        <v>0.92510904540854899</v>
      </c>
      <c r="FB6">
        <f t="shared" si="159"/>
        <v>0.92604518234094213</v>
      </c>
      <c r="FC6">
        <f t="shared" si="160"/>
        <v>0.92696961756168039</v>
      </c>
      <c r="FD6">
        <f t="shared" si="161"/>
        <v>0.92788249734215944</v>
      </c>
      <c r="FE6">
        <f t="shared" si="162"/>
        <v>0.9287839661253825</v>
      </c>
      <c r="FF6">
        <f t="shared" si="163"/>
        <v>0.92967416654881518</v>
      </c>
      <c r="FG6">
        <f t="shared" si="164"/>
        <v>0.93055323946695501</v>
      </c>
      <c r="FH6">
        <f t="shared" si="165"/>
        <v>0.9314213239736181</v>
      </c>
      <c r="FI6">
        <f t="shared" si="166"/>
        <v>0.93227855742394783</v>
      </c>
      <c r="FJ6">
        <f t="shared" si="167"/>
        <v>0.93312507545614853</v>
      </c>
      <c r="FK6">
        <f t="shared" si="168"/>
        <v>0.93396101201294668</v>
      </c>
      <c r="FL6">
        <f t="shared" si="169"/>
        <v>0.9347864993627848</v>
      </c>
      <c r="FM6">
        <f t="shared" si="170"/>
        <v>0.93560166812074996</v>
      </c>
      <c r="FN6">
        <f t="shared" si="171"/>
        <v>0.93640664726924061</v>
      </c>
      <c r="FO6">
        <f t="shared" si="172"/>
        <v>0.93720156417837508</v>
      </c>
      <c r="FP6">
        <f t="shared" si="173"/>
        <v>0.93798654462614539</v>
      </c>
      <c r="FQ6">
        <f t="shared" si="174"/>
        <v>0.93876171281831855</v>
      </c>
      <c r="FR6">
        <f t="shared" si="175"/>
        <v>0.9395271914080896</v>
      </c>
      <c r="FS6">
        <f t="shared" si="176"/>
        <v>0.94028310151548844</v>
      </c>
      <c r="FT6">
        <f t="shared" si="177"/>
        <v>0.94102956274654481</v>
      </c>
      <c r="FU6">
        <f t="shared" si="178"/>
        <v>0.94176669321221296</v>
      </c>
      <c r="FV6">
        <f t="shared" si="179"/>
        <v>0.94249460954706032</v>
      </c>
      <c r="FW6">
        <f t="shared" si="180"/>
        <v>0.94321342692772203</v>
      </c>
      <c r="FX6">
        <f t="shared" si="181"/>
        <v>0.94392325909112551</v>
      </c>
      <c r="FY6">
        <f t="shared" si="182"/>
        <v>0.94462421835248644</v>
      </c>
      <c r="FZ6">
        <f t="shared" si="183"/>
        <v>0.94531641562308033</v>
      </c>
      <c r="GA6">
        <f t="shared" si="184"/>
        <v>0.94599996042779178</v>
      </c>
      <c r="GB6">
        <f t="shared" si="185"/>
        <v>0.94667496092244441</v>
      </c>
      <c r="GC6">
        <f t="shared" si="186"/>
        <v>0.94734152391091386</v>
      </c>
      <c r="GD6">
        <f t="shared" si="187"/>
        <v>0.94799975486202748</v>
      </c>
      <c r="GE6">
        <f t="shared" si="188"/>
        <v>0.94864975792625217</v>
      </c>
      <c r="GF6">
        <f t="shared" si="189"/>
        <v>0.94929163595217403</v>
      </c>
      <c r="GG6">
        <f t="shared" si="190"/>
        <v>0.94992549050277186</v>
      </c>
      <c r="GH6">
        <f t="shared" si="191"/>
        <v>0.95055142187148722</v>
      </c>
      <c r="GI6">
        <f t="shared" si="192"/>
        <v>0.9511695290980936</v>
      </c>
      <c r="GJ6">
        <f t="shared" si="193"/>
        <v>0.95177990998436746</v>
      </c>
      <c r="GK6">
        <f t="shared" si="194"/>
        <v>0.95238266110956282</v>
      </c>
      <c r="GL6">
        <f t="shared" si="195"/>
        <v>0.95297787784569332</v>
      </c>
      <c r="GM6">
        <f t="shared" si="196"/>
        <v>0.9535656543726222</v>
      </c>
      <c r="GN6">
        <f t="shared" si="197"/>
        <v>0.95414608369296439</v>
      </c>
      <c r="GO6">
        <f t="shared" si="198"/>
        <v>0.95471925764680232</v>
      </c>
      <c r="GP6">
        <f t="shared" si="199"/>
        <v>0.95528526692621729</v>
      </c>
      <c r="GQ6">
        <f t="shared" si="200"/>
        <v>0.95584420108963952</v>
      </c>
      <c r="GR6">
        <f t="shared" si="201"/>
        <v>0.95639614857601907</v>
      </c>
      <c r="GS6">
        <f t="shared" si="202"/>
        <v>0.95694119671881883</v>
      </c>
      <c r="GT6">
        <f t="shared" si="203"/>
        <v>0.95747943175983363</v>
      </c>
      <c r="GU6">
        <f t="shared" si="204"/>
        <v>0.95801093886283573</v>
      </c>
      <c r="GV6">
        <f t="shared" si="205"/>
        <v>0.95853580212705025</v>
      </c>
      <c r="GW6">
        <f t="shared" si="206"/>
        <v>0.95905410460046214</v>
      </c>
      <c r="GX6">
        <f t="shared" si="207"/>
        <v>0.95956592829295639</v>
      </c>
      <c r="GY6">
        <f t="shared" si="208"/>
        <v>0.96007135418929446</v>
      </c>
      <c r="GZ6">
        <f t="shared" si="209"/>
        <v>0.96057046226192833</v>
      </c>
      <c r="HA6">
        <f t="shared" si="210"/>
        <v>0.96106333148365419</v>
      </c>
      <c r="HB6">
        <f t="shared" si="211"/>
        <v>0.96155003984010856</v>
      </c>
      <c r="HC6">
        <f t="shared" si="212"/>
        <v>0.96203066434210716</v>
      </c>
      <c r="HD6">
        <f t="shared" si="213"/>
        <v>0.96250528103783084</v>
      </c>
      <c r="HE6">
        <f t="shared" si="214"/>
        <v>0.96297396502485799</v>
      </c>
      <c r="HF6">
        <f t="shared" si="215"/>
        <v>0.96343679046204722</v>
      </c>
      <c r="HG6">
        <f t="shared" si="216"/>
        <v>0.96389383058127165</v>
      </c>
      <c r="HH6">
        <f t="shared" si="217"/>
        <v>0.96434515769900575</v>
      </c>
      <c r="HI6">
        <f t="shared" si="218"/>
        <v>0.9647908432277682</v>
      </c>
      <c r="HJ6">
        <f t="shared" si="219"/>
        <v>0.96523095768742107</v>
      </c>
      <c r="HK6">
        <f t="shared" si="220"/>
        <v>0.9656655707163283</v>
      </c>
      <c r="HL6">
        <f t="shared" si="221"/>
        <v>0.96609475108237419</v>
      </c>
      <c r="HM6">
        <f t="shared" si="222"/>
        <v>0.96651856669384451</v>
      </c>
      <c r="HN6">
        <f t="shared" si="223"/>
        <v>0.96693708461017147</v>
      </c>
      <c r="HO6">
        <f t="shared" si="224"/>
        <v>0.96735037105254429</v>
      </c>
      <c r="HP6">
        <f t="shared" si="225"/>
        <v>0.96775849141438752</v>
      </c>
      <c r="HQ6">
        <f t="shared" si="226"/>
        <v>0.96816151027170771</v>
      </c>
      <c r="HR6">
        <f t="shared" si="227"/>
        <v>0.96855949139331132</v>
      </c>
      <c r="HS6">
        <f t="shared" si="228"/>
        <v>0.96895249775089498</v>
      </c>
      <c r="HT6">
        <f t="shared" si="229"/>
        <v>0.96934059152900875</v>
      </c>
      <c r="HU6">
        <f t="shared" si="230"/>
        <v>0.96972383413489616</v>
      </c>
      <c r="HV6">
        <f t="shared" si="231"/>
        <v>0.97010228620820993</v>
      </c>
      <c r="HW6">
        <f t="shared" si="232"/>
        <v>0.97047600763060726</v>
      </c>
      <c r="HX6">
        <f t="shared" si="233"/>
        <v>0.97084505753522465</v>
      </c>
      <c r="HY6">
        <f t="shared" si="234"/>
        <v>0.97120949431603432</v>
      </c>
      <c r="HZ6">
        <f t="shared" si="235"/>
        <v>0.9715693756370839</v>
      </c>
      <c r="IA6">
        <f t="shared" si="236"/>
        <v>0.9719247584416203</v>
      </c>
      <c r="IB6">
        <f t="shared" si="237"/>
        <v>0.9722756989611</v>
      </c>
      <c r="IC6">
        <f t="shared" si="238"/>
        <v>0.9726222527240862</v>
      </c>
      <c r="ID6">
        <f t="shared" si="239"/>
        <v>0.9729644745650351</v>
      </c>
      <c r="IE6">
        <f t="shared" si="240"/>
        <v>0.97330241863297218</v>
      </c>
      <c r="IF6">
        <f t="shared" si="241"/>
        <v>0.97363613840006002</v>
      </c>
      <c r="IG6">
        <f t="shared" si="242"/>
        <v>0.97396568667005923</v>
      </c>
      <c r="IH6">
        <f t="shared" si="243"/>
        <v>0.97429111558668346</v>
      </c>
      <c r="II6">
        <f t="shared" si="244"/>
        <v>0.97461247664184991</v>
      </c>
      <c r="IJ6">
        <f t="shared" si="245"/>
        <v>0.97492982068382683</v>
      </c>
      <c r="IK6">
        <f t="shared" si="246"/>
        <v>0.97524319792527903</v>
      </c>
      <c r="IL6">
        <f t="shared" si="247"/>
        <v>0.97555265795121304</v>
      </c>
      <c r="IM6">
        <f t="shared" si="248"/>
        <v>0.97585824972682289</v>
      </c>
      <c r="IN6">
        <f t="shared" si="249"/>
        <v>0.97616002160523763</v>
      </c>
      <c r="IO6">
        <f t="shared" si="250"/>
        <v>0.97645802133517212</v>
      </c>
      <c r="IP6">
        <f t="shared" si="251"/>
        <v>0.97675229606848246</v>
      </c>
      <c r="IQ6">
        <f t="shared" si="252"/>
        <v>0.97704289236762643</v>
      </c>
      <c r="IR6">
        <f t="shared" si="253"/>
        <v>0.97732985621303115</v>
      </c>
      <c r="IS6">
        <f t="shared" si="254"/>
        <v>0.97761323301036829</v>
      </c>
      <c r="IT6">
        <f t="shared" si="255"/>
        <v>0.97789306759773864</v>
      </c>
      <c r="IU6">
        <f t="shared" si="256"/>
        <v>0.97816940425276688</v>
      </c>
      <c r="IV6">
        <f t="shared" si="257"/>
        <v>0.97844228669960731</v>
      </c>
    </row>
    <row r="7" spans="1:256" x14ac:dyDescent="0.2">
      <c r="A7" t="s">
        <v>477</v>
      </c>
      <c r="B7">
        <f>$B$109</f>
        <v>0.33300739288330078</v>
      </c>
      <c r="C7">
        <f t="shared" si="4"/>
        <v>0.32967811921896312</v>
      </c>
      <c r="D7">
        <f t="shared" si="5"/>
        <v>0.33439189338913494</v>
      </c>
      <c r="E7">
        <f t="shared" si="6"/>
        <v>0.33916804357347063</v>
      </c>
      <c r="F7">
        <f t="shared" si="7"/>
        <v>0.34400532417543317</v>
      </c>
      <c r="G7">
        <f t="shared" si="8"/>
        <v>0.34890268533155905</v>
      </c>
      <c r="H7">
        <f t="shared" si="9"/>
        <v>0.35385926537261075</v>
      </c>
      <c r="I7">
        <f t="shared" si="10"/>
        <v>0.35887438356127083</v>
      </c>
      <c r="J7">
        <f t="shared" si="11"/>
        <v>0.36394753309284389</v>
      </c>
      <c r="K7">
        <f t="shared" si="12"/>
        <v>0.36072634092302697</v>
      </c>
      <c r="L7">
        <f t="shared" si="13"/>
        <v>0.35755852360273005</v>
      </c>
      <c r="M7">
        <f t="shared" si="14"/>
        <v>0.35444276797525476</v>
      </c>
      <c r="N7">
        <f t="shared" si="15"/>
        <v>0.35137779169863426</v>
      </c>
      <c r="O7">
        <f t="shared" si="16"/>
        <v>0.34836234138149835</v>
      </c>
      <c r="P7">
        <f t="shared" si="17"/>
        <v>0.34539519090839005</v>
      </c>
      <c r="Q7">
        <f t="shared" si="18"/>
        <v>0.34247513994283457</v>
      </c>
      <c r="R7">
        <f t="shared" si="19"/>
        <v>0.33960101259644676</v>
      </c>
      <c r="S7">
        <f t="shared" si="20"/>
        <v>0.33677165625245215</v>
      </c>
      <c r="T7">
        <f t="shared" si="21"/>
        <v>0.33397440946410584</v>
      </c>
      <c r="U7">
        <f t="shared" si="22"/>
        <v>0.33120824926483622</v>
      </c>
      <c r="V7">
        <f t="shared" si="23"/>
        <v>0.32847219186722976</v>
      </c>
      <c r="W7">
        <f t="shared" si="24"/>
        <v>0.32576529122477577</v>
      </c>
      <c r="X7">
        <f t="shared" si="25"/>
        <v>0.32308663767568313</v>
      </c>
      <c r="Y7">
        <f t="shared" si="26"/>
        <v>0.32043535666223882</v>
      </c>
      <c r="Z7">
        <f t="shared" si="27"/>
        <v>0.31781060751957207</v>
      </c>
      <c r="AA7">
        <f t="shared" si="28"/>
        <v>0.31658518973057981</v>
      </c>
      <c r="AB7">
        <f t="shared" si="29"/>
        <v>0.31537927895160994</v>
      </c>
      <c r="AC7">
        <f t="shared" si="30"/>
        <v>0.31419198890279204</v>
      </c>
      <c r="AD7">
        <f t="shared" si="31"/>
        <v>0.313022466054586</v>
      </c>
      <c r="AE7">
        <f t="shared" si="32"/>
        <v>0.3118698874439445</v>
      </c>
      <c r="AF7">
        <f t="shared" si="33"/>
        <v>0.31073345870625352</v>
      </c>
      <c r="AG7">
        <f t="shared" si="34"/>
        <v>0.30961241230443382</v>
      </c>
      <c r="AH7">
        <f t="shared" si="35"/>
        <v>0.30850600593781241</v>
      </c>
      <c r="AI7">
        <f t="shared" si="36"/>
        <v>0.30925157704518991</v>
      </c>
      <c r="AJ7">
        <f t="shared" si="37"/>
        <v>0.31000292261480794</v>
      </c>
      <c r="AK7">
        <f t="shared" si="38"/>
        <v>0.31076014564862148</v>
      </c>
      <c r="AL7">
        <f t="shared" si="39"/>
        <v>0.31152337348132364</v>
      </c>
      <c r="AM7">
        <f t="shared" si="40"/>
        <v>0.31229275625650654</v>
      </c>
      <c r="AN7">
        <f t="shared" si="41"/>
        <v>0.31306846547422118</v>
      </c>
      <c r="AO7">
        <f t="shared" si="42"/>
        <v>0.31385069260936321</v>
      </c>
      <c r="AP7">
        <f t="shared" si="43"/>
        <v>0.31463964780017478</v>
      </c>
      <c r="AQ7">
        <f t="shared" si="44"/>
        <v>0.32016446500938517</v>
      </c>
      <c r="AR7">
        <f t="shared" si="45"/>
        <v>0.3258069622451879</v>
      </c>
      <c r="AS7">
        <f t="shared" si="46"/>
        <v>0.33156591047557843</v>
      </c>
      <c r="AT7">
        <f t="shared" si="47"/>
        <v>0.33744010873828945</v>
      </c>
      <c r="AU7">
        <f t="shared" si="48"/>
        <v>0.34342838405789289</v>
      </c>
      <c r="AV7">
        <f t="shared" si="49"/>
        <v>0.3495295914192223</v>
      </c>
      <c r="AW7">
        <f t="shared" si="50"/>
        <v>0.35574261378531113</v>
      </c>
      <c r="AX7">
        <f t="shared" si="51"/>
        <v>0.36206636214995702</v>
      </c>
      <c r="AY7">
        <f t="shared" si="52"/>
        <v>0.36579537245956567</v>
      </c>
      <c r="AZ7">
        <f t="shared" si="53"/>
        <v>0.36957767949247639</v>
      </c>
      <c r="BA7">
        <f t="shared" si="54"/>
        <v>0.37342204574450866</v>
      </c>
      <c r="BB7">
        <f t="shared" si="55"/>
        <v>0.37733770325802807</v>
      </c>
      <c r="BC7">
        <f t="shared" si="56"/>
        <v>0.38133440136188479</v>
      </c>
      <c r="BD7">
        <f t="shared" si="57"/>
        <v>0.38542245991076318</v>
      </c>
      <c r="BE7">
        <f t="shared" si="58"/>
        <v>0.3896128287046014</v>
      </c>
      <c r="BF7">
        <f t="shared" si="59"/>
        <v>0.39391715387372556</v>
      </c>
      <c r="BG7">
        <f t="shared" si="60"/>
        <v>0.39834785213755247</v>
      </c>
      <c r="BH7">
        <f t="shared" si="61"/>
        <v>0.40291819398741868</v>
      </c>
      <c r="BI7">
        <f t="shared" si="62"/>
        <v>0.4076423970112254</v>
      </c>
      <c r="BJ7">
        <f t="shared" si="63"/>
        <v>0.41253380805380313</v>
      </c>
      <c r="BK7">
        <f t="shared" si="64"/>
        <v>0.41760262040984941</v>
      </c>
      <c r="BL7">
        <f t="shared" si="65"/>
        <v>0.42285970015513086</v>
      </c>
      <c r="BM7">
        <f t="shared" si="66"/>
        <v>0.42831663680100102</v>
      </c>
      <c r="BN7">
        <f t="shared" si="67"/>
        <v>0.43398579071717119</v>
      </c>
      <c r="BO7">
        <f t="shared" si="68"/>
        <v>0.43987639930670669</v>
      </c>
      <c r="BP7">
        <f t="shared" si="69"/>
        <v>0.44599226738663639</v>
      </c>
      <c r="BQ7">
        <f t="shared" si="70"/>
        <v>0.45233729816875856</v>
      </c>
      <c r="BR7">
        <f t="shared" si="71"/>
        <v>0.4589154931456314</v>
      </c>
      <c r="BS7">
        <f t="shared" si="72"/>
        <v>0.465679049481311</v>
      </c>
      <c r="BT7">
        <f t="shared" si="73"/>
        <v>0.47235806136279462</v>
      </c>
      <c r="BU7">
        <f t="shared" si="74"/>
        <v>0.47895358559575968</v>
      </c>
      <c r="BV7">
        <f t="shared" si="75"/>
        <v>0.48546666577581266</v>
      </c>
      <c r="BW7">
        <f t="shared" si="76"/>
        <v>0.49189833245361497</v>
      </c>
      <c r="BX7">
        <f t="shared" si="77"/>
        <v>0.49824960329794477</v>
      </c>
      <c r="BY7">
        <f t="shared" si="78"/>
        <v>0.50452148325672042</v>
      </c>
      <c r="BZ7">
        <f t="shared" si="79"/>
        <v>0.51071496471601141</v>
      </c>
      <c r="CA7">
        <f t="shared" si="80"/>
        <v>0.51683102765706124</v>
      </c>
      <c r="CB7">
        <f t="shared" si="81"/>
        <v>0.52287063981134796</v>
      </c>
      <c r="CC7">
        <f t="shared" si="82"/>
        <v>0.52883475681370606</v>
      </c>
      <c r="CD7">
        <f t="shared" si="83"/>
        <v>0.53472432235353473</v>
      </c>
      <c r="CE7">
        <f t="shared" si="84"/>
        <v>0.5405402683241155</v>
      </c>
      <c r="CF7">
        <f t="shared" si="85"/>
        <v>0.54628351497006411</v>
      </c>
      <c r="CG7">
        <f t="shared" si="86"/>
        <v>0.55195497103293834</v>
      </c>
      <c r="CH7">
        <f t="shared" si="87"/>
        <v>0.55755553389502666</v>
      </c>
      <c r="CI7">
        <f t="shared" si="88"/>
        <v>0.56308608972133878</v>
      </c>
      <c r="CJ7">
        <f t="shared" si="89"/>
        <v>0.56854751359982203</v>
      </c>
      <c r="CK7">
        <f t="shared" si="90"/>
        <v>0.57394066967982427</v>
      </c>
      <c r="CL7">
        <f t="shared" si="91"/>
        <v>0.5792664113088265</v>
      </c>
      <c r="CM7">
        <f t="shared" si="92"/>
        <v>0.58452558116746622</v>
      </c>
      <c r="CN7">
        <f t="shared" si="93"/>
        <v>0.58971901140287286</v>
      </c>
      <c r="CO7">
        <f t="shared" si="94"/>
        <v>0.594847523760337</v>
      </c>
      <c r="CP7">
        <f t="shared" si="95"/>
        <v>0.59991192971333285</v>
      </c>
      <c r="CQ7">
        <f t="shared" si="96"/>
        <v>0.60491303059191615</v>
      </c>
      <c r="CR7">
        <f t="shared" si="97"/>
        <v>0.60985161770951724</v>
      </c>
      <c r="CS7">
        <f t="shared" si="98"/>
        <v>0.61472847248814833</v>
      </c>
      <c r="CT7">
        <f t="shared" si="99"/>
        <v>0.61954436658204648</v>
      </c>
      <c r="CU7">
        <f t="shared" si="100"/>
        <v>0.62430006199977095</v>
      </c>
      <c r="CV7">
        <f t="shared" si="101"/>
        <v>0.62899631122477384</v>
      </c>
      <c r="CW7">
        <f t="shared" si="102"/>
        <v>0.6336338573344642</v>
      </c>
      <c r="CX7">
        <f t="shared" si="103"/>
        <v>0.63821343411778342</v>
      </c>
      <c r="CY7">
        <f t="shared" si="104"/>
        <v>0.64273576619131112</v>
      </c>
      <c r="CZ7">
        <f t="shared" si="105"/>
        <v>0.64720156911391968</v>
      </c>
      <c r="DA7">
        <f t="shared" si="106"/>
        <v>0.65161154949999567</v>
      </c>
      <c r="DB7">
        <f t="shared" si="107"/>
        <v>0.65596640513124571</v>
      </c>
      <c r="DC7">
        <f t="shared" si="108"/>
        <v>0.6602668250671051</v>
      </c>
      <c r="DD7">
        <f t="shared" si="109"/>
        <v>0.66451348975376634</v>
      </c>
      <c r="DE7">
        <f t="shared" si="110"/>
        <v>0.66870707113184424</v>
      </c>
      <c r="DF7">
        <f t="shared" si="111"/>
        <v>0.67284823274269623</v>
      </c>
      <c r="DG7">
        <f t="shared" si="112"/>
        <v>0.67693762983341255</v>
      </c>
      <c r="DH7">
        <f t="shared" si="113"/>
        <v>0.68097590946049491</v>
      </c>
      <c r="DI7">
        <f t="shared" si="114"/>
        <v>0.68496371059223871</v>
      </c>
      <c r="DJ7">
        <f t="shared" si="115"/>
        <v>0.68890166420983567</v>
      </c>
      <c r="DK7">
        <f t="shared" si="116"/>
        <v>0.69279039340721271</v>
      </c>
      <c r="DL7">
        <f t="shared" si="117"/>
        <v>0.69663051348962257</v>
      </c>
      <c r="DM7">
        <f t="shared" si="118"/>
        <v>0.7004226320710023</v>
      </c>
      <c r="DN7">
        <f t="shared" si="119"/>
        <v>0.70416734917011481</v>
      </c>
      <c r="DO7">
        <f t="shared" si="120"/>
        <v>0.70786525730548833</v>
      </c>
      <c r="DP7">
        <f t="shared" si="121"/>
        <v>0.71151694158916967</v>
      </c>
      <c r="DQ7">
        <f t="shared" si="122"/>
        <v>0.71512297981930506</v>
      </c>
      <c r="DR7">
        <f t="shared" si="123"/>
        <v>0.71868394257156376</v>
      </c>
      <c r="DS7">
        <f t="shared" si="124"/>
        <v>0.72220039328941921</v>
      </c>
      <c r="DT7">
        <f t="shared" si="125"/>
        <v>0.72567288837330146</v>
      </c>
      <c r="DU7">
        <f t="shared" si="126"/>
        <v>0.72910197726863524</v>
      </c>
      <c r="DV7">
        <f t="shared" si="127"/>
        <v>0.73248820255277725</v>
      </c>
      <c r="DW7">
        <f t="shared" si="128"/>
        <v>0.73583210002086752</v>
      </c>
      <c r="DX7">
        <f t="shared" si="129"/>
        <v>0.73913419877060671</v>
      </c>
      <c r="DY7">
        <f t="shared" si="130"/>
        <v>0.74239502128597412</v>
      </c>
      <c r="DZ7">
        <f t="shared" si="131"/>
        <v>0.74561508351989947</v>
      </c>
      <c r="EA7">
        <f t="shared" si="132"/>
        <v>0.74879489497590068</v>
      </c>
      <c r="EB7">
        <f t="shared" si="133"/>
        <v>0.75193495878870187</v>
      </c>
      <c r="EC7">
        <f t="shared" si="134"/>
        <v>0.75503577180384307</v>
      </c>
      <c r="ED7">
        <f t="shared" si="135"/>
        <v>0.75809782465629505</v>
      </c>
      <c r="EE7">
        <f t="shared" si="136"/>
        <v>0.76112160184809141</v>
      </c>
      <c r="EF7">
        <f t="shared" si="137"/>
        <v>0.76410758182499028</v>
      </c>
      <c r="EG7">
        <f t="shared" si="138"/>
        <v>0.76705623705217785</v>
      </c>
      <c r="EH7">
        <f t="shared" si="139"/>
        <v>0.76996803408902559</v>
      </c>
      <c r="EI7">
        <f t="shared" si="140"/>
        <v>0.77284343366291275</v>
      </c>
      <c r="EJ7">
        <f t="shared" si="141"/>
        <v>0.77568289074212637</v>
      </c>
      <c r="EK7">
        <f t="shared" si="142"/>
        <v>0.77848685460784983</v>
      </c>
      <c r="EL7">
        <f t="shared" si="143"/>
        <v>0.78125576892525173</v>
      </c>
      <c r="EM7">
        <f t="shared" si="144"/>
        <v>0.78399007181368607</v>
      </c>
      <c r="EN7">
        <f t="shared" si="145"/>
        <v>0.78669019591601497</v>
      </c>
      <c r="EO7">
        <f t="shared" si="146"/>
        <v>0.78935656846706481</v>
      </c>
      <c r="EP7">
        <f t="shared" si="147"/>
        <v>0.79198961136122648</v>
      </c>
      <c r="EQ7">
        <f t="shared" si="148"/>
        <v>0.79458974121921111</v>
      </c>
      <c r="ER7">
        <f t="shared" si="149"/>
        <v>0.79715736945397098</v>
      </c>
      <c r="ES7">
        <f t="shared" si="150"/>
        <v>0.79969290233579637</v>
      </c>
      <c r="ET7">
        <f t="shared" si="151"/>
        <v>0.80219674105659888</v>
      </c>
      <c r="EU7">
        <f t="shared" si="152"/>
        <v>0.80466928179339137</v>
      </c>
      <c r="EV7">
        <f t="shared" si="153"/>
        <v>0.80711091577097394</v>
      </c>
      <c r="EW7">
        <f t="shared" si="154"/>
        <v>0.80952202932383677</v>
      </c>
      <c r="EX7">
        <f t="shared" si="155"/>
        <v>0.81190300395728876</v>
      </c>
      <c r="EY7">
        <f t="shared" si="156"/>
        <v>0.8142542164078227</v>
      </c>
      <c r="EZ7">
        <f t="shared" si="157"/>
        <v>0.81657603870272488</v>
      </c>
      <c r="FA7">
        <f t="shared" si="158"/>
        <v>0.81886883821894085</v>
      </c>
      <c r="FB7">
        <f t="shared" si="159"/>
        <v>0.82113297774120408</v>
      </c>
      <c r="FC7">
        <f t="shared" si="160"/>
        <v>0.82336881551943908</v>
      </c>
      <c r="FD7">
        <f t="shared" si="161"/>
        <v>0.82557670532544614</v>
      </c>
      <c r="FE7">
        <f t="shared" si="162"/>
        <v>0.82775699650887802</v>
      </c>
      <c r="FF7">
        <f t="shared" si="163"/>
        <v>0.82991003405251706</v>
      </c>
      <c r="FG7">
        <f t="shared" si="164"/>
        <v>0.83203615862686064</v>
      </c>
      <c r="FH7">
        <f t="shared" si="165"/>
        <v>0.83413570664402492</v>
      </c>
      <c r="FI7">
        <f t="shared" si="166"/>
        <v>0.83620901031097461</v>
      </c>
      <c r="FJ7">
        <f t="shared" si="167"/>
        <v>0.83825639768208737</v>
      </c>
      <c r="FK7">
        <f t="shared" si="168"/>
        <v>0.8402781927110613</v>
      </c>
      <c r="FL7">
        <f t="shared" si="169"/>
        <v>0.84227471530217302</v>
      </c>
      <c r="FM7">
        <f t="shared" si="170"/>
        <v>0.84424628136089586</v>
      </c>
      <c r="FN7">
        <f t="shared" si="171"/>
        <v>0.84619320284388466</v>
      </c>
      <c r="FO7">
        <f t="shared" si="172"/>
        <v>0.84811578780833607</v>
      </c>
      <c r="FP7">
        <f t="shared" si="173"/>
        <v>0.85001434046073188</v>
      </c>
      <c r="FQ7">
        <f t="shared" si="174"/>
        <v>0.85188916120497271</v>
      </c>
      <c r="FR7">
        <f t="shared" si="175"/>
        <v>0.85374054668991051</v>
      </c>
      <c r="FS7">
        <f t="shared" si="176"/>
        <v>0.85556878985628659</v>
      </c>
      <c r="FT7">
        <f t="shared" si="177"/>
        <v>0.85737417998308296</v>
      </c>
      <c r="FU7">
        <f t="shared" si="178"/>
        <v>0.85915700273329443</v>
      </c>
      <c r="FV7">
        <f t="shared" si="179"/>
        <v>0.86091754019912825</v>
      </c>
      <c r="FW7">
        <f t="shared" si="180"/>
        <v>0.8626560709466391</v>
      </c>
      <c r="FX7">
        <f t="shared" si="181"/>
        <v>0.86437287005980612</v>
      </c>
      <c r="FY7">
        <f t="shared" si="182"/>
        <v>0.86606820918405858</v>
      </c>
      <c r="FZ7">
        <f t="shared" si="183"/>
        <v>0.8677423565692578</v>
      </c>
      <c r="GA7">
        <f t="shared" si="184"/>
        <v>0.8693955771121421</v>
      </c>
      <c r="GB7">
        <f t="shared" si="185"/>
        <v>0.87102813239824028</v>
      </c>
      <c r="GC7">
        <f t="shared" si="186"/>
        <v>0.87264028074326228</v>
      </c>
      <c r="GD7">
        <f t="shared" si="187"/>
        <v>0.87423227723397146</v>
      </c>
      <c r="GE7">
        <f t="shared" si="188"/>
        <v>0.87580437376854681</v>
      </c>
      <c r="GF7">
        <f t="shared" si="189"/>
        <v>0.87735681909643992</v>
      </c>
      <c r="GG7">
        <f t="shared" si="190"/>
        <v>0.87888985885773441</v>
      </c>
      <c r="GH7">
        <f t="shared" si="191"/>
        <v>0.88040373562201268</v>
      </c>
      <c r="GI7">
        <f t="shared" si="192"/>
        <v>0.88189868892673751</v>
      </c>
      <c r="GJ7">
        <f t="shared" si="193"/>
        <v>0.88337495531515331</v>
      </c>
      <c r="GK7">
        <f t="shared" si="194"/>
        <v>0.88483276837371394</v>
      </c>
      <c r="GL7">
        <f t="shared" si="195"/>
        <v>0.88627235876904253</v>
      </c>
      <c r="GM7">
        <f t="shared" si="196"/>
        <v>0.88769395428442954</v>
      </c>
      <c r="GN7">
        <f t="shared" si="197"/>
        <v>0.88909777985587413</v>
      </c>
      <c r="GO7">
        <f t="shared" si="198"/>
        <v>0.89048405760767568</v>
      </c>
      <c r="GP7">
        <f t="shared" si="199"/>
        <v>0.89185300688757974</v>
      </c>
      <c r="GQ7">
        <f t="shared" si="200"/>
        <v>0.89320484430148495</v>
      </c>
      <c r="GR7">
        <f t="shared" si="201"/>
        <v>0.89453978374771637</v>
      </c>
      <c r="GS7">
        <f t="shared" si="202"/>
        <v>0.89585803645086992</v>
      </c>
      <c r="GT7">
        <f t="shared" si="203"/>
        <v>0.89715981099523401</v>
      </c>
      <c r="GU7">
        <f t="shared" si="204"/>
        <v>0.89844531335779354</v>
      </c>
      <c r="GV7">
        <f t="shared" si="205"/>
        <v>0.8997147469408211</v>
      </c>
      <c r="GW7">
        <f t="shared" si="206"/>
        <v>0.90096831260406085</v>
      </c>
      <c r="GX7">
        <f t="shared" si="207"/>
        <v>0.90220620869651014</v>
      </c>
      <c r="GY7">
        <f t="shared" si="208"/>
        <v>0.9034286310878038</v>
      </c>
      <c r="GZ7">
        <f t="shared" si="209"/>
        <v>0.90463577319920629</v>
      </c>
      <c r="HA7">
        <f t="shared" si="210"/>
        <v>0.90582782603421619</v>
      </c>
      <c r="HB7">
        <f t="shared" si="211"/>
        <v>0.90700497820878845</v>
      </c>
      <c r="HC7">
        <f t="shared" si="212"/>
        <v>0.90816741598117856</v>
      </c>
      <c r="HD7">
        <f t="shared" si="213"/>
        <v>0.90931532328141385</v>
      </c>
      <c r="HE7">
        <f t="shared" si="214"/>
        <v>0.91044888174039618</v>
      </c>
      <c r="HF7">
        <f t="shared" si="215"/>
        <v>0.91156827071864122</v>
      </c>
      <c r="HG7">
        <f t="shared" si="216"/>
        <v>0.91267366733465816</v>
      </c>
      <c r="HH7">
        <f t="shared" si="217"/>
        <v>0.91376524649297497</v>
      </c>
      <c r="HI7">
        <f t="shared" si="218"/>
        <v>0.91484318091181283</v>
      </c>
      <c r="HJ7">
        <f t="shared" si="219"/>
        <v>0.91590764115041512</v>
      </c>
      <c r="HK7">
        <f t="shared" si="220"/>
        <v>0.91695879563603488</v>
      </c>
      <c r="HL7">
        <f t="shared" si="221"/>
        <v>0.91799681069058447</v>
      </c>
      <c r="HM7">
        <f t="shared" si="222"/>
        <v>0.91902185055695218</v>
      </c>
      <c r="HN7">
        <f t="shared" si="223"/>
        <v>0.92003407742499033</v>
      </c>
      <c r="HO7">
        <f t="shared" si="224"/>
        <v>0.92103365145717797</v>
      </c>
      <c r="HP7">
        <f t="shared" si="225"/>
        <v>0.9220207308139633</v>
      </c>
      <c r="HQ7">
        <f t="shared" si="226"/>
        <v>0.9229954716787887</v>
      </c>
      <c r="HR7">
        <f t="shared" si="227"/>
        <v>0.92395802828280382</v>
      </c>
      <c r="HS7">
        <f t="shared" si="228"/>
        <v>0.92490855292926877</v>
      </c>
      <c r="HT7">
        <f t="shared" si="229"/>
        <v>0.92584719601765286</v>
      </c>
      <c r="HU7">
        <f t="shared" si="230"/>
        <v>0.92677410606743216</v>
      </c>
      <c r="HV7">
        <f t="shared" si="231"/>
        <v>0.9276894297415893</v>
      </c>
      <c r="HW7">
        <f t="shared" si="232"/>
        <v>0.92859331186981942</v>
      </c>
      <c r="HX7">
        <f t="shared" si="233"/>
        <v>0.92948589547144667</v>
      </c>
      <c r="HY7">
        <f t="shared" si="234"/>
        <v>0.93036732177805359</v>
      </c>
      <c r="HZ7">
        <f t="shared" si="235"/>
        <v>0.9312377302558279</v>
      </c>
      <c r="IA7">
        <f t="shared" si="236"/>
        <v>0.93209725862763004</v>
      </c>
      <c r="IB7">
        <f t="shared" si="237"/>
        <v>0.93294604289478467</v>
      </c>
      <c r="IC7">
        <f t="shared" si="238"/>
        <v>0.93378421735859984</v>
      </c>
      <c r="ID7">
        <f t="shared" si="239"/>
        <v>0.9346119146416173</v>
      </c>
      <c r="IE7">
        <f t="shared" si="240"/>
        <v>0.93542926570859708</v>
      </c>
      <c r="IF7">
        <f t="shared" si="241"/>
        <v>0.93623639988723961</v>
      </c>
      <c r="IG7">
        <f t="shared" si="242"/>
        <v>0.93703344488864915</v>
      </c>
      <c r="IH7">
        <f t="shared" si="243"/>
        <v>0.93782052682754102</v>
      </c>
      <c r="II7">
        <f t="shared" si="244"/>
        <v>0.93859777024219682</v>
      </c>
      <c r="IJ7">
        <f t="shared" si="245"/>
        <v>0.93936529811416936</v>
      </c>
      <c r="IK7">
        <f t="shared" si="246"/>
        <v>0.94012323188774227</v>
      </c>
      <c r="IL7">
        <f t="shared" si="247"/>
        <v>0.94087169148914551</v>
      </c>
      <c r="IM7">
        <f t="shared" si="248"/>
        <v>0.94161079534553116</v>
      </c>
      <c r="IN7">
        <f t="shared" si="249"/>
        <v>0.942340660403712</v>
      </c>
      <c r="IO7">
        <f t="shared" si="250"/>
        <v>0.94306140214866563</v>
      </c>
      <c r="IP7">
        <f t="shared" si="251"/>
        <v>0.94377313462180734</v>
      </c>
      <c r="IQ7">
        <f t="shared" si="252"/>
        <v>0.94447597043903475</v>
      </c>
      <c r="IR7">
        <f t="shared" si="253"/>
        <v>0.94517002080854684</v>
      </c>
      <c r="IS7">
        <f t="shared" si="254"/>
        <v>0.94585539554844</v>
      </c>
      <c r="IT7">
        <f t="shared" si="255"/>
        <v>0.94653220310408448</v>
      </c>
      <c r="IU7">
        <f t="shared" si="256"/>
        <v>0.94720055056528341</v>
      </c>
      <c r="IV7">
        <f t="shared" si="257"/>
        <v>0.94786054368321737</v>
      </c>
    </row>
    <row r="8" spans="1:256" x14ac:dyDescent="0.2">
      <c r="A8" t="s">
        <v>478</v>
      </c>
      <c r="B8">
        <f>$B$110</f>
        <v>0.7371634674072266</v>
      </c>
      <c r="C8">
        <f t="shared" si="4"/>
        <v>0.73256815138974007</v>
      </c>
      <c r="D8">
        <f t="shared" si="5"/>
        <v>0.72803027682247212</v>
      </c>
      <c r="E8">
        <f t="shared" si="6"/>
        <v>0.72354912568729512</v>
      </c>
      <c r="F8">
        <f t="shared" si="7"/>
        <v>0.7191239889413078</v>
      </c>
      <c r="G8">
        <f t="shared" si="8"/>
        <v>0.71475416640464529</v>
      </c>
      <c r="H8">
        <f t="shared" si="9"/>
        <v>0.71043896664969108</v>
      </c>
      <c r="I8">
        <f t="shared" si="10"/>
        <v>0.70617770689167381</v>
      </c>
      <c r="J8">
        <f t="shared" si="11"/>
        <v>0.7019697128806317</v>
      </c>
      <c r="K8">
        <f t="shared" si="12"/>
        <v>0.69444509146962385</v>
      </c>
      <c r="L8">
        <f t="shared" si="13"/>
        <v>0.68701452782625361</v>
      </c>
      <c r="M8">
        <f t="shared" si="14"/>
        <v>0.67967684622842539</v>
      </c>
      <c r="N8">
        <f t="shared" si="15"/>
        <v>0.67243088565057008</v>
      </c>
      <c r="O8">
        <f t="shared" si="16"/>
        <v>0.66527549957993792</v>
      </c>
      <c r="P8">
        <f t="shared" si="17"/>
        <v>0.6582095558351887</v>
      </c>
      <c r="Q8">
        <f t="shared" si="18"/>
        <v>0.65123193638724886</v>
      </c>
      <c r="R8">
        <f t="shared" si="19"/>
        <v>0.64434153718240827</v>
      </c>
      <c r="S8">
        <f t="shared" si="20"/>
        <v>0.63753726796762822</v>
      </c>
      <c r="T8">
        <f t="shared" si="21"/>
        <v>0.63081805211803288</v>
      </c>
      <c r="U8">
        <f t="shared" si="22"/>
        <v>0.62418282646655743</v>
      </c>
      <c r="V8">
        <f t="shared" si="23"/>
        <v>0.61763054113572546</v>
      </c>
      <c r="W8">
        <f t="shared" si="24"/>
        <v>0.6111601593715289</v>
      </c>
      <c r="X8">
        <f t="shared" si="25"/>
        <v>0.60477065737938474</v>
      </c>
      <c r="Y8">
        <f t="shared" si="26"/>
        <v>0.59846102416214242</v>
      </c>
      <c r="Z8">
        <f t="shared" si="27"/>
        <v>0.59223026136011558</v>
      </c>
      <c r="AA8">
        <f t="shared" si="28"/>
        <v>0.58732738309311416</v>
      </c>
      <c r="AB8">
        <f t="shared" si="29"/>
        <v>0.58248579080445029</v>
      </c>
      <c r="AC8">
        <f t="shared" si="30"/>
        <v>0.57770471841939464</v>
      </c>
      <c r="AD8">
        <f t="shared" si="31"/>
        <v>0.57298340943915216</v>
      </c>
      <c r="AE8">
        <f t="shared" si="32"/>
        <v>0.56832111682116271</v>
      </c>
      <c r="AF8">
        <f t="shared" si="33"/>
        <v>0.56371710286089816</v>
      </c>
      <c r="AG8">
        <f t="shared" si="34"/>
        <v>0.55917063907513698</v>
      </c>
      <c r="AH8">
        <f t="shared" si="35"/>
        <v>0.55468100608669779</v>
      </c>
      <c r="AI8">
        <f t="shared" si="36"/>
        <v>0.55696203685320445</v>
      </c>
      <c r="AJ8">
        <f t="shared" si="37"/>
        <v>0.55921455473512971</v>
      </c>
      <c r="AK8">
        <f t="shared" si="38"/>
        <v>0.56143891614353092</v>
      </c>
      <c r="AL8">
        <f t="shared" si="39"/>
        <v>0.56363547303432715</v>
      </c>
      <c r="AM8">
        <f t="shared" si="40"/>
        <v>0.56580457296398834</v>
      </c>
      <c r="AN8">
        <f t="shared" si="41"/>
        <v>0.56794655914452885</v>
      </c>
      <c r="AO8">
        <f t="shared" si="42"/>
        <v>0.57006177049781259</v>
      </c>
      <c r="AP8">
        <f t="shared" si="43"/>
        <v>0.57215054170918023</v>
      </c>
      <c r="AQ8">
        <f t="shared" si="44"/>
        <v>0.57348770431462759</v>
      </c>
      <c r="AR8">
        <f t="shared" si="45"/>
        <v>0.57480815238750693</v>
      </c>
      <c r="AS8">
        <f t="shared" si="46"/>
        <v>0.57611209485947523</v>
      </c>
      <c r="AT8">
        <f t="shared" si="47"/>
        <v>0.5773997380505439</v>
      </c>
      <c r="AU8">
        <f t="shared" si="48"/>
        <v>0.57867128570172421</v>
      </c>
      <c r="AV8">
        <f t="shared" si="49"/>
        <v>0.57992693900726477</v>
      </c>
      <c r="AW8">
        <f t="shared" si="50"/>
        <v>0.58116689664648613</v>
      </c>
      <c r="AX8">
        <f t="shared" si="51"/>
        <v>0.5823913548152172</v>
      </c>
      <c r="AY8">
        <f t="shared" si="52"/>
        <v>0.58761146255700714</v>
      </c>
      <c r="AZ8">
        <f t="shared" si="53"/>
        <v>0.5927663189520247</v>
      </c>
      <c r="BA8">
        <f t="shared" si="54"/>
        <v>0.59785673964210451</v>
      </c>
      <c r="BB8">
        <f t="shared" si="55"/>
        <v>0.60288353007355833</v>
      </c>
      <c r="BC8">
        <f t="shared" si="56"/>
        <v>0.60784748562461899</v>
      </c>
      <c r="BD8">
        <f t="shared" si="57"/>
        <v>0.61274939173129139</v>
      </c>
      <c r="BE8">
        <f t="shared" si="58"/>
        <v>0.61759002401163032</v>
      </c>
      <c r="BF8">
        <f t="shared" si="59"/>
        <v>0.62237014838846505</v>
      </c>
      <c r="BG8">
        <f t="shared" si="60"/>
        <v>0.62709052121058939</v>
      </c>
      <c r="BH8">
        <f t="shared" si="61"/>
        <v>0.63175188937243709</v>
      </c>
      <c r="BI8">
        <f t="shared" si="62"/>
        <v>0.63635499043226174</v>
      </c>
      <c r="BJ8">
        <f t="shared" si="63"/>
        <v>0.64090055272883861</v>
      </c>
      <c r="BK8">
        <f t="shared" si="64"/>
        <v>0.6453892954967082</v>
      </c>
      <c r="BL8">
        <f t="shared" si="65"/>
        <v>0.64982192897997948</v>
      </c>
      <c r="BM8">
        <f t="shared" si="66"/>
        <v>0.65419915454470989</v>
      </c>
      <c r="BN8">
        <f t="shared" si="67"/>
        <v>0.65852166478988117</v>
      </c>
      <c r="BO8">
        <f t="shared" si="68"/>
        <v>0.66279014365698774</v>
      </c>
      <c r="BP8">
        <f t="shared" si="69"/>
        <v>0.66700526653825554</v>
      </c>
      <c r="BQ8">
        <f t="shared" si="70"/>
        <v>0.67116770038350748</v>
      </c>
      <c r="BR8">
        <f t="shared" si="71"/>
        <v>0.67527810380569375</v>
      </c>
      <c r="BS8">
        <f t="shared" si="72"/>
        <v>0.67933712718510264</v>
      </c>
      <c r="BT8">
        <f t="shared" si="73"/>
        <v>0.68334541277226901</v>
      </c>
      <c r="BU8">
        <f t="shared" si="74"/>
        <v>0.6873035947895958</v>
      </c>
      <c r="BV8">
        <f t="shared" si="75"/>
        <v>0.69121229953170593</v>
      </c>
      <c r="BW8">
        <f t="shared" si="76"/>
        <v>0.69507214546453977</v>
      </c>
      <c r="BX8">
        <f t="shared" si="77"/>
        <v>0.69888374332321312</v>
      </c>
      <c r="BY8">
        <f t="shared" si="78"/>
        <v>0.70264769620865308</v>
      </c>
      <c r="BZ8">
        <f t="shared" si="79"/>
        <v>0.70636459968302501</v>
      </c>
      <c r="CA8">
        <f t="shared" si="80"/>
        <v>0.71003504186396726</v>
      </c>
      <c r="CB8">
        <f t="shared" si="81"/>
        <v>0.71365960351764779</v>
      </c>
      <c r="CC8">
        <f t="shared" si="82"/>
        <v>0.71723885815065735</v>
      </c>
      <c r="CD8">
        <f t="shared" si="83"/>
        <v>0.72077337210075421</v>
      </c>
      <c r="CE8">
        <f t="shared" si="84"/>
        <v>0.72426370462647494</v>
      </c>
      <c r="CF8">
        <f t="shared" si="85"/>
        <v>0.72771040799562414</v>
      </c>
      <c r="CG8">
        <f t="shared" si="86"/>
        <v>0.73111402757265898</v>
      </c>
      <c r="CH8">
        <f t="shared" si="87"/>
        <v>0.73447510190498089</v>
      </c>
      <c r="CI8">
        <f t="shared" si="88"/>
        <v>0.73779416280814869</v>
      </c>
      <c r="CJ8">
        <f t="shared" si="89"/>
        <v>0.74107173545002691</v>
      </c>
      <c r="CK8">
        <f t="shared" si="90"/>
        <v>0.74430833843388167</v>
      </c>
      <c r="CL8">
        <f t="shared" si="91"/>
        <v>0.74750448388043822</v>
      </c>
      <c r="CM8">
        <f t="shared" si="92"/>
        <v>0.75066067750891285</v>
      </c>
      <c r="CN8">
        <f t="shared" si="93"/>
        <v>0.75377741871703152</v>
      </c>
      <c r="CO8">
        <f t="shared" si="94"/>
        <v>0.75685520066004874</v>
      </c>
      <c r="CP8">
        <f t="shared" si="95"/>
        <v>0.75989451032877819</v>
      </c>
      <c r="CQ8">
        <f t="shared" si="96"/>
        <v>0.76289582862664862</v>
      </c>
      <c r="CR8">
        <f t="shared" si="97"/>
        <v>0.76585963044579564</v>
      </c>
      <c r="CS8">
        <f t="shared" si="98"/>
        <v>0.76878638474220329</v>
      </c>
      <c r="CT8">
        <f t="shared" si="99"/>
        <v>0.77167655460990581</v>
      </c>
      <c r="CU8">
        <f t="shared" si="100"/>
        <v>0.77453059735426211</v>
      </c>
      <c r="CV8">
        <f t="shared" si="101"/>
        <v>0.7773489645643139</v>
      </c>
      <c r="CW8">
        <f t="shared" si="102"/>
        <v>0.78013210218424012</v>
      </c>
      <c r="CX8">
        <f t="shared" si="103"/>
        <v>0.7828804505839172</v>
      </c>
      <c r="CY8">
        <f t="shared" si="104"/>
        <v>0.78559444462859829</v>
      </c>
      <c r="CZ8">
        <f t="shared" si="105"/>
        <v>0.78827451374772095</v>
      </c>
      <c r="DA8">
        <f t="shared" si="106"/>
        <v>0.79092108200285449</v>
      </c>
      <c r="DB8">
        <f t="shared" si="107"/>
        <v>0.79353456815479895</v>
      </c>
      <c r="DC8">
        <f t="shared" si="108"/>
        <v>0.79611538572984408</v>
      </c>
      <c r="DD8">
        <f t="shared" si="109"/>
        <v>0.79866394308520117</v>
      </c>
      <c r="DE8">
        <f t="shared" si="110"/>
        <v>0.80118064347361628</v>
      </c>
      <c r="DF8">
        <f t="shared" si="111"/>
        <v>0.80366588510717618</v>
      </c>
      <c r="DG8">
        <f t="shared" si="112"/>
        <v>0.80612006122031654</v>
      </c>
      <c r="DH8">
        <f t="shared" si="113"/>
        <v>0.80854356013204265</v>
      </c>
      <c r="DI8">
        <f t="shared" si="114"/>
        <v>0.81093676530737224</v>
      </c>
      <c r="DJ8">
        <f t="shared" si="115"/>
        <v>0.8133000554180102</v>
      </c>
      <c r="DK8">
        <f t="shared" si="116"/>
        <v>0.81563380440226518</v>
      </c>
      <c r="DL8">
        <f t="shared" si="117"/>
        <v>0.81793838152421694</v>
      </c>
      <c r="DM8">
        <f t="shared" si="118"/>
        <v>0.82021415143214438</v>
      </c>
      <c r="DN8">
        <f t="shared" si="119"/>
        <v>0.82246147421622273</v>
      </c>
      <c r="DO8">
        <f t="shared" si="120"/>
        <v>0.8246807054655001</v>
      </c>
      <c r="DP8">
        <f t="shared" si="121"/>
        <v>0.82687219632416142</v>
      </c>
      <c r="DQ8">
        <f t="shared" si="122"/>
        <v>0.82903629354708952</v>
      </c>
      <c r="DR8">
        <f t="shared" si="123"/>
        <v>0.83117333955473105</v>
      </c>
      <c r="DS8">
        <f t="shared" si="124"/>
        <v>0.83328367248727697</v>
      </c>
      <c r="DT8">
        <f t="shared" si="125"/>
        <v>0.83536762625816607</v>
      </c>
      <c r="DU8">
        <f t="shared" si="126"/>
        <v>0.83742553060691916</v>
      </c>
      <c r="DV8">
        <f t="shared" si="127"/>
        <v>0.83945771115131274</v>
      </c>
      <c r="DW8">
        <f t="shared" si="128"/>
        <v>0.8414644894389014</v>
      </c>
      <c r="DX8">
        <f t="shared" si="129"/>
        <v>0.8434461829978952</v>
      </c>
      <c r="DY8">
        <f t="shared" si="130"/>
        <v>0.8454031053874016</v>
      </c>
      <c r="DZ8">
        <f t="shared" si="131"/>
        <v>0.84733556624703921</v>
      </c>
      <c r="EA8">
        <f t="shared" si="132"/>
        <v>0.84924387134593138</v>
      </c>
      <c r="EB8">
        <f t="shared" si="133"/>
        <v>0.8511283226310874</v>
      </c>
      <c r="EC8">
        <f t="shared" si="134"/>
        <v>0.85298921827517893</v>
      </c>
      <c r="ED8">
        <f t="shared" si="135"/>
        <v>0.85482685272371928</v>
      </c>
      <c r="EE8">
        <f t="shared" si="136"/>
        <v>0.8566415167416529</v>
      </c>
      <c r="EF8">
        <f t="shared" si="137"/>
        <v>0.85843349745936237</v>
      </c>
      <c r="EG8">
        <f t="shared" si="138"/>
        <v>0.8602030784181004</v>
      </c>
      <c r="EH8">
        <f t="shared" si="139"/>
        <v>0.86195053961485424</v>
      </c>
      <c r="EI8">
        <f t="shared" si="140"/>
        <v>0.86367615754664862</v>
      </c>
      <c r="EJ8">
        <f t="shared" si="141"/>
        <v>0.8653802052542956</v>
      </c>
      <c r="EK8">
        <f t="shared" si="142"/>
        <v>0.86706295236559705</v>
      </c>
      <c r="EL8">
        <f t="shared" si="143"/>
        <v>0.86872466513800717</v>
      </c>
      <c r="EM8">
        <f t="shared" si="144"/>
        <v>0.87036560650076222</v>
      </c>
      <c r="EN8">
        <f t="shared" si="145"/>
        <v>0.87198603609648284</v>
      </c>
      <c r="EO8">
        <f t="shared" si="146"/>
        <v>0.87358621032225692</v>
      </c>
      <c r="EP8">
        <f t="shared" si="147"/>
        <v>0.87516638237020883</v>
      </c>
      <c r="EQ8">
        <f t="shared" si="148"/>
        <v>0.87672680226756128</v>
      </c>
      <c r="ER8">
        <f t="shared" si="149"/>
        <v>0.87826771691619687</v>
      </c>
      <c r="ES8">
        <f t="shared" si="150"/>
        <v>0.87978937013172454</v>
      </c>
      <c r="ET8">
        <f t="shared" si="151"/>
        <v>0.8812920026820581</v>
      </c>
      <c r="EU8">
        <f t="shared" si="152"/>
        <v>0.88277585232551248</v>
      </c>
      <c r="EV8">
        <f t="shared" si="153"/>
        <v>0.88424115384842372</v>
      </c>
      <c r="EW8">
        <f t="shared" si="154"/>
        <v>0.88568813910229849</v>
      </c>
      <c r="EX8">
        <f t="shared" si="155"/>
        <v>0.88711703704049982</v>
      </c>
      <c r="EY8">
        <f t="shared" si="156"/>
        <v>0.88852807375447374</v>
      </c>
      <c r="EZ8">
        <f t="shared" si="157"/>
        <v>0.88992147250952292</v>
      </c>
      <c r="FA8">
        <f t="shared" si="158"/>
        <v>0.89129745378013403</v>
      </c>
      <c r="FB8">
        <f t="shared" si="159"/>
        <v>0.89265623528486249</v>
      </c>
      <c r="FC8">
        <f t="shared" si="160"/>
        <v>0.89399803202078176</v>
      </c>
      <c r="FD8">
        <f t="shared" si="161"/>
        <v>0.89532305629750208</v>
      </c>
      <c r="FE8">
        <f t="shared" si="162"/>
        <v>0.89663151777076344</v>
      </c>
      <c r="FF8">
        <f t="shared" si="163"/>
        <v>0.89792362347560906</v>
      </c>
      <c r="FG8">
        <f t="shared" si="164"/>
        <v>0.89919957785914406</v>
      </c>
      <c r="FH8">
        <f t="shared" si="165"/>
        <v>0.90045958281288485</v>
      </c>
      <c r="FI8">
        <f t="shared" si="166"/>
        <v>0.90170383770470386</v>
      </c>
      <c r="FJ8">
        <f t="shared" si="167"/>
        <v>0.90293253941037521</v>
      </c>
      <c r="FK8">
        <f t="shared" si="168"/>
        <v>0.90414588234472559</v>
      </c>
      <c r="FL8">
        <f t="shared" si="169"/>
        <v>0.90534405849239663</v>
      </c>
      <c r="FM8">
        <f t="shared" si="170"/>
        <v>0.90652725743822182</v>
      </c>
      <c r="FN8">
        <f t="shared" si="171"/>
        <v>0.90769566639722421</v>
      </c>
      <c r="FO8">
        <f t="shared" si="172"/>
        <v>0.90884947024423901</v>
      </c>
      <c r="FP8">
        <f t="shared" si="173"/>
        <v>0.90998885154316611</v>
      </c>
      <c r="FQ8">
        <f t="shared" si="174"/>
        <v>0.91111399057585662</v>
      </c>
      <c r="FR8">
        <f t="shared" si="175"/>
        <v>0.91222506537063852</v>
      </c>
      <c r="FS8">
        <f t="shared" si="176"/>
        <v>0.91332225173048565</v>
      </c>
      <c r="FT8">
        <f t="shared" si="177"/>
        <v>0.91440572326083469</v>
      </c>
      <c r="FU8">
        <f t="shared" si="178"/>
        <v>0.91547565139705434</v>
      </c>
      <c r="FV8">
        <f t="shared" si="179"/>
        <v>0.91653220543157121</v>
      </c>
      <c r="FW8">
        <f t="shared" si="180"/>
        <v>0.9175755525406567</v>
      </c>
      <c r="FX8">
        <f t="shared" si="181"/>
        <v>0.91860585781087856</v>
      </c>
      <c r="FY8">
        <f t="shared" si="182"/>
        <v>0.91962328426522266</v>
      </c>
      <c r="FZ8">
        <f t="shared" si="183"/>
        <v>0.92062799288888753</v>
      </c>
      <c r="GA8">
        <f t="shared" si="184"/>
        <v>0.92162014265475656</v>
      </c>
      <c r="GB8">
        <f t="shared" si="185"/>
        <v>0.92259989054855218</v>
      </c>
      <c r="GC8">
        <f t="shared" si="186"/>
        <v>0.9235673915936754</v>
      </c>
      <c r="GD8">
        <f t="shared" si="187"/>
        <v>0.92452279887573452</v>
      </c>
      <c r="GE8">
        <f t="shared" si="188"/>
        <v>0.92546626356676798</v>
      </c>
      <c r="GF8">
        <f t="shared" si="189"/>
        <v>0.92639793494916345</v>
      </c>
      <c r="GG8">
        <f t="shared" si="190"/>
        <v>0.92731796043927905</v>
      </c>
      <c r="GH8">
        <f t="shared" si="191"/>
        <v>0.92822648561076815</v>
      </c>
      <c r="GI8">
        <f t="shared" si="192"/>
        <v>0.92912365421761367</v>
      </c>
      <c r="GJ8">
        <f t="shared" si="193"/>
        <v>0.93000960821687362</v>
      </c>
      <c r="GK8">
        <f t="shared" si="194"/>
        <v>0.93088448779114286</v>
      </c>
      <c r="GL8">
        <f t="shared" si="195"/>
        <v>0.93174843137073371</v>
      </c>
      <c r="GM8">
        <f t="shared" si="196"/>
        <v>0.93260157565557966</v>
      </c>
      <c r="GN8">
        <f t="shared" si="197"/>
        <v>0.93344405563686506</v>
      </c>
      <c r="GO8">
        <f t="shared" si="198"/>
        <v>0.93427600461838434</v>
      </c>
      <c r="GP8">
        <f t="shared" si="199"/>
        <v>0.93509755423763463</v>
      </c>
      <c r="GQ8">
        <f t="shared" si="200"/>
        <v>0.9359088344866443</v>
      </c>
      <c r="GR8">
        <f t="shared" si="201"/>
        <v>0.93670997373254139</v>
      </c>
      <c r="GS8">
        <f t="shared" si="202"/>
        <v>0.93750109873786469</v>
      </c>
      <c r="GT8">
        <f t="shared" si="203"/>
        <v>0.9382823346806215</v>
      </c>
      <c r="GU8">
        <f t="shared" si="204"/>
        <v>0.93905380517409387</v>
      </c>
      <c r="GV8">
        <f t="shared" si="205"/>
        <v>0.93981563228639775</v>
      </c>
      <c r="GW8">
        <f t="shared" si="206"/>
        <v>0.94056793655979787</v>
      </c>
      <c r="GX8">
        <f t="shared" si="207"/>
        <v>0.94131083702978047</v>
      </c>
      <c r="GY8">
        <f t="shared" si="208"/>
        <v>0.94204445124388836</v>
      </c>
      <c r="GZ8">
        <f t="shared" si="209"/>
        <v>0.94276889528031982</v>
      </c>
      <c r="HA8">
        <f t="shared" si="210"/>
        <v>0.94348428376629589</v>
      </c>
      <c r="HB8">
        <f t="shared" si="211"/>
        <v>0.94419072989619734</v>
      </c>
      <c r="HC8">
        <f t="shared" si="212"/>
        <v>0.94488834544947498</v>
      </c>
      <c r="HD8">
        <f t="shared" si="213"/>
        <v>0.94557724080833661</v>
      </c>
      <c r="HE8">
        <f t="shared" si="214"/>
        <v>0.94625752497521254</v>
      </c>
      <c r="HF8">
        <f t="shared" si="215"/>
        <v>0.94692930559000255</v>
      </c>
      <c r="HG8">
        <f t="shared" si="216"/>
        <v>0.94759268894710758</v>
      </c>
      <c r="HH8">
        <f t="shared" si="217"/>
        <v>0.94824778001224885</v>
      </c>
      <c r="HI8">
        <f t="shared" si="218"/>
        <v>0.94889468243907582</v>
      </c>
      <c r="HJ8">
        <f t="shared" si="219"/>
        <v>0.94953349858556746</v>
      </c>
      <c r="HK8">
        <f t="shared" si="220"/>
        <v>0.950164329530228</v>
      </c>
      <c r="HL8">
        <f t="shared" si="221"/>
        <v>0.95078727508808025</v>
      </c>
      <c r="HM8">
        <f t="shared" si="222"/>
        <v>0.95140243382645939</v>
      </c>
      <c r="HN8">
        <f t="shared" si="223"/>
        <v>0.95200990308060873</v>
      </c>
      <c r="HO8">
        <f t="shared" si="224"/>
        <v>0.95260977896908128</v>
      </c>
      <c r="HP8">
        <f t="shared" si="225"/>
        <v>0.9532021564089479</v>
      </c>
      <c r="HQ8">
        <f t="shared" si="226"/>
        <v>0.9537871291308162</v>
      </c>
      <c r="HR8">
        <f t="shared" si="227"/>
        <v>0.95436478969366112</v>
      </c>
      <c r="HS8">
        <f t="shared" si="228"/>
        <v>0.95493522949947052</v>
      </c>
      <c r="HT8">
        <f t="shared" si="229"/>
        <v>0.9554985388077073</v>
      </c>
      <c r="HU8">
        <f t="shared" si="230"/>
        <v>0.95605480674959109</v>
      </c>
      <c r="HV8">
        <f t="shared" si="231"/>
        <v>0.9566041213422013</v>
      </c>
      <c r="HW8">
        <f t="shared" si="232"/>
        <v>0.95714656950240384</v>
      </c>
      <c r="HX8">
        <f t="shared" si="233"/>
        <v>0.95768223706060396</v>
      </c>
      <c r="HY8">
        <f t="shared" si="234"/>
        <v>0.95821120877432653</v>
      </c>
      <c r="HZ8">
        <f t="shared" si="235"/>
        <v>0.9587335683416276</v>
      </c>
      <c r="IA8">
        <f t="shared" si="236"/>
        <v>0.95924939841433732</v>
      </c>
      <c r="IB8">
        <f t="shared" si="237"/>
        <v>0.95975878061113817</v>
      </c>
      <c r="IC8">
        <f t="shared" si="238"/>
        <v>0.96026179553047908</v>
      </c>
      <c r="ID8">
        <f t="shared" si="239"/>
        <v>0.96075852276332818</v>
      </c>
      <c r="IE8">
        <f t="shared" si="240"/>
        <v>0.96124904090576668</v>
      </c>
      <c r="IF8">
        <f t="shared" si="241"/>
        <v>0.96173342757142466</v>
      </c>
      <c r="IG8">
        <f t="shared" si="242"/>
        <v>0.96221175940376191</v>
      </c>
      <c r="IH8">
        <f t="shared" si="243"/>
        <v>0.96268411208819504</v>
      </c>
      <c r="II8">
        <f t="shared" si="244"/>
        <v>0.96315056036407276</v>
      </c>
      <c r="IJ8">
        <f t="shared" si="245"/>
        <v>0.96361117803650198</v>
      </c>
      <c r="IK8">
        <f t="shared" si="246"/>
        <v>0.96406603798802581</v>
      </c>
      <c r="IL8">
        <f t="shared" si="247"/>
        <v>0.96451521219015557</v>
      </c>
      <c r="IM8">
        <f t="shared" si="248"/>
        <v>0.96495877171475875</v>
      </c>
      <c r="IN8">
        <f t="shared" si="249"/>
        <v>0.96539678674530438</v>
      </c>
      <c r="IO8">
        <f t="shared" si="250"/>
        <v>0.96582932658796816</v>
      </c>
      <c r="IP8">
        <f t="shared" si="251"/>
        <v>0.96625645968259866</v>
      </c>
      <c r="IQ8">
        <f t="shared" si="252"/>
        <v>0.96667825361354631</v>
      </c>
      <c r="IR8">
        <f t="shared" si="253"/>
        <v>0.96709477512035713</v>
      </c>
      <c r="IS8">
        <f t="shared" si="254"/>
        <v>0.96750609010833277</v>
      </c>
      <c r="IT8">
        <f t="shared" si="255"/>
        <v>0.96791226365895877</v>
      </c>
      <c r="IU8">
        <f t="shared" si="256"/>
        <v>0.96831336004020185</v>
      </c>
      <c r="IV8">
        <f t="shared" si="257"/>
        <v>0.96870944271667947</v>
      </c>
    </row>
    <row r="9" spans="1:256" x14ac:dyDescent="0.2">
      <c r="A9" t="s">
        <v>479</v>
      </c>
      <c r="B9">
        <f>$B$111</f>
        <v>0.53973793029785155</v>
      </c>
      <c r="C9">
        <f t="shared" si="4"/>
        <v>0.53954953201877265</v>
      </c>
      <c r="D9">
        <f t="shared" si="5"/>
        <v>0.53936348871818229</v>
      </c>
      <c r="E9">
        <f t="shared" si="6"/>
        <v>0.53917977095884928</v>
      </c>
      <c r="F9">
        <f t="shared" si="7"/>
        <v>0.53899834967150795</v>
      </c>
      <c r="G9">
        <f t="shared" si="8"/>
        <v>0.53881919615025831</v>
      </c>
      <c r="H9">
        <f t="shared" si="9"/>
        <v>0.53864228204802433</v>
      </c>
      <c r="I9">
        <f t="shared" si="10"/>
        <v>0.53846757937206824</v>
      </c>
      <c r="J9">
        <f t="shared" si="11"/>
        <v>0.53829506047956166</v>
      </c>
      <c r="K9">
        <f t="shared" si="12"/>
        <v>0.54406637222356713</v>
      </c>
      <c r="L9">
        <f t="shared" si="13"/>
        <v>0.54976554257077259</v>
      </c>
      <c r="M9">
        <f t="shared" si="14"/>
        <v>0.55539347328863797</v>
      </c>
      <c r="N9">
        <f t="shared" si="15"/>
        <v>0.56095105487253005</v>
      </c>
      <c r="O9">
        <f t="shared" si="16"/>
        <v>0.56643916668662342</v>
      </c>
      <c r="P9">
        <f t="shared" si="17"/>
        <v>0.57185867710304061</v>
      </c>
      <c r="Q9">
        <f t="shared" si="18"/>
        <v>0.57721044363925256</v>
      </c>
      <c r="R9">
        <f t="shared" si="19"/>
        <v>0.5824953130937619</v>
      </c>
      <c r="S9">
        <f t="shared" si="20"/>
        <v>0.58771412168008985</v>
      </c>
      <c r="T9">
        <f t="shared" si="21"/>
        <v>0.59286769515908877</v>
      </c>
      <c r="U9">
        <f t="shared" si="22"/>
        <v>0.59795684896960011</v>
      </c>
      <c r="V9">
        <f t="shared" si="23"/>
        <v>0.60298238835748008</v>
      </c>
      <c r="W9">
        <f t="shared" si="24"/>
        <v>0.60794510850301153</v>
      </c>
      <c r="X9">
        <f t="shared" si="25"/>
        <v>0.61284579464672384</v>
      </c>
      <c r="Y9">
        <f t="shared" si="26"/>
        <v>0.61768522221363975</v>
      </c>
      <c r="Z9">
        <f t="shared" si="27"/>
        <v>0.62246415693596924</v>
      </c>
      <c r="AA9">
        <f t="shared" si="28"/>
        <v>0.62718335497426958</v>
      </c>
      <c r="AB9">
        <f t="shared" si="29"/>
        <v>0.63184356303709122</v>
      </c>
      <c r="AC9">
        <f t="shared" si="30"/>
        <v>0.63644551849912756</v>
      </c>
      <c r="AD9">
        <f t="shared" si="31"/>
        <v>0.64098994951788846</v>
      </c>
      <c r="AE9">
        <f t="shared" si="32"/>
        <v>0.64547757514891491</v>
      </c>
      <c r="AF9">
        <f t="shared" si="33"/>
        <v>0.64990910545955349</v>
      </c>
      <c r="AG9">
        <f t="shared" si="34"/>
        <v>0.65428524164130908</v>
      </c>
      <c r="AH9">
        <f t="shared" si="35"/>
        <v>0.65860667612079271</v>
      </c>
      <c r="AI9">
        <f t="shared" si="36"/>
        <v>0.65712081679800594</v>
      </c>
      <c r="AJ9">
        <f t="shared" si="37"/>
        <v>0.65565353071675403</v>
      </c>
      <c r="AK9">
        <f t="shared" si="38"/>
        <v>0.65420458571151774</v>
      </c>
      <c r="AL9">
        <f t="shared" si="39"/>
        <v>0.65277375251884695</v>
      </c>
      <c r="AM9">
        <f t="shared" si="40"/>
        <v>0.65136080474108449</v>
      </c>
      <c r="AN9">
        <f t="shared" si="41"/>
        <v>0.6499655188105441</v>
      </c>
      <c r="AO9">
        <f t="shared" si="42"/>
        <v>0.64858767395413541</v>
      </c>
      <c r="AP9">
        <f t="shared" si="43"/>
        <v>0.6472270521584319</v>
      </c>
      <c r="AQ9">
        <f t="shared" si="44"/>
        <v>0.64817582177946798</v>
      </c>
      <c r="AR9">
        <f t="shared" si="45"/>
        <v>0.64911273178024109</v>
      </c>
      <c r="AS9">
        <f t="shared" si="46"/>
        <v>0.65003793040600455</v>
      </c>
      <c r="AT9">
        <f t="shared" si="47"/>
        <v>0.65095156404894594</v>
      </c>
      <c r="AU9">
        <f t="shared" si="48"/>
        <v>0.65185377727135052</v>
      </c>
      <c r="AV9">
        <f t="shared" si="49"/>
        <v>0.65274471282847502</v>
      </c>
      <c r="AW9">
        <f t="shared" si="50"/>
        <v>0.65362451169113545</v>
      </c>
      <c r="AX9">
        <f t="shared" si="51"/>
        <v>0.65449331306801273</v>
      </c>
      <c r="AY9">
        <f t="shared" si="52"/>
        <v>0.65881212836008185</v>
      </c>
      <c r="AZ9">
        <f t="shared" si="53"/>
        <v>0.66307695846100012</v>
      </c>
      <c r="BA9">
        <f t="shared" si="54"/>
        <v>0.66728847818565695</v>
      </c>
      <c r="BB9">
        <f t="shared" si="55"/>
        <v>0.67144735391375554</v>
      </c>
      <c r="BC9">
        <f t="shared" si="56"/>
        <v>0.67555424369525285</v>
      </c>
      <c r="BD9">
        <f t="shared" si="57"/>
        <v>0.67960979735448146</v>
      </c>
      <c r="BE9">
        <f t="shared" si="58"/>
        <v>0.68361465659296972</v>
      </c>
      <c r="BF9">
        <f t="shared" si="59"/>
        <v>0.68756945509097689</v>
      </c>
      <c r="BG9">
        <f t="shared" si="60"/>
        <v>0.69147481860775895</v>
      </c>
      <c r="BH9">
        <f t="shared" si="61"/>
        <v>0.69533136508058124</v>
      </c>
      <c r="BI9">
        <f t="shared" si="62"/>
        <v>0.6991397047224932</v>
      </c>
      <c r="BJ9">
        <f t="shared" si="63"/>
        <v>0.70290044011888131</v>
      </c>
      <c r="BK9">
        <f t="shared" si="64"/>
        <v>0.7066141663228146</v>
      </c>
      <c r="BL9">
        <f t="shared" si="65"/>
        <v>0.71028147094919869</v>
      </c>
      <c r="BM9">
        <f t="shared" si="66"/>
        <v>0.71390293426775298</v>
      </c>
      <c r="BN9">
        <f t="shared" si="67"/>
        <v>0.71747912929482538</v>
      </c>
      <c r="BO9">
        <f t="shared" si="68"/>
        <v>0.72101062188405929</v>
      </c>
      <c r="BP9">
        <f t="shared" si="69"/>
        <v>0.72449797081592782</v>
      </c>
      <c r="BQ9">
        <f t="shared" si="70"/>
        <v>0.72794172788614797</v>
      </c>
      <c r="BR9">
        <f t="shared" si="71"/>
        <v>0.73134243799299037</v>
      </c>
      <c r="BS9">
        <f t="shared" si="72"/>
        <v>0.73470063922349726</v>
      </c>
      <c r="BT9">
        <f t="shared" si="73"/>
        <v>0.73801686293862279</v>
      </c>
      <c r="BU9">
        <f t="shared" si="74"/>
        <v>0.74129163385730923</v>
      </c>
      <c r="BV9">
        <f t="shared" si="75"/>
        <v>0.74452547013951209</v>
      </c>
      <c r="BW9">
        <f t="shared" si="76"/>
        <v>0.74771888346818749</v>
      </c>
      <c r="BX9">
        <f t="shared" si="77"/>
        <v>0.7508723791302544</v>
      </c>
      <c r="BY9">
        <f t="shared" si="78"/>
        <v>0.75398645609654547</v>
      </c>
      <c r="BZ9">
        <f t="shared" si="79"/>
        <v>0.75706160710075787</v>
      </c>
      <c r="CA9">
        <f t="shared" si="80"/>
        <v>0.76009831871741773</v>
      </c>
      <c r="CB9">
        <f t="shared" si="81"/>
        <v>0.76309707143886929</v>
      </c>
      <c r="CC9">
        <f t="shared" si="82"/>
        <v>0.76605833975130266</v>
      </c>
      <c r="CD9">
        <f t="shared" si="83"/>
        <v>0.76898259220983067</v>
      </c>
      <c r="CE9">
        <f t="shared" si="84"/>
        <v>0.77187029151262709</v>
      </c>
      <c r="CF9">
        <f t="shared" si="85"/>
        <v>0.77472189457413854</v>
      </c>
      <c r="CG9">
        <f t="shared" si="86"/>
        <v>0.77753785259738106</v>
      </c>
      <c r="CH9">
        <f t="shared" si="87"/>
        <v>0.78031861114533307</v>
      </c>
      <c r="CI9">
        <f t="shared" si="88"/>
        <v>0.7830646102114357</v>
      </c>
      <c r="CJ9">
        <f t="shared" si="89"/>
        <v>0.78577628428921198</v>
      </c>
      <c r="CK9">
        <f t="shared" si="90"/>
        <v>0.78845406244101612</v>
      </c>
      <c r="CL9">
        <f t="shared" si="91"/>
        <v>0.79109836836592273</v>
      </c>
      <c r="CM9">
        <f t="shared" si="92"/>
        <v>0.79370962046676796</v>
      </c>
      <c r="CN9">
        <f t="shared" si="93"/>
        <v>0.79628823191635267</v>
      </c>
      <c r="CO9">
        <f t="shared" si="94"/>
        <v>0.79883461072281758</v>
      </c>
      <c r="CP9">
        <f t="shared" si="95"/>
        <v>0.80134915979420163</v>
      </c>
      <c r="CQ9">
        <f t="shared" si="96"/>
        <v>0.8038322770021934</v>
      </c>
      <c r="CR9">
        <f t="shared" si="97"/>
        <v>0.80628435524508524</v>
      </c>
      <c r="CS9">
        <f t="shared" si="98"/>
        <v>0.80870578250994096</v>
      </c>
      <c r="CT9">
        <f t="shared" si="99"/>
        <v>0.81109694193398596</v>
      </c>
      <c r="CU9">
        <f t="shared" si="100"/>
        <v>0.81345821186523037</v>
      </c>
      <c r="CV9">
        <f t="shared" si="101"/>
        <v>0.81578996592233433</v>
      </c>
      <c r="CW9">
        <f t="shared" si="102"/>
        <v>0.8180925730537244</v>
      </c>
      <c r="CX9">
        <f t="shared" si="103"/>
        <v>0.82036639759597207</v>
      </c>
      <c r="CY9">
        <f t="shared" si="104"/>
        <v>0.82261179933144168</v>
      </c>
      <c r="CZ9">
        <f t="shared" si="105"/>
        <v>0.82482913354521792</v>
      </c>
      <c r="DA9">
        <f t="shared" si="106"/>
        <v>0.82701875108132195</v>
      </c>
      <c r="DB9">
        <f t="shared" si="107"/>
        <v>0.82918099839822468</v>
      </c>
      <c r="DC9">
        <f t="shared" si="108"/>
        <v>0.83131621762366614</v>
      </c>
      <c r="DD9">
        <f t="shared" si="109"/>
        <v>0.83342474660878962</v>
      </c>
      <c r="DE9">
        <f t="shared" si="110"/>
        <v>0.83550691898159901</v>
      </c>
      <c r="DF9">
        <f t="shared" si="111"/>
        <v>0.83756306419974835</v>
      </c>
      <c r="DG9">
        <f t="shared" si="112"/>
        <v>0.83959350760267082</v>
      </c>
      <c r="DH9">
        <f t="shared" si="113"/>
        <v>0.84159857046305675</v>
      </c>
      <c r="DI9">
        <f t="shared" si="114"/>
        <v>0.84357857003768777</v>
      </c>
      <c r="DJ9">
        <f t="shared" si="115"/>
        <v>0.84553381961763596</v>
      </c>
      <c r="DK9">
        <f t="shared" si="116"/>
        <v>0.84746462857783478</v>
      </c>
      <c r="DL9">
        <f t="shared" si="117"/>
        <v>0.84937130242603109</v>
      </c>
      <c r="DM9">
        <f t="shared" si="118"/>
        <v>0.851254142851125</v>
      </c>
      <c r="DN9">
        <f t="shared" si="119"/>
        <v>0.85311344777090525</v>
      </c>
      <c r="DO9">
        <f t="shared" si="120"/>
        <v>0.85494951137918818</v>
      </c>
      <c r="DP9">
        <f t="shared" si="121"/>
        <v>0.85676262419236759</v>
      </c>
      <c r="DQ9">
        <f t="shared" si="122"/>
        <v>0.85855307309538231</v>
      </c>
      <c r="DR9">
        <f t="shared" si="123"/>
        <v>0.86032114138710936</v>
      </c>
      <c r="DS9">
        <f t="shared" si="124"/>
        <v>0.86206710882518978</v>
      </c>
      <c r="DT9">
        <f t="shared" si="125"/>
        <v>0.86379125167029414</v>
      </c>
      <c r="DU9">
        <f t="shared" si="126"/>
        <v>0.86549384272983476</v>
      </c>
      <c r="DV9">
        <f t="shared" si="127"/>
        <v>0.86717515140113111</v>
      </c>
      <c r="DW9">
        <f t="shared" si="128"/>
        <v>0.8688354437140362</v>
      </c>
      <c r="DX9">
        <f t="shared" si="129"/>
        <v>0.87047498237303</v>
      </c>
      <c r="DY9">
        <f t="shared" si="130"/>
        <v>0.87209402679878645</v>
      </c>
      <c r="DZ9">
        <f t="shared" si="131"/>
        <v>0.87369283316922086</v>
      </c>
      <c r="EA9">
        <f t="shared" si="132"/>
        <v>0.87527165446002486</v>
      </c>
      <c r="EB9">
        <f t="shared" si="133"/>
        <v>0.87683074048469378</v>
      </c>
      <c r="EC9">
        <f t="shared" si="134"/>
        <v>0.87837033793405439</v>
      </c>
      <c r="ED9">
        <f t="shared" si="135"/>
        <v>0.87989069041529799</v>
      </c>
      <c r="EE9">
        <f t="shared" si="136"/>
        <v>0.88139203849052605</v>
      </c>
      <c r="EF9">
        <f t="shared" si="137"/>
        <v>0.88287461971481374</v>
      </c>
      <c r="EG9">
        <f t="shared" si="138"/>
        <v>0.88433866867379785</v>
      </c>
      <c r="EH9">
        <f t="shared" si="139"/>
        <v>0.88578441702079469</v>
      </c>
      <c r="EI9">
        <f t="shared" si="140"/>
        <v>0.88721209351345398</v>
      </c>
      <c r="EJ9">
        <f t="shared" si="141"/>
        <v>0.8886219240499551</v>
      </c>
      <c r="EK9">
        <f t="shared" si="142"/>
        <v>0.89001413170474997</v>
      </c>
      <c r="EL9">
        <f t="shared" si="143"/>
        <v>0.89138893676385988</v>
      </c>
      <c r="EM9">
        <f t="shared" si="144"/>
        <v>0.89274655675973091</v>
      </c>
      <c r="EN9">
        <f t="shared" si="145"/>
        <v>0.89408720650565354</v>
      </c>
      <c r="EO9">
        <f t="shared" si="146"/>
        <v>0.89541109812975217</v>
      </c>
      <c r="EP9">
        <f t="shared" si="147"/>
        <v>0.89671844110854959</v>
      </c>
      <c r="EQ9">
        <f t="shared" si="148"/>
        <v>0.89800944230011204</v>
      </c>
      <c r="ER9">
        <f t="shared" si="149"/>
        <v>0.89928430597677989</v>
      </c>
      <c r="ES9">
        <f t="shared" si="150"/>
        <v>0.90054323385748947</v>
      </c>
      <c r="ET9">
        <f t="shared" si="151"/>
        <v>0.9017864251396901</v>
      </c>
      <c r="EU9">
        <f t="shared" si="152"/>
        <v>0.9030140765308633</v>
      </c>
      <c r="EV9">
        <f t="shared" si="153"/>
        <v>0.9042263822796468</v>
      </c>
      <c r="EW9">
        <f t="shared" si="154"/>
        <v>0.90542353420657051</v>
      </c>
      <c r="EX9">
        <f t="shared" si="155"/>
        <v>0.90660572173440768</v>
      </c>
      <c r="EY9">
        <f t="shared" si="156"/>
        <v>0.9077731319181469</v>
      </c>
      <c r="EZ9">
        <f t="shared" si="157"/>
        <v>0.90892594947458938</v>
      </c>
      <c r="FA9">
        <f t="shared" si="158"/>
        <v>0.91006435681157627</v>
      </c>
      <c r="FB9">
        <f t="shared" si="159"/>
        <v>0.91118853405685085</v>
      </c>
      <c r="FC9">
        <f t="shared" si="160"/>
        <v>0.91229865908655949</v>
      </c>
      <c r="FD9">
        <f t="shared" si="161"/>
        <v>0.91339490755339681</v>
      </c>
      <c r="FE9">
        <f t="shared" si="162"/>
        <v>0.91447745291439864</v>
      </c>
      <c r="FF9">
        <f t="shared" si="163"/>
        <v>0.91554646645838789</v>
      </c>
      <c r="FG9">
        <f t="shared" si="164"/>
        <v>0.91660211733307728</v>
      </c>
      <c r="FH9">
        <f t="shared" si="165"/>
        <v>0.91764457257183307</v>
      </c>
      <c r="FI9">
        <f t="shared" si="166"/>
        <v>0.91867399712010445</v>
      </c>
      <c r="FJ9">
        <f t="shared" si="167"/>
        <v>0.91969055386152243</v>
      </c>
      <c r="FK9">
        <f t="shared" si="168"/>
        <v>0.92069440364367272</v>
      </c>
      <c r="FL9">
        <f t="shared" si="169"/>
        <v>0.9216857053035461</v>
      </c>
      <c r="FM9">
        <f t="shared" si="170"/>
        <v>0.922664615692671</v>
      </c>
      <c r="FN9">
        <f t="shared" si="171"/>
        <v>0.92363128970193187</v>
      </c>
      <c r="FO9">
        <f t="shared" si="172"/>
        <v>0.92458588028607702</v>
      </c>
      <c r="FP9">
        <f t="shared" si="173"/>
        <v>0.92552853848792038</v>
      </c>
      <c r="FQ9">
        <f t="shared" si="174"/>
        <v>0.9264594134622407</v>
      </c>
      <c r="FR9">
        <f t="shared" si="175"/>
        <v>0.92737865249938201</v>
      </c>
      <c r="FS9">
        <f t="shared" si="176"/>
        <v>0.92828640104855897</v>
      </c>
      <c r="FT9">
        <f t="shared" si="177"/>
        <v>0.92918280274087128</v>
      </c>
      <c r="FU9">
        <f t="shared" si="178"/>
        <v>0.93006799941202967</v>
      </c>
      <c r="FV9">
        <f t="shared" si="179"/>
        <v>0.93094213112479862</v>
      </c>
      <c r="FW9">
        <f t="shared" si="180"/>
        <v>0.93180533619115791</v>
      </c>
      <c r="FX9">
        <f t="shared" si="181"/>
        <v>0.9326577511941877</v>
      </c>
      <c r="FY9">
        <f t="shared" si="182"/>
        <v>0.93349951100967965</v>
      </c>
      <c r="FZ9">
        <f t="shared" si="183"/>
        <v>0.93433074882747791</v>
      </c>
      <c r="GA9">
        <f t="shared" si="184"/>
        <v>0.93515159617255372</v>
      </c>
      <c r="GB9">
        <f t="shared" si="185"/>
        <v>0.93596218292581612</v>
      </c>
      <c r="GC9">
        <f t="shared" si="186"/>
        <v>0.9367626373446627</v>
      </c>
      <c r="GD9">
        <f t="shared" si="187"/>
        <v>0.9375530860832737</v>
      </c>
      <c r="GE9">
        <f t="shared" si="188"/>
        <v>0.93833365421265202</v>
      </c>
      <c r="GF9">
        <f t="shared" si="189"/>
        <v>0.93910446524041313</v>
      </c>
      <c r="GG9">
        <f t="shared" si="190"/>
        <v>0.93986564113032722</v>
      </c>
      <c r="GH9">
        <f t="shared" si="191"/>
        <v>0.94061730232161744</v>
      </c>
      <c r="GI9">
        <f t="shared" si="192"/>
        <v>0.94135956774801655</v>
      </c>
      <c r="GJ9">
        <f t="shared" si="193"/>
        <v>0.94209255485658561</v>
      </c>
      <c r="GK9">
        <f t="shared" si="194"/>
        <v>0.94281637962629761</v>
      </c>
      <c r="GL9">
        <f t="shared" si="195"/>
        <v>0.9435311565863882</v>
      </c>
      <c r="GM9">
        <f t="shared" si="196"/>
        <v>0.94423699883447765</v>
      </c>
      <c r="GN9">
        <f t="shared" si="197"/>
        <v>0.94493401805446597</v>
      </c>
      <c r="GO9">
        <f t="shared" si="198"/>
        <v>0.94562232453420447</v>
      </c>
      <c r="GP9">
        <f t="shared" si="199"/>
        <v>0.9463020271829462</v>
      </c>
      <c r="GQ9">
        <f t="shared" si="200"/>
        <v>0.94697323354857865</v>
      </c>
      <c r="GR9">
        <f t="shared" si="201"/>
        <v>0.94763604983464067</v>
      </c>
      <c r="GS9">
        <f t="shared" si="202"/>
        <v>0.94829058091712692</v>
      </c>
      <c r="GT9">
        <f t="shared" si="203"/>
        <v>0.94893693036108206</v>
      </c>
      <c r="GU9">
        <f t="shared" si="204"/>
        <v>0.94957520043698784</v>
      </c>
      <c r="GV9">
        <f t="shared" si="205"/>
        <v>0.95020549213694483</v>
      </c>
      <c r="GW9">
        <f t="shared" si="206"/>
        <v>0.9508279051906523</v>
      </c>
      <c r="GX9">
        <f t="shared" si="207"/>
        <v>0.95144253808118839</v>
      </c>
      <c r="GY9">
        <f t="shared" si="208"/>
        <v>0.95204948806059286</v>
      </c>
      <c r="GZ9">
        <f t="shared" si="209"/>
        <v>0.95264885116525477</v>
      </c>
      <c r="HA9">
        <f t="shared" si="210"/>
        <v>0.95324072223110834</v>
      </c>
      <c r="HB9">
        <f t="shared" si="211"/>
        <v>0.95382519490863882</v>
      </c>
      <c r="HC9">
        <f t="shared" si="212"/>
        <v>0.9544023616777001</v>
      </c>
      <c r="HD9">
        <f t="shared" si="213"/>
        <v>0.95497231386214809</v>
      </c>
      <c r="HE9">
        <f t="shared" si="214"/>
        <v>0.95553514164429054</v>
      </c>
      <c r="HF9">
        <f t="shared" si="215"/>
        <v>0.95609093407915624</v>
      </c>
      <c r="HG9">
        <f t="shared" si="216"/>
        <v>0.95663977910858611</v>
      </c>
      <c r="HH9">
        <f t="shared" si="217"/>
        <v>0.95718176357514806</v>
      </c>
      <c r="HI9">
        <f t="shared" si="218"/>
        <v>0.95771697323587801</v>
      </c>
      <c r="HJ9">
        <f t="shared" si="219"/>
        <v>0.95824549277584881</v>
      </c>
      <c r="HK9">
        <f t="shared" si="220"/>
        <v>0.95876740582156994</v>
      </c>
      <c r="HL9">
        <f t="shared" si="221"/>
        <v>0.95928279495421964</v>
      </c>
      <c r="HM9">
        <f t="shared" si="222"/>
        <v>0.9597917417227112</v>
      </c>
      <c r="HN9">
        <f t="shared" si="223"/>
        <v>0.96029432665659664</v>
      </c>
      <c r="HO9">
        <f t="shared" si="224"/>
        <v>0.96079062927880843</v>
      </c>
      <c r="HP9">
        <f t="shared" si="225"/>
        <v>0.96128072811824261</v>
      </c>
      <c r="HQ9">
        <f t="shared" si="226"/>
        <v>0.9617647007221839</v>
      </c>
      <c r="HR9">
        <f t="shared" si="227"/>
        <v>0.96224262366857582</v>
      </c>
      <c r="HS9">
        <f t="shared" si="228"/>
        <v>0.96271457257813786</v>
      </c>
      <c r="HT9">
        <f t="shared" si="229"/>
        <v>0.96318062212633038</v>
      </c>
      <c r="HU9">
        <f t="shared" si="230"/>
        <v>0.96364084605517053</v>
      </c>
      <c r="HV9">
        <f t="shared" si="231"/>
        <v>0.96409531718490016</v>
      </c>
      <c r="HW9">
        <f t="shared" si="232"/>
        <v>0.96454410742550822</v>
      </c>
      <c r="HX9">
        <f t="shared" si="233"/>
        <v>0.96498728778810861</v>
      </c>
      <c r="HY9">
        <f t="shared" si="234"/>
        <v>0.96542492839617655</v>
      </c>
      <c r="HZ9">
        <f t="shared" si="235"/>
        <v>0.96585709849664358</v>
      </c>
      <c r="IA9">
        <f t="shared" si="236"/>
        <v>0.96628386647085485</v>
      </c>
      <c r="IB9">
        <f t="shared" si="237"/>
        <v>0.96670529984538844</v>
      </c>
      <c r="IC9">
        <f t="shared" si="238"/>
        <v>0.96712146530274035</v>
      </c>
      <c r="ID9">
        <f t="shared" si="239"/>
        <v>0.96753242869187539</v>
      </c>
      <c r="IE9">
        <f t="shared" si="240"/>
        <v>0.96793825503864628</v>
      </c>
      <c r="IF9">
        <f t="shared" si="241"/>
        <v>0.96833900855608246</v>
      </c>
      <c r="IG9">
        <f t="shared" si="242"/>
        <v>0.96873475265455067</v>
      </c>
      <c r="IH9">
        <f t="shared" si="243"/>
        <v>0.96912554995178801</v>
      </c>
      <c r="II9">
        <f t="shared" si="244"/>
        <v>0.96951146228280993</v>
      </c>
      <c r="IJ9">
        <f t="shared" si="245"/>
        <v>0.96989255070969405</v>
      </c>
      <c r="IK9">
        <f t="shared" si="246"/>
        <v>0.97026887553124219</v>
      </c>
      <c r="IL9">
        <f t="shared" si="247"/>
        <v>0.97064049629252092</v>
      </c>
      <c r="IM9">
        <f t="shared" si="248"/>
        <v>0.97100747179428371</v>
      </c>
      <c r="IN9">
        <f t="shared" si="249"/>
        <v>0.97136986010227444</v>
      </c>
      <c r="IO9">
        <f t="shared" si="250"/>
        <v>0.97172771855641527</v>
      </c>
      <c r="IP9">
        <f t="shared" si="251"/>
        <v>0.97208110377987933</v>
      </c>
      <c r="IQ9">
        <f t="shared" si="252"/>
        <v>0.97243007168805007</v>
      </c>
      <c r="IR9">
        <f t="shared" si="253"/>
        <v>0.97277467749736868</v>
      </c>
      <c r="IS9">
        <f t="shared" si="254"/>
        <v>0.9731149757340708</v>
      </c>
      <c r="IT9">
        <f t="shared" si="255"/>
        <v>0.97345102024281416</v>
      </c>
      <c r="IU9">
        <f t="shared" si="256"/>
        <v>0.97378286419519822</v>
      </c>
      <c r="IV9">
        <f t="shared" si="257"/>
        <v>0.97411056009817754</v>
      </c>
    </row>
    <row r="10" spans="1:256" x14ac:dyDescent="0.2">
      <c r="A10" t="s">
        <v>480</v>
      </c>
      <c r="B10">
        <f>$B$112</f>
        <v>0.68254425048828127</v>
      </c>
      <c r="C10">
        <f t="shared" si="4"/>
        <v>0.67416482096092789</v>
      </c>
      <c r="D10">
        <f t="shared" si="5"/>
        <v>0.66700032363838291</v>
      </c>
      <c r="E10">
        <f t="shared" si="6"/>
        <v>0.65993535985182961</v>
      </c>
      <c r="F10">
        <f t="shared" si="7"/>
        <v>0.65296830101085002</v>
      </c>
      <c r="G10">
        <f t="shared" si="8"/>
        <v>0.6460975512738617</v>
      </c>
      <c r="H10">
        <f t="shared" si="9"/>
        <v>0.63932154654236939</v>
      </c>
      <c r="I10">
        <f t="shared" si="10"/>
        <v>0.63263875352115362</v>
      </c>
      <c r="J10">
        <f t="shared" si="11"/>
        <v>0.62604766883708396</v>
      </c>
      <c r="K10">
        <f t="shared" si="12"/>
        <v>0.62087156344394268</v>
      </c>
      <c r="L10">
        <f t="shared" si="13"/>
        <v>0.61577172407296965</v>
      </c>
      <c r="M10">
        <f t="shared" si="14"/>
        <v>0.61074549961630631</v>
      </c>
      <c r="N10">
        <f t="shared" si="15"/>
        <v>0.60579034776590435</v>
      </c>
      <c r="O10">
        <f t="shared" si="16"/>
        <v>0.60090383084417465</v>
      </c>
      <c r="P10">
        <f t="shared" si="17"/>
        <v>0.59608361178569924</v>
      </c>
      <c r="Q10">
        <f t="shared" si="18"/>
        <v>0.59132745026463396</v>
      </c>
      <c r="R10">
        <f t="shared" si="19"/>
        <v>0.58663319896262389</v>
      </c>
      <c r="S10">
        <f t="shared" si="20"/>
        <v>0.5846973159688913</v>
      </c>
      <c r="T10">
        <f t="shared" si="21"/>
        <v>0.58280287893497495</v>
      </c>
      <c r="U10">
        <f t="shared" si="22"/>
        <v>0.58094717694858122</v>
      </c>
      <c r="V10">
        <f t="shared" si="23"/>
        <v>0.57912761517568823</v>
      </c>
      <c r="W10">
        <f t="shared" si="24"/>
        <v>0.57734171085256958</v>
      </c>
      <c r="X10">
        <f t="shared" si="25"/>
        <v>0.57558708940103243</v>
      </c>
      <c r="Y10">
        <f t="shared" si="26"/>
        <v>0.57386148066341525</v>
      </c>
      <c r="Z10">
        <f t="shared" si="27"/>
        <v>0.57216271525397611</v>
      </c>
      <c r="AA10">
        <f t="shared" si="28"/>
        <v>0.57596676073346631</v>
      </c>
      <c r="AB10">
        <f t="shared" si="29"/>
        <v>0.57992293410917872</v>
      </c>
      <c r="AC10">
        <f t="shared" si="30"/>
        <v>0.58402733594111977</v>
      </c>
      <c r="AD10">
        <f t="shared" si="31"/>
        <v>0.58827610320785828</v>
      </c>
      <c r="AE10">
        <f t="shared" si="32"/>
        <v>0.59266541055641986</v>
      </c>
      <c r="AF10">
        <f t="shared" si="33"/>
        <v>0.59719147145713347</v>
      </c>
      <c r="AG10">
        <f t="shared" si="34"/>
        <v>0.60185053926779986</v>
      </c>
      <c r="AH10">
        <f t="shared" si="35"/>
        <v>0.60663890821136579</v>
      </c>
      <c r="AI10">
        <f t="shared" si="36"/>
        <v>0.60971810975806728</v>
      </c>
      <c r="AJ10">
        <f t="shared" si="37"/>
        <v>0.61269292620687088</v>
      </c>
      <c r="AK10">
        <f t="shared" si="38"/>
        <v>0.61556624617911282</v>
      </c>
      <c r="AL10">
        <f t="shared" si="39"/>
        <v>0.61834089718874485</v>
      </c>
      <c r="AM10">
        <f t="shared" si="40"/>
        <v>0.62101964658724018</v>
      </c>
      <c r="AN10">
        <f t="shared" si="41"/>
        <v>0.6236052025034251</v>
      </c>
      <c r="AO10">
        <f t="shared" si="42"/>
        <v>0.62610021477838573</v>
      </c>
      <c r="AP10">
        <f t="shared" si="43"/>
        <v>0.62850727589557398</v>
      </c>
      <c r="AQ10">
        <f t="shared" si="44"/>
        <v>0.63315093494687935</v>
      </c>
      <c r="AR10">
        <f t="shared" si="45"/>
        <v>0.63773654826004333</v>
      </c>
      <c r="AS10">
        <f t="shared" si="46"/>
        <v>0.64226484140679274</v>
      </c>
      <c r="AT10">
        <f t="shared" si="47"/>
        <v>0.64673653088920779</v>
      </c>
      <c r="AU10">
        <f t="shared" si="48"/>
        <v>0.65115232425309266</v>
      </c>
      <c r="AV10">
        <f t="shared" si="49"/>
        <v>0.65551292019992902</v>
      </c>
      <c r="AW10">
        <f t="shared" si="50"/>
        <v>0.65981900869742993</v>
      </c>
      <c r="AX10">
        <f t="shared" si="51"/>
        <v>0.66407127108871211</v>
      </c>
      <c r="AY10">
        <f t="shared" si="52"/>
        <v>0.66440407566815995</v>
      </c>
      <c r="AZ10">
        <f t="shared" si="53"/>
        <v>0.66499145985936559</v>
      </c>
      <c r="BA10">
        <f t="shared" si="54"/>
        <v>0.66583208687574857</v>
      </c>
      <c r="BB10">
        <f t="shared" si="55"/>
        <v>0.66692483589389417</v>
      </c>
      <c r="BC10">
        <f t="shared" si="56"/>
        <v>0.66826879584382703</v>
      </c>
      <c r="BD10">
        <f t="shared" si="57"/>
        <v>0.66986325941051905</v>
      </c>
      <c r="BE10">
        <f t="shared" si="58"/>
        <v>0.67170771724106382</v>
      </c>
      <c r="BF10">
        <f t="shared" si="59"/>
        <v>0.67380185235204326</v>
      </c>
      <c r="BG10">
        <f t="shared" si="60"/>
        <v>0.67614553473170813</v>
      </c>
      <c r="BH10">
        <f t="shared" si="61"/>
        <v>0.67873881613169051</v>
      </c>
      <c r="BI10">
        <f t="shared" si="62"/>
        <v>0.68158192504306858</v>
      </c>
      <c r="BJ10">
        <f t="shared" si="63"/>
        <v>0.68467526185170391</v>
      </c>
      <c r="BK10">
        <f t="shared" si="64"/>
        <v>0.68801939416787361</v>
      </c>
      <c r="BL10">
        <f t="shared" si="65"/>
        <v>0.6916150523253225</v>
      </c>
      <c r="BM10">
        <f t="shared" si="66"/>
        <v>0.6954631250442086</v>
      </c>
      <c r="BN10">
        <f t="shared" si="67"/>
        <v>0.699269835981156</v>
      </c>
      <c r="BO10">
        <f t="shared" si="68"/>
        <v>0.70302896303139151</v>
      </c>
      <c r="BP10">
        <f t="shared" si="69"/>
        <v>0.70674110099349907</v>
      </c>
      <c r="BQ10">
        <f t="shared" si="70"/>
        <v>0.71040683723108033</v>
      </c>
      <c r="BR10">
        <f t="shared" si="71"/>
        <v>0.71402675176569186</v>
      </c>
      <c r="BS10">
        <f t="shared" si="72"/>
        <v>0.71760141736862071</v>
      </c>
      <c r="BT10">
        <f t="shared" si="73"/>
        <v>0.72113139965151296</v>
      </c>
      <c r="BU10">
        <f t="shared" si="74"/>
        <v>0.724617257155869</v>
      </c>
      <c r="BV10">
        <f t="shared" si="75"/>
        <v>0.7280595414414206</v>
      </c>
      <c r="BW10">
        <f t="shared" si="76"/>
        <v>0.73145879717340279</v>
      </c>
      <c r="BX10">
        <f t="shared" si="77"/>
        <v>0.73481556220873523</v>
      </c>
      <c r="BY10">
        <f t="shared" si="78"/>
        <v>0.73813036768112605</v>
      </c>
      <c r="BZ10">
        <f t="shared" si="79"/>
        <v>0.74140373808511195</v>
      </c>
      <c r="CA10">
        <f t="shared" si="80"/>
        <v>0.74463619135904802</v>
      </c>
      <c r="CB10">
        <f t="shared" si="81"/>
        <v>0.74782823896705997</v>
      </c>
      <c r="CC10">
        <f t="shared" si="82"/>
        <v>0.75098038597997174</v>
      </c>
      <c r="CD10">
        <f t="shared" si="83"/>
        <v>0.75409313115522214</v>
      </c>
      <c r="CE10">
        <f t="shared" si="84"/>
        <v>0.7571669670157819</v>
      </c>
      <c r="CF10">
        <f t="shared" si="85"/>
        <v>0.76020237992808459</v>
      </c>
      <c r="CG10">
        <f t="shared" si="86"/>
        <v>0.76319985017898351</v>
      </c>
      <c r="CH10">
        <f t="shared" si="87"/>
        <v>0.76615985205174619</v>
      </c>
      <c r="CI10">
        <f t="shared" si="88"/>
        <v>0.76908285390109932</v>
      </c>
      <c r="CJ10">
        <f t="shared" si="89"/>
        <v>0.77196931822733561</v>
      </c>
      <c r="CK10">
        <f t="shared" si="90"/>
        <v>0.77481970174949388</v>
      </c>
      <c r="CL10">
        <f t="shared" si="91"/>
        <v>0.77763445547762522</v>
      </c>
      <c r="CM10">
        <f t="shared" si="92"/>
        <v>0.78041402478415489</v>
      </c>
      <c r="CN10">
        <f t="shared" si="93"/>
        <v>0.78315884947435299</v>
      </c>
      <c r="CO10">
        <f t="shared" si="94"/>
        <v>0.78586936385592354</v>
      </c>
      <c r="CP10">
        <f t="shared" si="95"/>
        <v>0.78854599680772453</v>
      </c>
      <c r="CQ10">
        <f t="shared" si="96"/>
        <v>0.79118917184762794</v>
      </c>
      <c r="CR10">
        <f t="shared" si="97"/>
        <v>0.79379930719953262</v>
      </c>
      <c r="CS10">
        <f t="shared" si="98"/>
        <v>0.79637681585953846</v>
      </c>
      <c r="CT10">
        <f t="shared" si="99"/>
        <v>0.79892210566129418</v>
      </c>
      <c r="CU10">
        <f t="shared" si="100"/>
        <v>0.801435579340528</v>
      </c>
      <c r="CV10">
        <f t="shared" si="101"/>
        <v>0.80391763459877141</v>
      </c>
      <c r="CW10">
        <f t="shared" si="102"/>
        <v>0.80636866416628672</v>
      </c>
      <c r="CX10">
        <f t="shared" si="103"/>
        <v>0.80878905586420813</v>
      </c>
      <c r="CY10">
        <f t="shared" si="104"/>
        <v>0.81117919266590555</v>
      </c>
      <c r="CZ10">
        <f t="shared" si="105"/>
        <v>0.81353945275758177</v>
      </c>
      <c r="DA10">
        <f t="shared" si="106"/>
        <v>0.81587020959811196</v>
      </c>
      <c r="DB10">
        <f t="shared" si="107"/>
        <v>0.81817183197813559</v>
      </c>
      <c r="DC10">
        <f t="shared" si="108"/>
        <v>0.82044468407840887</v>
      </c>
      <c r="DD10">
        <f t="shared" si="109"/>
        <v>0.82268912552742879</v>
      </c>
      <c r="DE10">
        <f t="shared" si="110"/>
        <v>0.8249055114583359</v>
      </c>
      <c r="DF10">
        <f t="shared" si="111"/>
        <v>0.82709419256510675</v>
      </c>
      <c r="DG10">
        <f t="shared" si="112"/>
        <v>0.82925551515804297</v>
      </c>
      <c r="DH10">
        <f t="shared" si="113"/>
        <v>0.83138982121856742</v>
      </c>
      <c r="DI10">
        <f t="shared" si="114"/>
        <v>0.83349744845333529</v>
      </c>
      <c r="DJ10">
        <f t="shared" si="115"/>
        <v>0.83557873034766861</v>
      </c>
      <c r="DK10">
        <f t="shared" si="116"/>
        <v>0.8376339962183228</v>
      </c>
      <c r="DL10">
        <f t="shared" si="117"/>
        <v>0.83966357126559377</v>
      </c>
      <c r="DM10">
        <f t="shared" si="118"/>
        <v>0.84166777662477388</v>
      </c>
      <c r="DN10">
        <f t="shared" si="119"/>
        <v>0.84364692941696418</v>
      </c>
      <c r="DO10">
        <f t="shared" si="120"/>
        <v>0.84560134279925214</v>
      </c>
      <c r="DP10">
        <f t="shared" si="121"/>
        <v>0.84753132601426151</v>
      </c>
      <c r="DQ10">
        <f t="shared" si="122"/>
        <v>0.84943718443908323</v>
      </c>
      <c r="DR10">
        <f t="shared" si="123"/>
        <v>0.85131921963359469</v>
      </c>
      <c r="DS10">
        <f t="shared" si="124"/>
        <v>0.85317772938817471</v>
      </c>
      <c r="DT10">
        <f t="shared" si="125"/>
        <v>0.85501300777082256</v>
      </c>
      <c r="DU10">
        <f t="shared" si="126"/>
        <v>0.85682534517368725</v>
      </c>
      <c r="DV10">
        <f t="shared" si="127"/>
        <v>0.85861502835901615</v>
      </c>
      <c r="DW10">
        <f t="shared" si="128"/>
        <v>0.86038234050452844</v>
      </c>
      <c r="DX10">
        <f t="shared" si="129"/>
        <v>0.86212756124822187</v>
      </c>
      <c r="DY10">
        <f t="shared" si="130"/>
        <v>0.86385096673261907</v>
      </c>
      <c r="DZ10">
        <f t="shared" si="131"/>
        <v>0.86555282964846136</v>
      </c>
      <c r="EA10">
        <f t="shared" si="132"/>
        <v>0.86723341927785558</v>
      </c>
      <c r="EB10">
        <f t="shared" si="133"/>
        <v>0.86889300153688243</v>
      </c>
      <c r="EC10">
        <f t="shared" si="134"/>
        <v>0.87053183901767139</v>
      </c>
      <c r="ED10">
        <f t="shared" si="135"/>
        <v>0.87215019102995051</v>
      </c>
      <c r="EE10">
        <f t="shared" si="136"/>
        <v>0.87374831364207617</v>
      </c>
      <c r="EF10">
        <f t="shared" si="137"/>
        <v>0.87532645972155021</v>
      </c>
      <c r="EG10">
        <f t="shared" si="138"/>
        <v>0.87688487897503087</v>
      </c>
      <c r="EH10">
        <f t="shared" si="139"/>
        <v>0.87842381798784297</v>
      </c>
      <c r="EI10">
        <f t="shared" si="140"/>
        <v>0.87994352026299494</v>
      </c>
      <c r="EJ10">
        <f t="shared" si="141"/>
        <v>0.88144422625970753</v>
      </c>
      <c r="EK10">
        <f t="shared" si="142"/>
        <v>0.88292617343146118</v>
      </c>
      <c r="EL10">
        <f t="shared" si="143"/>
        <v>0.88438959626356795</v>
      </c>
      <c r="EM10">
        <f t="shared" si="144"/>
        <v>0.88583472631027338</v>
      </c>
      <c r="EN10">
        <f t="shared" si="145"/>
        <v>0.88726179223139501</v>
      </c>
      <c r="EO10">
        <f t="shared" si="146"/>
        <v>0.88867101982850261</v>
      </c>
      <c r="EP10">
        <f t="shared" si="147"/>
        <v>0.89006263208064629</v>
      </c>
      <c r="EQ10">
        <f t="shared" si="148"/>
        <v>0.89143684917963817</v>
      </c>
      <c r="ER10">
        <f t="shared" si="149"/>
        <v>0.89279388856489272</v>
      </c>
      <c r="ES10">
        <f t="shared" si="150"/>
        <v>0.8941339649578316</v>
      </c>
      <c r="ET10">
        <f t="shared" si="151"/>
        <v>0.89545729039585875</v>
      </c>
      <c r="EU10">
        <f t="shared" si="152"/>
        <v>0.89676407426591054</v>
      </c>
      <c r="EV10">
        <f t="shared" si="153"/>
        <v>0.89805452333758662</v>
      </c>
      <c r="EW10">
        <f t="shared" si="154"/>
        <v>0.89932884179586681</v>
      </c>
      <c r="EX10">
        <f t="shared" si="155"/>
        <v>0.90058723127341844</v>
      </c>
      <c r="EY10">
        <f t="shared" si="156"/>
        <v>0.90182989088250076</v>
      </c>
      <c r="EZ10">
        <f t="shared" si="157"/>
        <v>0.90305701724646947</v>
      </c>
      <c r="FA10">
        <f t="shared" si="158"/>
        <v>0.90426880453088865</v>
      </c>
      <c r="FB10">
        <f t="shared" si="159"/>
        <v>0.90546544447425259</v>
      </c>
      <c r="FC10">
        <f t="shared" si="160"/>
        <v>0.90664712641832446</v>
      </c>
      <c r="FD10">
        <f t="shared" si="161"/>
        <v>0.9078140373380954</v>
      </c>
      <c r="FE10">
        <f t="shared" si="162"/>
        <v>0.90896636187136925</v>
      </c>
      <c r="FF10">
        <f t="shared" si="163"/>
        <v>0.91010428234797713</v>
      </c>
      <c r="FG10">
        <f t="shared" si="164"/>
        <v>0.91122797881862738</v>
      </c>
      <c r="FH10">
        <f t="shared" si="165"/>
        <v>0.91233762908339455</v>
      </c>
      <c r="FI10">
        <f t="shared" si="166"/>
        <v>0.91343340871985212</v>
      </c>
      <c r="FJ10">
        <f t="shared" si="167"/>
        <v>0.91451549111085395</v>
      </c>
      <c r="FK10">
        <f t="shared" si="168"/>
        <v>0.91558404747196831</v>
      </c>
      <c r="FL10">
        <f t="shared" si="169"/>
        <v>0.91663924687856868</v>
      </c>
      <c r="FM10">
        <f t="shared" si="170"/>
        <v>0.91768125629258657</v>
      </c>
      <c r="FN10">
        <f t="shared" si="171"/>
        <v>0.91871024058892925</v>
      </c>
      <c r="FO10">
        <f t="shared" si="172"/>
        <v>0.91972636258156759</v>
      </c>
      <c r="FP10">
        <f t="shared" si="173"/>
        <v>0.92072978304929798</v>
      </c>
      <c r="FQ10">
        <f t="shared" si="174"/>
        <v>0.92172066076118175</v>
      </c>
      <c r="FR10">
        <f t="shared" si="175"/>
        <v>0.92269915250166701</v>
      </c>
      <c r="FS10">
        <f t="shared" si="176"/>
        <v>0.92366541309539618</v>
      </c>
      <c r="FT10">
        <f t="shared" si="177"/>
        <v>0.92461959543170369</v>
      </c>
      <c r="FU10">
        <f t="shared" si="178"/>
        <v>0.92556185048880735</v>
      </c>
      <c r="FV10">
        <f t="shared" si="179"/>
        <v>0.92649232735769727</v>
      </c>
      <c r="FW10">
        <f t="shared" si="180"/>
        <v>0.92741117326572609</v>
      </c>
      <c r="FX10">
        <f t="shared" si="181"/>
        <v>0.92831853359990446</v>
      </c>
      <c r="FY10">
        <f t="shared" si="182"/>
        <v>0.92921455192990565</v>
      </c>
      <c r="FZ10">
        <f t="shared" si="183"/>
        <v>0.9300993700307818</v>
      </c>
      <c r="GA10">
        <f t="shared" si="184"/>
        <v>0.93097312790539699</v>
      </c>
      <c r="GB10">
        <f t="shared" si="185"/>
        <v>0.93183596380657951</v>
      </c>
      <c r="GC10">
        <f t="shared" si="186"/>
        <v>0.93268801425899728</v>
      </c>
      <c r="GD10">
        <f t="shared" si="187"/>
        <v>0.93352941408075985</v>
      </c>
      <c r="GE10">
        <f t="shared" si="188"/>
        <v>0.93436029640475038</v>
      </c>
      <c r="GF10">
        <f t="shared" si="189"/>
        <v>0.93518079269969101</v>
      </c>
      <c r="GG10">
        <f t="shared" si="190"/>
        <v>0.93599103279094487</v>
      </c>
      <c r="GH10">
        <f t="shared" si="191"/>
        <v>0.93679114488105808</v>
      </c>
      <c r="GI10">
        <f t="shared" si="192"/>
        <v>0.9375812555700449</v>
      </c>
      <c r="GJ10">
        <f t="shared" si="193"/>
        <v>0.93836148987541934</v>
      </c>
      <c r="GK10">
        <f t="shared" si="194"/>
        <v>0.93913197125197656</v>
      </c>
      <c r="GL10">
        <f t="shared" si="195"/>
        <v>0.93989282161132681</v>
      </c>
      <c r="GM10">
        <f t="shared" si="196"/>
        <v>0.94064416134118523</v>
      </c>
      <c r="GN10">
        <f t="shared" si="197"/>
        <v>0.94138610932442046</v>
      </c>
      <c r="GO10">
        <f t="shared" si="198"/>
        <v>0.94211878295786522</v>
      </c>
      <c r="GP10">
        <f t="shared" si="199"/>
        <v>0.94284229817089193</v>
      </c>
      <c r="GQ10">
        <f t="shared" si="200"/>
        <v>0.94355676944375577</v>
      </c>
      <c r="GR10">
        <f t="shared" si="201"/>
        <v>0.9442623098257088</v>
      </c>
      <c r="GS10">
        <f t="shared" si="202"/>
        <v>0.94495903095288747</v>
      </c>
      <c r="GT10">
        <f t="shared" si="203"/>
        <v>0.94564704306597636</v>
      </c>
      <c r="GU10">
        <f t="shared" si="204"/>
        <v>0.94632645502765167</v>
      </c>
      <c r="GV10">
        <f t="shared" si="205"/>
        <v>0.94699737433980602</v>
      </c>
      <c r="GW10">
        <f t="shared" si="206"/>
        <v>0.94765990716055848</v>
      </c>
      <c r="GX10">
        <f t="shared" si="207"/>
        <v>0.94831415832105148</v>
      </c>
      <c r="GY10">
        <f t="shared" si="208"/>
        <v>0.94896023134203833</v>
      </c>
      <c r="GZ10">
        <f t="shared" si="209"/>
        <v>0.94959822845026287</v>
      </c>
      <c r="HA10">
        <f t="shared" si="210"/>
        <v>0.95022825059463456</v>
      </c>
      <c r="HB10">
        <f t="shared" si="211"/>
        <v>0.95085039746220168</v>
      </c>
      <c r="HC10">
        <f t="shared" si="212"/>
        <v>0.95146476749392417</v>
      </c>
      <c r="HD10">
        <f t="shared" si="213"/>
        <v>0.95207145790025016</v>
      </c>
      <c r="HE10">
        <f t="shared" si="214"/>
        <v>0.95267056467649702</v>
      </c>
      <c r="HF10">
        <f t="shared" si="215"/>
        <v>0.95326218261804085</v>
      </c>
      <c r="HG10">
        <f t="shared" si="216"/>
        <v>0.95384640533531539</v>
      </c>
      <c r="HH10">
        <f t="shared" si="217"/>
        <v>0.95442332526862395</v>
      </c>
      <c r="HI10">
        <f t="shared" si="218"/>
        <v>0.95499303370276611</v>
      </c>
      <c r="HJ10">
        <f t="shared" si="219"/>
        <v>0.95555562078148149</v>
      </c>
      <c r="HK10">
        <f t="shared" si="220"/>
        <v>0.95611117552171299</v>
      </c>
      <c r="HL10">
        <f t="shared" si="221"/>
        <v>0.95665978582769162</v>
      </c>
      <c r="HM10">
        <f t="shared" si="222"/>
        <v>0.95720153850484546</v>
      </c>
      <c r="HN10">
        <f t="shared" si="223"/>
        <v>0.95773651927353487</v>
      </c>
      <c r="HO10">
        <f t="shared" si="224"/>
        <v>0.95826481278261566</v>
      </c>
      <c r="HP10">
        <f t="shared" si="225"/>
        <v>0.95878650262283294</v>
      </c>
      <c r="HQ10">
        <f t="shared" si="226"/>
        <v>0.95930167134004751</v>
      </c>
      <c r="HR10">
        <f t="shared" si="227"/>
        <v>0.95981040044829691</v>
      </c>
      <c r="HS10">
        <f t="shared" si="228"/>
        <v>0.96031277044269314</v>
      </c>
      <c r="HT10">
        <f t="shared" si="229"/>
        <v>0.96080886081215944</v>
      </c>
      <c r="HU10">
        <f t="shared" si="230"/>
        <v>0.96129875005200749</v>
      </c>
      <c r="HV10">
        <f t="shared" si="231"/>
        <v>0.96178251567635742</v>
      </c>
      <c r="HW10">
        <f t="shared" si="232"/>
        <v>0.96226023423040297</v>
      </c>
      <c r="HX10">
        <f t="shared" si="233"/>
        <v>0.96273198130252291</v>
      </c>
      <c r="HY10">
        <f t="shared" si="234"/>
        <v>0.96319783153624139</v>
      </c>
      <c r="HZ10">
        <f t="shared" si="235"/>
        <v>0.96365785864203835</v>
      </c>
      <c r="IA10">
        <f t="shared" si="236"/>
        <v>0.96411213540901286</v>
      </c>
      <c r="IB10">
        <f t="shared" si="237"/>
        <v>0.96456073371640016</v>
      </c>
      <c r="IC10">
        <f t="shared" si="238"/>
        <v>0.96500372454494521</v>
      </c>
      <c r="ID10">
        <f t="shared" si="239"/>
        <v>0.96544117798813334</v>
      </c>
      <c r="IE10">
        <f t="shared" si="240"/>
        <v>0.96587316326328165</v>
      </c>
      <c r="IF10">
        <f t="shared" si="241"/>
        <v>0.96629974872249058</v>
      </c>
      <c r="IG10">
        <f t="shared" si="242"/>
        <v>0.96672100186345944</v>
      </c>
      <c r="IH10">
        <f t="shared" si="243"/>
        <v>0.96713698934016623</v>
      </c>
      <c r="II10">
        <f t="shared" si="244"/>
        <v>0.96754777697341421</v>
      </c>
      <c r="IJ10">
        <f t="shared" si="245"/>
        <v>0.96795342976124654</v>
      </c>
      <c r="IK10">
        <f t="shared" si="246"/>
        <v>0.96835401188923098</v>
      </c>
      <c r="IL10">
        <f t="shared" si="247"/>
        <v>0.96874958674061562</v>
      </c>
      <c r="IM10">
        <f t="shared" si="248"/>
        <v>0.96914021690635788</v>
      </c>
      <c r="IN10">
        <f t="shared" si="249"/>
        <v>0.96952596419502846</v>
      </c>
      <c r="IO10">
        <f t="shared" si="250"/>
        <v>0.96990688964259064</v>
      </c>
      <c r="IP10">
        <f t="shared" si="251"/>
        <v>0.97028305352205824</v>
      </c>
      <c r="IQ10">
        <f t="shared" si="252"/>
        <v>0.97065451535303249</v>
      </c>
      <c r="IR10">
        <f t="shared" si="253"/>
        <v>0.97102133391111956</v>
      </c>
      <c r="IS10">
        <f t="shared" si="254"/>
        <v>0.97138356723723052</v>
      </c>
      <c r="IT10">
        <f t="shared" si="255"/>
        <v>0.97174127264676513</v>
      </c>
      <c r="IU10">
        <f t="shared" si="256"/>
        <v>0.97209450673868059</v>
      </c>
      <c r="IV10">
        <f t="shared" si="257"/>
        <v>0.97244332540444711</v>
      </c>
    </row>
    <row r="11" spans="1:256" x14ac:dyDescent="0.2">
      <c r="A11" t="s">
        <v>481</v>
      </c>
      <c r="B11">
        <f>$B$113</f>
        <v>0.33077934265136721</v>
      </c>
      <c r="C11">
        <f t="shared" si="4"/>
        <v>0.33162449157495472</v>
      </c>
      <c r="D11">
        <f t="shared" si="5"/>
        <v>0.33118546591118481</v>
      </c>
      <c r="E11">
        <f t="shared" si="6"/>
        <v>0.33073647250688953</v>
      </c>
      <c r="F11">
        <f t="shared" si="7"/>
        <v>0.33027795513020319</v>
      </c>
      <c r="G11">
        <f t="shared" si="8"/>
        <v>0.32981034337737558</v>
      </c>
      <c r="H11">
        <f t="shared" si="9"/>
        <v>0.3293340531520797</v>
      </c>
      <c r="I11">
        <f t="shared" si="10"/>
        <v>0.32884948712559314</v>
      </c>
      <c r="J11">
        <f t="shared" si="11"/>
        <v>0.32835703517877252</v>
      </c>
      <c r="K11">
        <f t="shared" si="12"/>
        <v>0.3254643354366219</v>
      </c>
      <c r="L11">
        <f t="shared" si="13"/>
        <v>0.32260329219462264</v>
      </c>
      <c r="M11">
        <f t="shared" si="14"/>
        <v>0.31977359873565914</v>
      </c>
      <c r="N11">
        <f t="shared" si="15"/>
        <v>0.31697494990296754</v>
      </c>
      <c r="O11">
        <f t="shared" si="16"/>
        <v>0.31420704215565343</v>
      </c>
      <c r="P11">
        <f t="shared" si="17"/>
        <v>0.31146957362044314</v>
      </c>
      <c r="Q11">
        <f t="shared" si="18"/>
        <v>0.30876224413986492</v>
      </c>
      <c r="R11">
        <f t="shared" si="19"/>
        <v>0.3060847553170466</v>
      </c>
      <c r="S11">
        <f t="shared" si="20"/>
        <v>0.30461492523902761</v>
      </c>
      <c r="T11">
        <f t="shared" si="21"/>
        <v>0.30315576803625538</v>
      </c>
      <c r="U11">
        <f t="shared" si="22"/>
        <v>0.30170729577543232</v>
      </c>
      <c r="V11">
        <f t="shared" si="23"/>
        <v>0.30026951686914988</v>
      </c>
      <c r="W11">
        <f t="shared" si="24"/>
        <v>0.29884243622996609</v>
      </c>
      <c r="X11">
        <f t="shared" si="25"/>
        <v>0.29742605541839229</v>
      </c>
      <c r="Y11">
        <f t="shared" si="26"/>
        <v>0.29602037278505633</v>
      </c>
      <c r="Z11">
        <f t="shared" si="27"/>
        <v>0.29462538360729568</v>
      </c>
      <c r="AA11">
        <f t="shared" si="28"/>
        <v>0.29553959412863812</v>
      </c>
      <c r="AB11">
        <f t="shared" si="29"/>
        <v>0.29642912005446015</v>
      </c>
      <c r="AC11">
        <f t="shared" si="30"/>
        <v>0.29729451047469502</v>
      </c>
      <c r="AD11">
        <f t="shared" si="31"/>
        <v>0.2981363021303185</v>
      </c>
      <c r="AE11">
        <f t="shared" si="32"/>
        <v>0.29895501972751304</v>
      </c>
      <c r="AF11">
        <f t="shared" si="33"/>
        <v>0.29975117624212555</v>
      </c>
      <c r="AG11">
        <f t="shared" si="34"/>
        <v>0.30052527321478867</v>
      </c>
      <c r="AH11">
        <f t="shared" si="35"/>
        <v>0.30127780103706026</v>
      </c>
      <c r="AI11">
        <f t="shared" si="36"/>
        <v>0.30123095491553203</v>
      </c>
      <c r="AJ11">
        <f t="shared" si="37"/>
        <v>0.30118604473839233</v>
      </c>
      <c r="AK11">
        <f t="shared" si="38"/>
        <v>0.30114307198864931</v>
      </c>
      <c r="AL11">
        <f t="shared" si="39"/>
        <v>0.30110203735729923</v>
      </c>
      <c r="AM11">
        <f t="shared" si="40"/>
        <v>0.30106294076867857</v>
      </c>
      <c r="AN11">
        <f t="shared" si="41"/>
        <v>0.30102578140516617</v>
      </c>
      <c r="AO11">
        <f t="shared" si="42"/>
        <v>0.30099055773125272</v>
      </c>
      <c r="AP11">
        <f t="shared" si="43"/>
        <v>0.30095726751699492</v>
      </c>
      <c r="AQ11">
        <f t="shared" si="44"/>
        <v>0.30465651404870919</v>
      </c>
      <c r="AR11">
        <f t="shared" si="45"/>
        <v>0.30829013339245182</v>
      </c>
      <c r="AS11">
        <f t="shared" si="46"/>
        <v>0.31185928683168712</v>
      </c>
      <c r="AT11">
        <f t="shared" si="47"/>
        <v>0.31536511368568737</v>
      </c>
      <c r="AU11">
        <f t="shared" si="48"/>
        <v>0.31880873179080177</v>
      </c>
      <c r="AV11">
        <f t="shared" si="49"/>
        <v>0.32219123796858939</v>
      </c>
      <c r="AW11">
        <f t="shared" si="50"/>
        <v>0.3255137084812727</v>
      </c>
      <c r="AX11">
        <f t="shared" si="51"/>
        <v>0.32877719947494993</v>
      </c>
      <c r="AY11">
        <f t="shared" si="52"/>
        <v>0.33716748448151307</v>
      </c>
      <c r="AZ11">
        <f t="shared" si="53"/>
        <v>0.34545289092549414</v>
      </c>
      <c r="BA11">
        <f t="shared" si="54"/>
        <v>0.35363472978892546</v>
      </c>
      <c r="BB11">
        <f t="shared" si="55"/>
        <v>0.36171429566656388</v>
      </c>
      <c r="BC11">
        <f t="shared" si="56"/>
        <v>0.36969286697073184</v>
      </c>
      <c r="BD11">
        <f t="shared" si="57"/>
        <v>0.3775717061335977</v>
      </c>
      <c r="BE11">
        <f t="shared" si="58"/>
        <v>0.38535205980692772</v>
      </c>
      <c r="BF11">
        <f t="shared" si="59"/>
        <v>0.39303515905934111</v>
      </c>
      <c r="BG11">
        <f t="shared" si="60"/>
        <v>0.40062221957109934</v>
      </c>
      <c r="BH11">
        <f t="shared" si="61"/>
        <v>0.40811444182646062</v>
      </c>
      <c r="BI11">
        <f t="shared" si="62"/>
        <v>0.41551301130362983</v>
      </c>
      <c r="BJ11">
        <f t="shared" si="63"/>
        <v>0.42281909866233447</v>
      </c>
      <c r="BK11">
        <f t="shared" si="64"/>
        <v>0.4300338599290553</v>
      </c>
      <c r="BL11">
        <f t="shared" si="65"/>
        <v>0.43715843667994209</v>
      </c>
      <c r="BM11">
        <f t="shared" si="66"/>
        <v>0.44419395622144281</v>
      </c>
      <c r="BN11">
        <f t="shared" si="67"/>
        <v>0.45114153176867478</v>
      </c>
      <c r="BO11">
        <f t="shared" si="68"/>
        <v>0.45798363099238171</v>
      </c>
      <c r="BP11">
        <f t="shared" si="69"/>
        <v>0.46471744172584878</v>
      </c>
      <c r="BQ11">
        <f t="shared" si="70"/>
        <v>0.47134468342962521</v>
      </c>
      <c r="BR11">
        <f t="shared" si="71"/>
        <v>0.47786792674391554</v>
      </c>
      <c r="BS11">
        <f t="shared" si="72"/>
        <v>0.48429043902716762</v>
      </c>
      <c r="BT11">
        <f t="shared" si="73"/>
        <v>0.49061538491062234</v>
      </c>
      <c r="BU11">
        <f t="shared" si="74"/>
        <v>0.49684583071040228</v>
      </c>
      <c r="BV11">
        <f t="shared" si="75"/>
        <v>0.50298474859213926</v>
      </c>
      <c r="BW11">
        <f t="shared" si="76"/>
        <v>0.50903502050517646</v>
      </c>
      <c r="BX11">
        <f t="shared" si="77"/>
        <v>0.51499944190199898</v>
      </c>
      <c r="BY11">
        <f t="shared" si="78"/>
        <v>0.52088072525729623</v>
      </c>
      <c r="BZ11">
        <f t="shared" si="79"/>
        <v>0.52668150339991848</v>
      </c>
      <c r="CA11">
        <f t="shared" si="80"/>
        <v>0.53240433266995679</v>
      </c>
      <c r="CB11">
        <f t="shared" si="81"/>
        <v>0.53805169591223123</v>
      </c>
      <c r="CC11">
        <f t="shared" si="82"/>
        <v>0.54362600531661232</v>
      </c>
      <c r="CD11">
        <f t="shared" si="83"/>
        <v>0.54912960511481568</v>
      </c>
      <c r="CE11">
        <f t="shared" si="84"/>
        <v>0.55456477414259275</v>
      </c>
      <c r="CF11">
        <f t="shared" si="85"/>
        <v>0.55993372827558263</v>
      </c>
      <c r="CG11">
        <f t="shared" si="86"/>
        <v>0.56523862274649106</v>
      </c>
      <c r="CH11">
        <f t="shared" si="87"/>
        <v>0.57048155435071002</v>
      </c>
      <c r="CI11">
        <f t="shared" si="88"/>
        <v>0.57566456354698603</v>
      </c>
      <c r="CJ11">
        <f t="shared" si="89"/>
        <v>0.58078963645928083</v>
      </c>
      <c r="CK11">
        <f t="shared" si="90"/>
        <v>0.58585870678554164</v>
      </c>
      <c r="CL11">
        <f t="shared" si="91"/>
        <v>0.5908736576187037</v>
      </c>
      <c r="CM11">
        <f t="shared" si="92"/>
        <v>0.59583632318488777</v>
      </c>
      <c r="CN11">
        <f t="shared" si="93"/>
        <v>0.60074849050341961</v>
      </c>
      <c r="CO11">
        <f t="shared" si="94"/>
        <v>0.60561190097299178</v>
      </c>
      <c r="CP11">
        <f t="shared" si="95"/>
        <v>0.6104282518880032</v>
      </c>
      <c r="CQ11">
        <f t="shared" si="96"/>
        <v>0.61519919788884847</v>
      </c>
      <c r="CR11">
        <f t="shared" si="97"/>
        <v>0.61992635234968774</v>
      </c>
      <c r="CS11">
        <f t="shared" si="98"/>
        <v>0.62461128870699933</v>
      </c>
      <c r="CT11">
        <f t="shared" si="99"/>
        <v>0.62925554173201248</v>
      </c>
      <c r="CU11">
        <f t="shared" si="100"/>
        <v>0.6338606087499209</v>
      </c>
      <c r="CV11">
        <f t="shared" si="101"/>
        <v>0.63842795080860093</v>
      </c>
      <c r="CW11">
        <f t="shared" si="102"/>
        <v>0.64294760142349339</v>
      </c>
      <c r="CX11">
        <f t="shared" si="103"/>
        <v>0.64741075640569967</v>
      </c>
      <c r="CY11">
        <f t="shared" si="104"/>
        <v>0.65181812195062838</v>
      </c>
      <c r="CZ11">
        <f t="shared" si="105"/>
        <v>0.65617039542624556</v>
      </c>
      <c r="DA11">
        <f t="shared" si="106"/>
        <v>0.66046826548341753</v>
      </c>
      <c r="DB11">
        <f t="shared" si="107"/>
        <v>0.66471241216487476</v>
      </c>
      <c r="DC11">
        <f t="shared" si="108"/>
        <v>0.66890350701281387</v>
      </c>
      <c r="DD11">
        <f t="shared" si="109"/>
        <v>0.67304221317515367</v>
      </c>
      <c r="DE11">
        <f t="shared" si="110"/>
        <v>0.67712918551046419</v>
      </c>
      <c r="DF11">
        <f t="shared" si="111"/>
        <v>0.68116507069158339</v>
      </c>
      <c r="DG11">
        <f t="shared" si="112"/>
        <v>0.68515050730793858</v>
      </c>
      <c r="DH11">
        <f t="shared" si="113"/>
        <v>0.68908612596658936</v>
      </c>
      <c r="DI11">
        <f t="shared" si="114"/>
        <v>0.69297254939200703</v>
      </c>
      <c r="DJ11">
        <f t="shared" si="115"/>
        <v>0.69681039252460697</v>
      </c>
      <c r="DK11">
        <f t="shared" si="116"/>
        <v>0.70060026261804942</v>
      </c>
      <c r="DL11">
        <f t="shared" si="117"/>
        <v>0.70434275933532375</v>
      </c>
      <c r="DM11">
        <f t="shared" si="118"/>
        <v>0.70803847484363225</v>
      </c>
      <c r="DN11">
        <f t="shared" si="119"/>
        <v>0.71168799390808679</v>
      </c>
      <c r="DO11">
        <f t="shared" si="120"/>
        <v>0.71529189398423576</v>
      </c>
      <c r="DP11">
        <f t="shared" si="121"/>
        <v>0.71885074530943283</v>
      </c>
      <c r="DQ11">
        <f t="shared" si="122"/>
        <v>0.72236511099306489</v>
      </c>
      <c r="DR11">
        <f t="shared" si="123"/>
        <v>0.72583554710565157</v>
      </c>
      <c r="DS11">
        <f t="shared" si="124"/>
        <v>0.72926260276683097</v>
      </c>
      <c r="DT11">
        <f t="shared" si="125"/>
        <v>0.73264682023224559</v>
      </c>
      <c r="DU11">
        <f t="shared" si="126"/>
        <v>0.73598873497934247</v>
      </c>
      <c r="DV11">
        <f t="shared" si="127"/>
        <v>0.73928887579210067</v>
      </c>
      <c r="DW11">
        <f t="shared" si="128"/>
        <v>0.74254776484469942</v>
      </c>
      <c r="DX11">
        <f t="shared" si="129"/>
        <v>0.7457659177841407</v>
      </c>
      <c r="DY11">
        <f t="shared" si="130"/>
        <v>0.74894384381183898</v>
      </c>
      <c r="DZ11">
        <f t="shared" si="131"/>
        <v>0.75208204576419102</v>
      </c>
      <c r="EA11">
        <f t="shared" si="132"/>
        <v>0.75518102019213862</v>
      </c>
      <c r="EB11">
        <f t="shared" si="133"/>
        <v>0.75824125743973692</v>
      </c>
      <c r="EC11">
        <f t="shared" si="134"/>
        <v>0.7612632417217402</v>
      </c>
      <c r="ED11">
        <f t="shared" si="135"/>
        <v>0.76424745120021842</v>
      </c>
      <c r="EE11">
        <f t="shared" si="136"/>
        <v>0.76719435806021574</v>
      </c>
      <c r="EF11">
        <f t="shared" si="137"/>
        <v>0.77010442858446304</v>
      </c>
      <c r="EG11">
        <f t="shared" si="138"/>
        <v>0.7729781232271572</v>
      </c>
      <c r="EH11">
        <f t="shared" si="139"/>
        <v>0.77581589668681772</v>
      </c>
      <c r="EI11">
        <f t="shared" si="140"/>
        <v>0.77861819797823251</v>
      </c>
      <c r="EJ11">
        <f t="shared" si="141"/>
        <v>0.7813854705035046</v>
      </c>
      <c r="EK11">
        <f t="shared" si="142"/>
        <v>0.78411815212221081</v>
      </c>
      <c r="EL11">
        <f t="shared" si="143"/>
        <v>0.78681667522068321</v>
      </c>
      <c r="EM11">
        <f t="shared" si="144"/>
        <v>0.78948146678042463</v>
      </c>
      <c r="EN11">
        <f t="shared" si="145"/>
        <v>0.79211294844566937</v>
      </c>
      <c r="EO11">
        <f t="shared" si="146"/>
        <v>0.79471153659009852</v>
      </c>
      <c r="EP11">
        <f t="shared" si="147"/>
        <v>0.79727764238272225</v>
      </c>
      <c r="EQ11">
        <f t="shared" si="148"/>
        <v>0.79981167185293822</v>
      </c>
      <c r="ER11">
        <f t="shared" si="149"/>
        <v>0.80231402595477652</v>
      </c>
      <c r="ES11">
        <f t="shared" si="150"/>
        <v>0.80478510063034181</v>
      </c>
      <c r="ET11">
        <f t="shared" si="151"/>
        <v>0.80722528687246253</v>
      </c>
      <c r="EU11">
        <f t="shared" si="152"/>
        <v>0.80963497078655677</v>
      </c>
      <c r="EV11">
        <f t="shared" si="153"/>
        <v>0.81201453365172482</v>
      </c>
      <c r="EW11">
        <f t="shared" si="154"/>
        <v>0.81436435198107826</v>
      </c>
      <c r="EX11">
        <f t="shared" si="155"/>
        <v>0.81668479758131474</v>
      </c>
      <c r="EY11">
        <f t="shared" si="156"/>
        <v>0.81897623761154825</v>
      </c>
      <c r="EZ11">
        <f t="shared" si="157"/>
        <v>0.82123903464140391</v>
      </c>
      <c r="FA11">
        <f t="shared" si="158"/>
        <v>0.82347354670838635</v>
      </c>
      <c r="FB11">
        <f t="shared" si="159"/>
        <v>0.82568012737453156</v>
      </c>
      <c r="FC11">
        <f t="shared" si="160"/>
        <v>0.82785912578234988</v>
      </c>
      <c r="FD11">
        <f t="shared" si="161"/>
        <v>0.83001088671007051</v>
      </c>
      <c r="FE11">
        <f t="shared" si="162"/>
        <v>0.8321357506261946</v>
      </c>
      <c r="FF11">
        <f t="shared" si="163"/>
        <v>0.83423405374336712</v>
      </c>
      <c r="FG11">
        <f t="shared" si="164"/>
        <v>0.83630612807157501</v>
      </c>
      <c r="FH11">
        <f t="shared" si="165"/>
        <v>0.83835230147068029</v>
      </c>
      <c r="FI11">
        <f t="shared" si="166"/>
        <v>0.84037289770229684</v>
      </c>
      <c r="FJ11">
        <f t="shared" si="167"/>
        <v>0.84236823648101811</v>
      </c>
      <c r="FK11">
        <f t="shared" si="168"/>
        <v>0.84433863352500538</v>
      </c>
      <c r="FL11">
        <f t="shared" si="169"/>
        <v>0.84628440060594279</v>
      </c>
      <c r="FM11">
        <f t="shared" si="170"/>
        <v>0.84820584559836854</v>
      </c>
      <c r="FN11">
        <f t="shared" si="171"/>
        <v>0.85010327252838891</v>
      </c>
      <c r="FO11">
        <f t="shared" si="172"/>
        <v>0.85197698162178404</v>
      </c>
      <c r="FP11">
        <f t="shared" si="173"/>
        <v>0.85382726935151176</v>
      </c>
      <c r="FQ11">
        <f t="shared" si="174"/>
        <v>0.85565442848461781</v>
      </c>
      <c r="FR11">
        <f t="shared" si="175"/>
        <v>0.85745874812856004</v>
      </c>
      <c r="FS11">
        <f t="shared" si="176"/>
        <v>0.8592405137769531</v>
      </c>
      <c r="FT11">
        <f t="shared" si="177"/>
        <v>0.86100000735474114</v>
      </c>
      <c r="FU11">
        <f t="shared" si="178"/>
        <v>0.86273750726280685</v>
      </c>
      <c r="FV11">
        <f t="shared" si="179"/>
        <v>0.86445328842202174</v>
      </c>
      <c r="FW11">
        <f t="shared" si="180"/>
        <v>0.86614762231674647</v>
      </c>
      <c r="FX11">
        <f t="shared" si="181"/>
        <v>0.86782077703778715</v>
      </c>
      <c r="FY11">
        <f t="shared" si="182"/>
        <v>0.86947301732481486</v>
      </c>
      <c r="FZ11">
        <f t="shared" si="183"/>
        <v>0.87110460460825467</v>
      </c>
      <c r="GA11">
        <f t="shared" si="184"/>
        <v>0.8727157970506515</v>
      </c>
      <c r="GB11">
        <f t="shared" si="185"/>
        <v>0.87430684958751836</v>
      </c>
      <c r="GC11">
        <f t="shared" si="186"/>
        <v>0.8758780139676744</v>
      </c>
      <c r="GD11">
        <f t="shared" si="187"/>
        <v>0.8774295387930785</v>
      </c>
      <c r="GE11">
        <f t="shared" si="188"/>
        <v>0.87896166955816502</v>
      </c>
      <c r="GF11">
        <f t="shared" si="189"/>
        <v>0.88047464868868797</v>
      </c>
      <c r="GG11">
        <f t="shared" si="190"/>
        <v>0.88196871558007939</v>
      </c>
      <c r="GH11">
        <f t="shared" si="191"/>
        <v>0.88344410663532835</v>
      </c>
      <c r="GI11">
        <f t="shared" si="192"/>
        <v>0.88490105530238672</v>
      </c>
      <c r="GJ11">
        <f t="shared" si="193"/>
        <v>0.88633979211110692</v>
      </c>
      <c r="GK11">
        <f t="shared" si="194"/>
        <v>0.8877605447097181</v>
      </c>
      <c r="GL11">
        <f t="shared" si="195"/>
        <v>0.88916353790084668</v>
      </c>
      <c r="GM11">
        <f t="shared" si="196"/>
        <v>0.89054899367708606</v>
      </c>
      <c r="GN11">
        <f t="shared" si="197"/>
        <v>0.89191713125612249</v>
      </c>
      <c r="GO11">
        <f t="shared" si="198"/>
        <v>0.89326816711542101</v>
      </c>
      <c r="GP11">
        <f t="shared" si="199"/>
        <v>0.89460231502647825</v>
      </c>
      <c r="GQ11">
        <f t="shared" si="200"/>
        <v>0.89591978608864731</v>
      </c>
      <c r="GR11">
        <f t="shared" si="201"/>
        <v>0.89722078876253919</v>
      </c>
      <c r="GS11">
        <f t="shared" si="202"/>
        <v>0.8985055289030075</v>
      </c>
      <c r="GT11">
        <f t="shared" si="203"/>
        <v>0.89977420979171996</v>
      </c>
      <c r="GU11">
        <f t="shared" si="204"/>
        <v>0.90102703216932345</v>
      </c>
      <c r="GV11">
        <f t="shared" si="205"/>
        <v>0.90226419426720694</v>
      </c>
      <c r="GW11">
        <f t="shared" si="206"/>
        <v>0.90348589183886685</v>
      </c>
      <c r="GX11">
        <f t="shared" si="207"/>
        <v>0.90469231819088103</v>
      </c>
      <c r="GY11">
        <f t="shared" si="208"/>
        <v>0.90588366421349498</v>
      </c>
      <c r="GZ11">
        <f t="shared" si="209"/>
        <v>0.90706011841082634</v>
      </c>
      <c r="HA11">
        <f t="shared" si="210"/>
        <v>0.90822186693069107</v>
      </c>
      <c r="HB11">
        <f t="shared" si="211"/>
        <v>0.90936909359405738</v>
      </c>
      <c r="HC11">
        <f t="shared" si="212"/>
        <v>0.91050197992413162</v>
      </c>
      <c r="HD11">
        <f t="shared" si="213"/>
        <v>0.91162070517507998</v>
      </c>
      <c r="HE11">
        <f t="shared" si="214"/>
        <v>0.91272544636039143</v>
      </c>
      <c r="HF11">
        <f t="shared" si="215"/>
        <v>0.91381637828088658</v>
      </c>
      <c r="HG11">
        <f t="shared" si="216"/>
        <v>0.9148936735523755</v>
      </c>
      <c r="HH11">
        <f t="shared" si="217"/>
        <v>0.91595750263297082</v>
      </c>
      <c r="HI11">
        <f t="shared" si="218"/>
        <v>0.91700803385005869</v>
      </c>
      <c r="HJ11">
        <f t="shared" si="219"/>
        <v>0.91804543342693301</v>
      </c>
      <c r="HK11">
        <f t="shared" si="220"/>
        <v>0.91906986550909631</v>
      </c>
      <c r="HL11">
        <f t="shared" si="221"/>
        <v>0.92008149219023261</v>
      </c>
      <c r="HM11">
        <f t="shared" si="222"/>
        <v>0.92108047353785472</v>
      </c>
      <c r="HN11">
        <f t="shared" si="223"/>
        <v>0.92206696761863149</v>
      </c>
      <c r="HO11">
        <f t="shared" si="224"/>
        <v>0.92304113052339865</v>
      </c>
      <c r="HP11">
        <f t="shared" si="225"/>
        <v>0.92400311639185617</v>
      </c>
      <c r="HQ11">
        <f t="shared" si="226"/>
        <v>0.92495307743695798</v>
      </c>
      <c r="HR11">
        <f t="shared" si="227"/>
        <v>0.92589116396899596</v>
      </c>
      <c r="HS11">
        <f t="shared" si="228"/>
        <v>0.92681752441938348</v>
      </c>
      <c r="HT11">
        <f t="shared" si="229"/>
        <v>0.9277323053641412</v>
      </c>
      <c r="HU11">
        <f t="shared" si="230"/>
        <v>0.92863565154708938</v>
      </c>
      <c r="HV11">
        <f t="shared" si="231"/>
        <v>0.9295277059027508</v>
      </c>
      <c r="HW11">
        <f t="shared" si="232"/>
        <v>0.93040860957896643</v>
      </c>
      <c r="HX11">
        <f t="shared" si="233"/>
        <v>0.93127850195922934</v>
      </c>
      <c r="HY11">
        <f t="shared" si="234"/>
        <v>0.93213752068473898</v>
      </c>
      <c r="HZ11">
        <f t="shared" si="235"/>
        <v>0.93298580167617973</v>
      </c>
      <c r="IA11">
        <f t="shared" si="236"/>
        <v>0.93382347915522745</v>
      </c>
      <c r="IB11">
        <f t="shared" si="237"/>
        <v>0.93465068566578713</v>
      </c>
      <c r="IC11">
        <f t="shared" si="238"/>
        <v>0.93546755209496479</v>
      </c>
      <c r="ID11">
        <f t="shared" si="239"/>
        <v>0.93627420769377778</v>
      </c>
      <c r="IE11">
        <f t="shared" si="240"/>
        <v>0.93707078009760558</v>
      </c>
      <c r="IF11">
        <f t="shared" si="241"/>
        <v>0.93785739534638546</v>
      </c>
      <c r="IG11">
        <f t="shared" si="242"/>
        <v>0.93863417790455561</v>
      </c>
      <c r="IH11">
        <f t="shared" si="243"/>
        <v>0.93940125068074865</v>
      </c>
      <c r="II11">
        <f t="shared" si="244"/>
        <v>0.94015873504723924</v>
      </c>
      <c r="IJ11">
        <f t="shared" si="245"/>
        <v>0.94090675085914877</v>
      </c>
      <c r="IK11">
        <f t="shared" si="246"/>
        <v>0.94164541647340938</v>
      </c>
      <c r="IL11">
        <f t="shared" si="247"/>
        <v>0.94237484876749178</v>
      </c>
      <c r="IM11">
        <f t="shared" si="248"/>
        <v>0.9430951631578981</v>
      </c>
      <c r="IN11">
        <f t="shared" si="249"/>
        <v>0.9438064736184244</v>
      </c>
      <c r="IO11">
        <f t="shared" si="250"/>
        <v>0.94450889269819405</v>
      </c>
      <c r="IP11">
        <f t="shared" si="251"/>
        <v>0.94520253153946665</v>
      </c>
      <c r="IQ11">
        <f t="shared" si="252"/>
        <v>0.94588749989522336</v>
      </c>
      <c r="IR11">
        <f t="shared" si="253"/>
        <v>0.94656390614653307</v>
      </c>
      <c r="IS11">
        <f t="shared" si="254"/>
        <v>0.94723185731970139</v>
      </c>
      <c r="IT11">
        <f t="shared" si="255"/>
        <v>0.94789145910320516</v>
      </c>
      <c r="IU11">
        <f t="shared" si="256"/>
        <v>0.94854281586441513</v>
      </c>
      <c r="IV11">
        <f t="shared" si="257"/>
        <v>0.94918603066610996</v>
      </c>
    </row>
    <row r="12" spans="1:256" x14ac:dyDescent="0.2">
      <c r="A12" t="s">
        <v>482</v>
      </c>
      <c r="B12">
        <f>$B$114</f>
        <v>0.72533958435058599</v>
      </c>
      <c r="C12">
        <f t="shared" si="4"/>
        <v>0.71629293384578174</v>
      </c>
      <c r="D12">
        <f t="shared" si="5"/>
        <v>0.70854446022522</v>
      </c>
      <c r="E12">
        <f t="shared" si="6"/>
        <v>0.70090971444683547</v>
      </c>
      <c r="F12">
        <f t="shared" si="7"/>
        <v>0.69338668004240411</v>
      </c>
      <c r="G12">
        <f t="shared" si="8"/>
        <v>0.68597336990831204</v>
      </c>
      <c r="H12">
        <f t="shared" si="9"/>
        <v>0.67866782640209367</v>
      </c>
      <c r="I12">
        <f t="shared" si="10"/>
        <v>0.67146812141913537</v>
      </c>
      <c r="J12">
        <f t="shared" si="11"/>
        <v>0.6643723564483488</v>
      </c>
      <c r="K12">
        <f t="shared" si="12"/>
        <v>0.65737866260605571</v>
      </c>
      <c r="L12">
        <f t="shared" si="13"/>
        <v>0.65046868797531754</v>
      </c>
      <c r="M12">
        <f t="shared" si="14"/>
        <v>0.64364059543008267</v>
      </c>
      <c r="N12">
        <f t="shared" si="15"/>
        <v>0.63689261351527682</v>
      </c>
      <c r="O12">
        <f t="shared" si="16"/>
        <v>0.63022303283374725</v>
      </c>
      <c r="P12">
        <f t="shared" si="17"/>
        <v>0.62363020275707237</v>
      </c>
      <c r="Q12">
        <f t="shared" si="18"/>
        <v>0.61711252843311659</v>
      </c>
      <c r="R12">
        <f t="shared" si="19"/>
        <v>0.61066846806437913</v>
      </c>
      <c r="S12">
        <f t="shared" si="20"/>
        <v>0.60429653043246478</v>
      </c>
      <c r="T12">
        <f t="shared" si="21"/>
        <v>0.59799693992105063</v>
      </c>
      <c r="U12">
        <f t="shared" si="22"/>
        <v>0.59176825442776249</v>
      </c>
      <c r="V12">
        <f t="shared" si="23"/>
        <v>0.58560907537440388</v>
      </c>
      <c r="W12">
        <f t="shared" si="24"/>
        <v>0.57951804620737413</v>
      </c>
      <c r="X12">
        <f t="shared" si="25"/>
        <v>0.57349385100111261</v>
      </c>
      <c r="Y12">
        <f t="shared" si="26"/>
        <v>0.56753521315455013</v>
      </c>
      <c r="Z12">
        <f t="shared" si="27"/>
        <v>0.56164089417128571</v>
      </c>
      <c r="AA12">
        <f t="shared" si="28"/>
        <v>0.5558096925149153</v>
      </c>
      <c r="AB12">
        <f t="shared" si="29"/>
        <v>0.55007122088931826</v>
      </c>
      <c r="AC12">
        <f t="shared" si="30"/>
        <v>0.54442450522313401</v>
      </c>
      <c r="AD12">
        <f t="shared" si="31"/>
        <v>0.53886858363772727</v>
      </c>
      <c r="AE12">
        <f t="shared" si="32"/>
        <v>0.53340250527932365</v>
      </c>
      <c r="AF12">
        <f t="shared" si="33"/>
        <v>0.52802532922805401</v>
      </c>
      <c r="AG12">
        <f t="shared" si="34"/>
        <v>0.52273612347993448</v>
      </c>
      <c r="AH12">
        <f t="shared" si="35"/>
        <v>0.51753396399800544</v>
      </c>
      <c r="AI12">
        <f t="shared" si="36"/>
        <v>0.52087968127697737</v>
      </c>
      <c r="AJ12">
        <f t="shared" si="37"/>
        <v>0.52425398210673357</v>
      </c>
      <c r="AK12">
        <f t="shared" si="38"/>
        <v>0.52765497856699584</v>
      </c>
      <c r="AL12">
        <f t="shared" si="39"/>
        <v>0.53108090186915735</v>
      </c>
      <c r="AM12">
        <f t="shared" si="40"/>
        <v>0.5345300999109962</v>
      </c>
      <c r="AN12">
        <f t="shared" si="41"/>
        <v>0.53800103480649419</v>
      </c>
      <c r="AO12">
        <f t="shared" si="42"/>
        <v>0.54149228040273845</v>
      </c>
      <c r="AP12">
        <f t="shared" si="43"/>
        <v>0.54500251979496983</v>
      </c>
      <c r="AQ12">
        <f t="shared" si="44"/>
        <v>0.53961560393682118</v>
      </c>
      <c r="AR12">
        <f t="shared" si="45"/>
        <v>0.53432958057437185</v>
      </c>
      <c r="AS12">
        <f t="shared" si="46"/>
        <v>0.52914293008929969</v>
      </c>
      <c r="AT12">
        <f t="shared" si="47"/>
        <v>0.52405414765913905</v>
      </c>
      <c r="AU12">
        <f t="shared" si="48"/>
        <v>0.51906174417331141</v>
      </c>
      <c r="AV12">
        <f t="shared" si="49"/>
        <v>0.51416424710059017</v>
      </c>
      <c r="AW12">
        <f t="shared" si="50"/>
        <v>0.50936020130860504</v>
      </c>
      <c r="AX12">
        <f t="shared" si="51"/>
        <v>0.50464816983618854</v>
      </c>
      <c r="AY12">
        <f t="shared" si="52"/>
        <v>0.50002673461952751</v>
      </c>
      <c r="AZ12">
        <f t="shared" si="53"/>
        <v>0.49550959148218643</v>
      </c>
      <c r="BA12">
        <f t="shared" si="54"/>
        <v>0.49109715631723083</v>
      </c>
      <c r="BB12">
        <f t="shared" si="55"/>
        <v>0.48679004172661611</v>
      </c>
      <c r="BC12">
        <f t="shared" si="56"/>
        <v>0.48258906452729433</v>
      </c>
      <c r="BD12">
        <f t="shared" si="57"/>
        <v>0.4784952547772065</v>
      </c>
      <c r="BE12">
        <f t="shared" si="58"/>
        <v>0.47450986644873233</v>
      </c>
      <c r="BF12">
        <f t="shared" si="59"/>
        <v>0.47063438989986756</v>
      </c>
      <c r="BG12">
        <f t="shared" si="60"/>
        <v>0.46687056631947571</v>
      </c>
      <c r="BH12">
        <f t="shared" si="61"/>
        <v>0.46322040435306316</v>
      </c>
      <c r="BI12">
        <f t="shared" si="62"/>
        <v>0.45968619915044112</v>
      </c>
      <c r="BJ12">
        <f t="shared" si="63"/>
        <v>0.45627010554083924</v>
      </c>
      <c r="BK12">
        <f t="shared" si="64"/>
        <v>0.45297358848183139</v>
      </c>
      <c r="BL12">
        <f t="shared" si="65"/>
        <v>0.44979831109675494</v>
      </c>
      <c r="BM12">
        <f t="shared" si="66"/>
        <v>0.44674614634931309</v>
      </c>
      <c r="BN12">
        <f t="shared" si="67"/>
        <v>0.44381918806319465</v>
      </c>
      <c r="BO12">
        <f t="shared" si="68"/>
        <v>0.44101764951657574</v>
      </c>
      <c r="BP12">
        <f t="shared" si="69"/>
        <v>0.43834166223101145</v>
      </c>
      <c r="BQ12">
        <f t="shared" si="70"/>
        <v>0.43579138578842402</v>
      </c>
      <c r="BR12">
        <f t="shared" si="71"/>
        <v>0.4333670383415229</v>
      </c>
      <c r="BS12">
        <f t="shared" si="72"/>
        <v>0.43106890542483062</v>
      </c>
      <c r="BT12">
        <f t="shared" si="73"/>
        <v>0.4288973483807007</v>
      </c>
      <c r="BU12">
        <f t="shared" si="74"/>
        <v>0.42685280629890782</v>
      </c>
      <c r="BV12">
        <f t="shared" si="75"/>
        <v>0.42493489774319071</v>
      </c>
      <c r="BW12">
        <f t="shared" si="76"/>
        <v>0.4231428062747486</v>
      </c>
      <c r="BX12">
        <f t="shared" si="77"/>
        <v>0.42147572631060726</v>
      </c>
      <c r="BY12">
        <f t="shared" si="78"/>
        <v>0.41993286635022692</v>
      </c>
      <c r="BZ12">
        <f t="shared" si="79"/>
        <v>0.418513452203989</v>
      </c>
      <c r="CA12">
        <f t="shared" si="80"/>
        <v>0.41721673022188288</v>
      </c>
      <c r="CB12">
        <f t="shared" si="81"/>
        <v>0.41604197052104441</v>
      </c>
      <c r="CC12">
        <f t="shared" si="82"/>
        <v>0.41498847021111884</v>
      </c>
      <c r="CD12">
        <f t="shared" si="83"/>
        <v>0.41405555661673427</v>
      </c>
      <c r="CE12">
        <f t="shared" si="84"/>
        <v>0.41324259049667716</v>
      </c>
      <c r="CF12">
        <f t="shared" si="85"/>
        <v>0.41254896925966017</v>
      </c>
      <c r="CG12">
        <f t="shared" si="86"/>
        <v>0.41197413017686579</v>
      </c>
      <c r="CH12">
        <f t="shared" si="87"/>
        <v>0.41151755359173731</v>
      </c>
      <c r="CI12">
        <f t="shared" si="88"/>
        <v>0.4111787661277716</v>
      </c>
      <c r="CJ12">
        <f t="shared" si="89"/>
        <v>0.41095734389534982</v>
      </c>
      <c r="CK12">
        <f t="shared" si="90"/>
        <v>0.41085291569891919</v>
      </c>
      <c r="CL12">
        <f t="shared" si="91"/>
        <v>0.41086516624611552</v>
      </c>
      <c r="CM12">
        <f t="shared" si="92"/>
        <v>0.41099383936069245</v>
      </c>
      <c r="CN12">
        <f t="shared" si="93"/>
        <v>0.41123874120139786</v>
      </c>
      <c r="CO12">
        <f t="shared" si="94"/>
        <v>0.41159974348921624</v>
      </c>
      <c r="CP12">
        <f t="shared" si="95"/>
        <v>0.41207678674567289</v>
      </c>
      <c r="CQ12">
        <f t="shared" si="96"/>
        <v>0.41266987788429077</v>
      </c>
      <c r="CR12">
        <f t="shared" si="97"/>
        <v>0.41337909070095452</v>
      </c>
      <c r="CS12">
        <f t="shared" si="98"/>
        <v>0.41420456835200997</v>
      </c>
      <c r="CT12">
        <f t="shared" si="99"/>
        <v>0.41514652583417866</v>
      </c>
      <c r="CU12">
        <f t="shared" si="100"/>
        <v>0.41620525246971207</v>
      </c>
      <c r="CV12">
        <f t="shared" si="101"/>
        <v>0.41738111440037745</v>
      </c>
      <c r="CW12">
        <f t="shared" si="102"/>
        <v>0.41867455709403578</v>
      </c>
      <c r="CX12">
        <f t="shared" si="103"/>
        <v>0.42008599012751191</v>
      </c>
      <c r="CY12">
        <f t="shared" si="104"/>
        <v>0.42161579740560423</v>
      </c>
      <c r="CZ12">
        <f t="shared" si="105"/>
        <v>0.42326443650620166</v>
      </c>
      <c r="DA12">
        <f t="shared" si="106"/>
        <v>0.42503244100061593</v>
      </c>
      <c r="DB12">
        <f t="shared" si="107"/>
        <v>0.42692042277062686</v>
      </c>
      <c r="DC12">
        <f t="shared" si="108"/>
        <v>0.42892907432468647</v>
      </c>
      <c r="DD12">
        <f t="shared" si="109"/>
        <v>0.43105917111589404</v>
      </c>
      <c r="DE12">
        <f t="shared" si="110"/>
        <v>0.43331157386452046</v>
      </c>
      <c r="DF12">
        <f t="shared" si="111"/>
        <v>0.43568723088802486</v>
      </c>
      <c r="DG12">
        <f t="shared" si="112"/>
        <v>0.43818718044167088</v>
      </c>
      <c r="DH12">
        <f t="shared" si="113"/>
        <v>0.44081255307301326</v>
      </c>
      <c r="DI12">
        <f t="shared" si="114"/>
        <v>0.44356457399368815</v>
      </c>
      <c r="DJ12">
        <f t="shared" si="115"/>
        <v>0.44644456547210082</v>
      </c>
      <c r="DK12">
        <f t="shared" si="116"/>
        <v>0.44945394925076537</v>
      </c>
      <c r="DL12">
        <f t="shared" si="117"/>
        <v>0.45259424899220946</v>
      </c>
      <c r="DM12">
        <f t="shared" si="118"/>
        <v>0.45586709275751397</v>
      </c>
      <c r="DN12">
        <f t="shared" si="119"/>
        <v>0.45927421552171493</v>
      </c>
      <c r="DO12">
        <f t="shared" si="120"/>
        <v>0.46281746173044852</v>
      </c>
      <c r="DP12">
        <f t="shared" si="121"/>
        <v>0.46649878790237465</v>
      </c>
      <c r="DQ12">
        <f t="shared" si="122"/>
        <v>0.47032026528206566</v>
      </c>
      <c r="DR12">
        <f t="shared" si="123"/>
        <v>0.47428408254819943</v>
      </c>
      <c r="DS12">
        <f t="shared" si="124"/>
        <v>0.47839254858204461</v>
      </c>
      <c r="DT12">
        <f t="shared" si="125"/>
        <v>0.48264809530137603</v>
      </c>
      <c r="DU12">
        <f t="shared" si="126"/>
        <v>0.48705328056510583</v>
      </c>
      <c r="DV12">
        <f t="shared" si="127"/>
        <v>0.49161079115406447</v>
      </c>
      <c r="DW12">
        <f t="shared" si="128"/>
        <v>0.49632344583351251</v>
      </c>
      <c r="DX12">
        <f t="shared" si="129"/>
        <v>0.50119419850311164</v>
      </c>
      <c r="DY12">
        <f t="shared" si="130"/>
        <v>0.50622614144023104</v>
      </c>
      <c r="DZ12">
        <f t="shared" si="131"/>
        <v>0.51142250864261285</v>
      </c>
      <c r="EA12">
        <f t="shared" si="132"/>
        <v>0.51678667927656985</v>
      </c>
      <c r="EB12">
        <f t="shared" si="133"/>
        <v>0.52232218123703755</v>
      </c>
      <c r="EC12">
        <f t="shared" si="134"/>
        <v>0.52803269482595572</v>
      </c>
      <c r="ED12">
        <f t="shared" si="135"/>
        <v>0.53392205655560621</v>
      </c>
      <c r="EE12">
        <f t="shared" si="136"/>
        <v>0.53974803084866108</v>
      </c>
      <c r="EF12">
        <f t="shared" si="137"/>
        <v>0.54550118046305285</v>
      </c>
      <c r="EG12">
        <f t="shared" si="138"/>
        <v>0.55118241570726467</v>
      </c>
      <c r="EH12">
        <f t="shared" si="139"/>
        <v>0.55679263551092384</v>
      </c>
      <c r="EI12">
        <f t="shared" si="140"/>
        <v>0.56233272756703734</v>
      </c>
      <c r="EJ12">
        <f t="shared" si="141"/>
        <v>0.56780356847244939</v>
      </c>
      <c r="EK12">
        <f t="shared" si="142"/>
        <v>0.57320602386654373</v>
      </c>
      <c r="EL12">
        <f t="shared" si="143"/>
        <v>0.57854094856821192</v>
      </c>
      <c r="EM12">
        <f t="shared" si="144"/>
        <v>0.58380918671110926</v>
      </c>
      <c r="EN12">
        <f t="shared" si="145"/>
        <v>0.58901157187722042</v>
      </c>
      <c r="EO12">
        <f t="shared" si="146"/>
        <v>0.59414892722875512</v>
      </c>
      <c r="EP12">
        <f t="shared" si="147"/>
        <v>0.59922206563839564</v>
      </c>
      <c r="EQ12">
        <f t="shared" si="148"/>
        <v>0.6042317898179157</v>
      </c>
      <c r="ER12">
        <f t="shared" si="149"/>
        <v>0.60917889244519174</v>
      </c>
      <c r="ES12">
        <f t="shared" si="150"/>
        <v>0.61406415628962685</v>
      </c>
      <c r="ET12">
        <f t="shared" si="151"/>
        <v>0.61888835433600653</v>
      </c>
      <c r="EU12">
        <f t="shared" si="152"/>
        <v>0.62365224990680646</v>
      </c>
      <c r="EV12">
        <f t="shared" si="153"/>
        <v>0.6283565967829714</v>
      </c>
      <c r="EW12">
        <f t="shared" si="154"/>
        <v>0.63300213932318428</v>
      </c>
      <c r="EX12">
        <f t="shared" si="155"/>
        <v>0.63758961258164448</v>
      </c>
      <c r="EY12">
        <f t="shared" si="156"/>
        <v>0.64211974242437397</v>
      </c>
      <c r="EZ12">
        <f t="shared" si="157"/>
        <v>0.64659324564406928</v>
      </c>
      <c r="FA12">
        <f t="shared" si="158"/>
        <v>0.65101083007351845</v>
      </c>
      <c r="FB12">
        <f t="shared" si="159"/>
        <v>0.65537319469759947</v>
      </c>
      <c r="FC12">
        <f t="shared" si="160"/>
        <v>0.65968102976387943</v>
      </c>
      <c r="FD12">
        <f t="shared" si="161"/>
        <v>0.66393501689183099</v>
      </c>
      <c r="FE12">
        <f t="shared" si="162"/>
        <v>0.66813582918068315</v>
      </c>
      <c r="FF12">
        <f t="shared" si="163"/>
        <v>0.67228413131592457</v>
      </c>
      <c r="FG12">
        <f t="shared" si="164"/>
        <v>0.67638057967447551</v>
      </c>
      <c r="FH12">
        <f t="shared" si="165"/>
        <v>0.68042582242854455</v>
      </c>
      <c r="FI12">
        <f t="shared" si="166"/>
        <v>0.68442049964818774</v>
      </c>
      <c r="FJ12">
        <f t="shared" si="167"/>
        <v>0.68836524340258542</v>
      </c>
      <c r="FK12">
        <f t="shared" si="168"/>
        <v>0.69226067786005308</v>
      </c>
      <c r="FL12">
        <f t="shared" si="169"/>
        <v>0.69610741938680243</v>
      </c>
      <c r="FM12">
        <f t="shared" si="170"/>
        <v>0.69990607664446736</v>
      </c>
      <c r="FN12">
        <f t="shared" si="171"/>
        <v>0.7036572506864115</v>
      </c>
      <c r="FO12">
        <f t="shared" si="172"/>
        <v>0.70736153505283139</v>
      </c>
      <c r="FP12">
        <f t="shared" si="173"/>
        <v>0.71101951586467105</v>
      </c>
      <c r="FQ12">
        <f t="shared" si="174"/>
        <v>0.71463177191636262</v>
      </c>
      <c r="FR12">
        <f t="shared" si="175"/>
        <v>0.71819887476740807</v>
      </c>
      <c r="FS12">
        <f t="shared" si="176"/>
        <v>0.72172138883281545</v>
      </c>
      <c r="FT12">
        <f t="shared" si="177"/>
        <v>0.72519987147240528</v>
      </c>
      <c r="FU12">
        <f t="shared" si="178"/>
        <v>0.72863487307900021</v>
      </c>
      <c r="FV12">
        <f t="shared" si="179"/>
        <v>0.7320269371655127</v>
      </c>
      <c r="FW12">
        <f t="shared" si="180"/>
        <v>0.73537660045094377</v>
      </c>
      <c r="FX12">
        <f t="shared" si="181"/>
        <v>0.73868439294530697</v>
      </c>
      <c r="FY12">
        <f t="shared" si="182"/>
        <v>0.7419508380334906</v>
      </c>
      <c r="FZ12">
        <f t="shared" si="183"/>
        <v>0.74517645255807197</v>
      </c>
      <c r="GA12">
        <f t="shared" si="184"/>
        <v>0.74836174690109603</v>
      </c>
      <c r="GB12">
        <f t="shared" si="185"/>
        <v>0.75150722506483236</v>
      </c>
      <c r="GC12">
        <f t="shared" si="186"/>
        <v>0.75461338475152195</v>
      </c>
      <c r="GD12">
        <f t="shared" si="187"/>
        <v>0.75768071744212795</v>
      </c>
      <c r="GE12">
        <f t="shared" si="188"/>
        <v>0.76070970847410135</v>
      </c>
      <c r="GF12">
        <f t="shared" si="189"/>
        <v>0.76370083711817505</v>
      </c>
      <c r="GG12">
        <f t="shared" si="190"/>
        <v>0.76665457665419789</v>
      </c>
      <c r="GH12">
        <f t="shared" si="191"/>
        <v>0.76957139444602041</v>
      </c>
      <c r="GI12">
        <f t="shared" si="192"/>
        <v>0.77245175201544514</v>
      </c>
      <c r="GJ12">
        <f t="shared" si="193"/>
        <v>0.77529610511525204</v>
      </c>
      <c r="GK12">
        <f t="shared" si="194"/>
        <v>0.77810490380131137</v>
      </c>
      <c r="GL12">
        <f t="shared" si="195"/>
        <v>0.78087859250379499</v>
      </c>
      <c r="GM12">
        <f t="shared" si="196"/>
        <v>0.78361761009749753</v>
      </c>
      <c r="GN12">
        <f t="shared" si="197"/>
        <v>0.78632238997127879</v>
      </c>
      <c r="GO12">
        <f t="shared" si="198"/>
        <v>0.78899336009663779</v>
      </c>
      <c r="GP12">
        <f t="shared" si="199"/>
        <v>0.79163094309542981</v>
      </c>
      <c r="GQ12">
        <f t="shared" si="200"/>
        <v>0.79423555630673692</v>
      </c>
      <c r="GR12">
        <f t="shared" si="201"/>
        <v>0.79680761185290272</v>
      </c>
      <c r="GS12">
        <f t="shared" si="202"/>
        <v>0.79934751670474147</v>
      </c>
      <c r="GT12">
        <f t="shared" si="203"/>
        <v>0.80185567274593217</v>
      </c>
      <c r="GU12">
        <f t="shared" si="204"/>
        <v>0.80433247683660802</v>
      </c>
      <c r="GV12">
        <f t="shared" si="205"/>
        <v>0.80677832087615042</v>
      </c>
      <c r="GW12">
        <f t="shared" si="206"/>
        <v>0.80919359186519857</v>
      </c>
      <c r="GX12">
        <f t="shared" si="207"/>
        <v>0.8115786719668836</v>
      </c>
      <c r="GY12">
        <f t="shared" si="208"/>
        <v>0.81393393856729757</v>
      </c>
      <c r="GZ12">
        <f t="shared" si="209"/>
        <v>0.81625976433520631</v>
      </c>
      <c r="HA12">
        <f t="shared" si="210"/>
        <v>0.81855651728101619</v>
      </c>
      <c r="HB12">
        <f t="shared" si="211"/>
        <v>0.82082456081500355</v>
      </c>
      <c r="HC12">
        <f t="shared" si="212"/>
        <v>0.82306425380481596</v>
      </c>
      <c r="HD12">
        <f t="shared" si="213"/>
        <v>0.82527595063225578</v>
      </c>
      <c r="HE12">
        <f t="shared" si="214"/>
        <v>0.82746000124935259</v>
      </c>
      <c r="HF12">
        <f t="shared" si="215"/>
        <v>0.82961675123373568</v>
      </c>
      <c r="HG12">
        <f t="shared" si="216"/>
        <v>0.83174654184331398</v>
      </c>
      <c r="HH12">
        <f t="shared" si="217"/>
        <v>0.83384971007027253</v>
      </c>
      <c r="HI12">
        <f t="shared" si="218"/>
        <v>0.83592658869439418</v>
      </c>
      <c r="HJ12">
        <f t="shared" si="219"/>
        <v>0.83797750633571422</v>
      </c>
      <c r="HK12">
        <f t="shared" si="220"/>
        <v>0.8400027875065178</v>
      </c>
      <c r="HL12">
        <f t="shared" si="221"/>
        <v>0.84200275266268632</v>
      </c>
      <c r="HM12">
        <f t="shared" si="222"/>
        <v>0.84397771825440271</v>
      </c>
      <c r="HN12">
        <f t="shared" si="223"/>
        <v>0.84592799677622266</v>
      </c>
      <c r="HO12">
        <f t="shared" si="224"/>
        <v>0.8478538968165199</v>
      </c>
      <c r="HP12">
        <f t="shared" si="225"/>
        <v>0.84975572310631342</v>
      </c>
      <c r="HQ12">
        <f t="shared" si="226"/>
        <v>0.85163377656748451</v>
      </c>
      <c r="HR12">
        <f t="shared" si="227"/>
        <v>0.85348835436039094</v>
      </c>
      <c r="HS12">
        <f t="shared" si="228"/>
        <v>0.85531974993088611</v>
      </c>
      <c r="HT12">
        <f t="shared" si="229"/>
        <v>0.85712825305675</v>
      </c>
      <c r="HU12">
        <f t="shared" si="230"/>
        <v>0.85891414989354065</v>
      </c>
      <c r="HV12">
        <f t="shared" si="231"/>
        <v>0.86067772301987144</v>
      </c>
      <c r="HW12">
        <f t="shared" si="232"/>
        <v>0.86241925148212306</v>
      </c>
      <c r="HX12">
        <f t="shared" si="233"/>
        <v>0.86413901083859657</v>
      </c>
      <c r="HY12">
        <f t="shared" si="234"/>
        <v>0.8658372732031141</v>
      </c>
      <c r="HZ12">
        <f t="shared" si="235"/>
        <v>0.86751430728807521</v>
      </c>
      <c r="IA12">
        <f t="shared" si="236"/>
        <v>0.86917037844697431</v>
      </c>
      <c r="IB12">
        <f t="shared" si="237"/>
        <v>0.87080574871638716</v>
      </c>
      <c r="IC12">
        <f t="shared" si="238"/>
        <v>0.8724206768574323</v>
      </c>
      <c r="ID12">
        <f t="shared" si="239"/>
        <v>0.87401541839671437</v>
      </c>
      <c r="IE12">
        <f t="shared" si="240"/>
        <v>0.87559022566675548</v>
      </c>
      <c r="IF12">
        <f t="shared" si="241"/>
        <v>0.87714534784592102</v>
      </c>
      <c r="IG12">
        <f t="shared" si="242"/>
        <v>0.878681030997847</v>
      </c>
      <c r="IH12">
        <f t="shared" si="243"/>
        <v>0.88019751811037394</v>
      </c>
      <c r="II12">
        <f t="shared" si="244"/>
        <v>0.88169504913399432</v>
      </c>
      <c r="IJ12">
        <f t="shared" si="245"/>
        <v>0.88317386101981943</v>
      </c>
      <c r="IK12">
        <f t="shared" si="246"/>
        <v>0.8846341877570717</v>
      </c>
      <c r="IL12">
        <f t="shared" si="247"/>
        <v>0.88607626041010834</v>
      </c>
      <c r="IM12">
        <f t="shared" si="248"/>
        <v>0.88750030715498196</v>
      </c>
      <c r="IN12">
        <f t="shared" si="249"/>
        <v>0.88890655331554469</v>
      </c>
      <c r="IO12">
        <f t="shared" si="250"/>
        <v>0.89029522139910033</v>
      </c>
      <c r="IP12">
        <f t="shared" si="251"/>
        <v>0.89166653113161154</v>
      </c>
      <c r="IQ12">
        <f t="shared" si="252"/>
        <v>0.89302069949246643</v>
      </c>
      <c r="IR12">
        <f t="shared" si="253"/>
        <v>0.89435794074881059</v>
      </c>
      <c r="IS12">
        <f t="shared" si="254"/>
        <v>0.89567846648945049</v>
      </c>
      <c r="IT12">
        <f t="shared" si="255"/>
        <v>0.89698248565833238</v>
      </c>
      <c r="IU12">
        <f t="shared" si="256"/>
        <v>0.8982702045876032</v>
      </c>
      <c r="IV12">
        <f t="shared" si="257"/>
        <v>0.8995418270302582</v>
      </c>
    </row>
    <row r="13" spans="1:256" x14ac:dyDescent="0.2">
      <c r="A13" t="s">
        <v>483</v>
      </c>
      <c r="B13">
        <f>$B$115</f>
        <v>0.34302524566650389</v>
      </c>
      <c r="C13">
        <f t="shared" si="4"/>
        <v>0.34891281342134284</v>
      </c>
      <c r="D13">
        <f t="shared" si="5"/>
        <v>0.35705140325357604</v>
      </c>
      <c r="E13">
        <f t="shared" si="6"/>
        <v>0.36508826071290634</v>
      </c>
      <c r="F13">
        <f t="shared" si="7"/>
        <v>0.37302465745399499</v>
      </c>
      <c r="G13">
        <f t="shared" si="8"/>
        <v>0.38086184923582006</v>
      </c>
      <c r="H13">
        <f t="shared" si="9"/>
        <v>0.38860107612037231</v>
      </c>
      <c r="I13">
        <f t="shared" si="10"/>
        <v>0.39624356266886768</v>
      </c>
      <c r="J13">
        <f t="shared" si="11"/>
        <v>0.40379051813550682</v>
      </c>
      <c r="K13">
        <f t="shared" si="12"/>
        <v>0.41124313665881296</v>
      </c>
      <c r="L13">
        <f t="shared" si="13"/>
        <v>0.41860259745057782</v>
      </c>
      <c r="M13">
        <f t="shared" si="14"/>
        <v>0.42587006498244562</v>
      </c>
      <c r="N13">
        <f t="shared" si="15"/>
        <v>0.43304668917016503</v>
      </c>
      <c r="O13">
        <f t="shared" si="16"/>
        <v>0.44013360555553799</v>
      </c>
      <c r="P13">
        <f t="shared" si="17"/>
        <v>0.44713193548609376</v>
      </c>
      <c r="Q13">
        <f t="shared" si="18"/>
        <v>0.4540427862925176</v>
      </c>
      <c r="R13">
        <f t="shared" si="19"/>
        <v>0.46086725146386115</v>
      </c>
      <c r="S13">
        <f t="shared" si="20"/>
        <v>0.46593721332405003</v>
      </c>
      <c r="T13">
        <f t="shared" si="21"/>
        <v>0.47076127936385948</v>
      </c>
      <c r="U13">
        <f t="shared" si="22"/>
        <v>0.47534661286693558</v>
      </c>
      <c r="V13">
        <f t="shared" si="23"/>
        <v>0.47970012554930153</v>
      </c>
      <c r="W13">
        <f t="shared" si="24"/>
        <v>0.48382848899818093</v>
      </c>
      <c r="X13">
        <f t="shared" si="25"/>
        <v>0.48773814560725032</v>
      </c>
      <c r="Y13">
        <f t="shared" si="26"/>
        <v>0.49143531902080961</v>
      </c>
      <c r="Z13">
        <f t="shared" si="27"/>
        <v>0.49492602410032921</v>
      </c>
      <c r="AA13">
        <f t="shared" si="28"/>
        <v>0.49969897339081198</v>
      </c>
      <c r="AB13">
        <f t="shared" si="29"/>
        <v>0.50432887289326733</v>
      </c>
      <c r="AC13">
        <f t="shared" si="30"/>
        <v>0.50882043913651975</v>
      </c>
      <c r="AD13">
        <f t="shared" si="31"/>
        <v>0.51317817212984662</v>
      </c>
      <c r="AE13">
        <f t="shared" si="32"/>
        <v>0.51740636518001926</v>
      </c>
      <c r="AF13">
        <f t="shared" si="33"/>
        <v>0.52150911435304104</v>
      </c>
      <c r="AG13">
        <f t="shared" si="34"/>
        <v>0.52549032758503722</v>
      </c>
      <c r="AH13">
        <f t="shared" si="35"/>
        <v>0.52935373344773951</v>
      </c>
      <c r="AI13">
        <f t="shared" si="36"/>
        <v>0.52603215702054529</v>
      </c>
      <c r="AJ13">
        <f t="shared" si="37"/>
        <v>0.52278522521417847</v>
      </c>
      <c r="AK13">
        <f t="shared" si="38"/>
        <v>0.51961160511164883</v>
      </c>
      <c r="AL13">
        <f t="shared" si="39"/>
        <v>0.5165099829790456</v>
      </c>
      <c r="AM13">
        <f t="shared" si="40"/>
        <v>0.51347906424088141</v>
      </c>
      <c r="AN13">
        <f t="shared" si="41"/>
        <v>0.51051757344736703</v>
      </c>
      <c r="AO13">
        <f t="shared" si="42"/>
        <v>0.5076242542340248</v>
      </c>
      <c r="AP13">
        <f t="shared" si="43"/>
        <v>0.50479786927403525</v>
      </c>
      <c r="AQ13">
        <f t="shared" si="44"/>
        <v>0.50286310765844133</v>
      </c>
      <c r="AR13">
        <f t="shared" si="45"/>
        <v>0.50100103045643851</v>
      </c>
      <c r="AS13">
        <f t="shared" si="46"/>
        <v>0.49921029801645544</v>
      </c>
      <c r="AT13">
        <f t="shared" si="47"/>
        <v>0.49748958846983116</v>
      </c>
      <c r="AU13">
        <f t="shared" si="48"/>
        <v>0.49583759760366919</v>
      </c>
      <c r="AV13">
        <f t="shared" si="49"/>
        <v>0.49425303873140569</v>
      </c>
      <c r="AW13">
        <f t="shared" si="50"/>
        <v>0.4927346425612355</v>
      </c>
      <c r="AX13">
        <f t="shared" si="51"/>
        <v>0.4912811570625355</v>
      </c>
      <c r="AY13">
        <f t="shared" si="52"/>
        <v>0.49306687471327898</v>
      </c>
      <c r="AZ13">
        <f t="shared" si="53"/>
        <v>0.49492063609775822</v>
      </c>
      <c r="BA13">
        <f t="shared" si="54"/>
        <v>0.4968443032553268</v>
      </c>
      <c r="BB13">
        <f t="shared" si="55"/>
        <v>0.49883989634239456</v>
      </c>
      <c r="BC13">
        <f t="shared" si="56"/>
        <v>0.50090959772725951</v>
      </c>
      <c r="BD13">
        <f t="shared" si="57"/>
        <v>0.50305575645062506</v>
      </c>
      <c r="BE13">
        <f t="shared" si="58"/>
        <v>0.50528089307007706</v>
      </c>
      <c r="BF13">
        <f t="shared" si="59"/>
        <v>0.50758770490841343</v>
      </c>
      <c r="BG13">
        <f t="shared" si="60"/>
        <v>0.50997907172745138</v>
      </c>
      <c r="BH13">
        <f t="shared" si="61"/>
        <v>0.51245806185079246</v>
      </c>
      <c r="BI13">
        <f t="shared" si="62"/>
        <v>0.51502793876102237</v>
      </c>
      <c r="BJ13">
        <f t="shared" si="63"/>
        <v>0.51769041617289302</v>
      </c>
      <c r="BK13">
        <f t="shared" si="64"/>
        <v>0.52044361977214526</v>
      </c>
      <c r="BL13">
        <f t="shared" si="65"/>
        <v>0.52328568670910958</v>
      </c>
      <c r="BM13">
        <f t="shared" si="66"/>
        <v>0.52621476612479445</v>
      </c>
      <c r="BN13">
        <f t="shared" si="67"/>
        <v>0.52922901964911617</v>
      </c>
      <c r="BO13">
        <f t="shared" si="68"/>
        <v>0.53232662187220614</v>
      </c>
      <c r="BP13">
        <f t="shared" si="69"/>
        <v>0.5355057607897018</v>
      </c>
      <c r="BQ13">
        <f t="shared" si="70"/>
        <v>0.53876463822290566</v>
      </c>
      <c r="BR13">
        <f t="shared" si="71"/>
        <v>0.54210147021466593</v>
      </c>
      <c r="BS13">
        <f t="shared" si="72"/>
        <v>0.54551448740181285</v>
      </c>
      <c r="BT13">
        <f t="shared" si="73"/>
        <v>0.54900193536495567</v>
      </c>
      <c r="BU13">
        <f t="shared" si="74"/>
        <v>0.55256207495642529</v>
      </c>
      <c r="BV13">
        <f t="shared" si="75"/>
        <v>0.55619318260712292</v>
      </c>
      <c r="BW13">
        <f t="shared" si="76"/>
        <v>0.55989355061301327</v>
      </c>
      <c r="BX13">
        <f t="shared" si="77"/>
        <v>0.56366148740197897</v>
      </c>
      <c r="BY13">
        <f t="shared" si="78"/>
        <v>0.5674953177817319</v>
      </c>
      <c r="BZ13">
        <f t="shared" si="79"/>
        <v>0.57139338316945698</v>
      </c>
      <c r="CA13">
        <f t="shared" si="80"/>
        <v>0.57535404180384286</v>
      </c>
      <c r="CB13">
        <f t="shared" si="81"/>
        <v>0.57937566894013592</v>
      </c>
      <c r="CC13">
        <f t="shared" si="82"/>
        <v>0.58345665702883454</v>
      </c>
      <c r="CD13">
        <f t="shared" si="83"/>
        <v>0.58759541587862174</v>
      </c>
      <c r="CE13">
        <f t="shared" si="84"/>
        <v>0.59179037280411673</v>
      </c>
      <c r="CF13">
        <f t="shared" si="85"/>
        <v>0.59603997275900944</v>
      </c>
      <c r="CG13">
        <f t="shared" si="86"/>
        <v>0.60034267845512368</v>
      </c>
      <c r="CH13">
        <f t="shared" si="87"/>
        <v>0.60469697046793869</v>
      </c>
      <c r="CI13">
        <f t="shared" si="88"/>
        <v>0.60910134732908383</v>
      </c>
      <c r="CJ13">
        <f t="shared" si="89"/>
        <v>0.61355432560630419</v>
      </c>
      <c r="CK13">
        <f t="shared" si="90"/>
        <v>0.61805443997138032</v>
      </c>
      <c r="CL13">
        <f t="shared" si="91"/>
        <v>0.62260024325647056</v>
      </c>
      <c r="CM13">
        <f t="shared" si="92"/>
        <v>0.62719030649933127</v>
      </c>
      <c r="CN13">
        <f t="shared" si="93"/>
        <v>0.63182321897785332</v>
      </c>
      <c r="CO13">
        <f t="shared" si="94"/>
        <v>0.63642542874063013</v>
      </c>
      <c r="CP13">
        <f t="shared" si="95"/>
        <v>0.64097011088137223</v>
      </c>
      <c r="CQ13">
        <f t="shared" si="96"/>
        <v>0.64545798449535507</v>
      </c>
      <c r="CR13">
        <f t="shared" si="97"/>
        <v>0.64988975968916318</v>
      </c>
      <c r="CS13">
        <f t="shared" si="98"/>
        <v>0.65426613769304864</v>
      </c>
      <c r="CT13">
        <f t="shared" si="99"/>
        <v>0.65858781097188557</v>
      </c>
      <c r="CU13">
        <f t="shared" si="100"/>
        <v>0.66285546333473699</v>
      </c>
      <c r="CV13">
        <f t="shared" si="101"/>
        <v>0.66706977004305279</v>
      </c>
      <c r="CW13">
        <f t="shared" si="102"/>
        <v>0.67123139791751463</v>
      </c>
      <c r="CX13">
        <f t="shared" si="103"/>
        <v>0.67534100544354569</v>
      </c>
      <c r="CY13">
        <f t="shared" si="104"/>
        <v>0.67939924287550135</v>
      </c>
      <c r="CZ13">
        <f t="shared" si="105"/>
        <v>0.68340675233955761</v>
      </c>
      <c r="DA13">
        <f t="shared" si="106"/>
        <v>0.68736416793531319</v>
      </c>
      <c r="DB13">
        <f t="shared" si="107"/>
        <v>0.6912721158361218</v>
      </c>
      <c r="DC13">
        <f t="shared" si="108"/>
        <v>0.69513121438817027</v>
      </c>
      <c r="DD13">
        <f t="shared" si="109"/>
        <v>0.69894207420831811</v>
      </c>
      <c r="DE13">
        <f t="shared" si="110"/>
        <v>0.70270529828071415</v>
      </c>
      <c r="DF13">
        <f t="shared" si="111"/>
        <v>0.70642148205220523</v>
      </c>
      <c r="DG13">
        <f t="shared" si="112"/>
        <v>0.71009121352655269</v>
      </c>
      <c r="DH13">
        <f t="shared" si="113"/>
        <v>0.71371507335747075</v>
      </c>
      <c r="DI13">
        <f t="shared" si="114"/>
        <v>0.71729363494050236</v>
      </c>
      <c r="DJ13">
        <f t="shared" si="115"/>
        <v>0.72082746450374613</v>
      </c>
      <c r="DK13">
        <f t="shared" si="116"/>
        <v>0.72431712119744929</v>
      </c>
      <c r="DL13">
        <f t="shared" si="117"/>
        <v>0.72776315718248119</v>
      </c>
      <c r="DM13">
        <f t="shared" si="118"/>
        <v>0.73116611771770013</v>
      </c>
      <c r="DN13">
        <f t="shared" si="119"/>
        <v>0.73452654124622885</v>
      </c>
      <c r="DO13">
        <f t="shared" si="120"/>
        <v>0.73784495948065099</v>
      </c>
      <c r="DP13">
        <f t="shared" si="121"/>
        <v>0.74112189748714286</v>
      </c>
      <c r="DQ13">
        <f t="shared" si="122"/>
        <v>0.74435787376855356</v>
      </c>
      <c r="DR13">
        <f t="shared" si="123"/>
        <v>0.74755340034644668</v>
      </c>
      <c r="DS13">
        <f t="shared" si="124"/>
        <v>0.75070898284211607</v>
      </c>
      <c r="DT13">
        <f t="shared" si="125"/>
        <v>0.75382512055658957</v>
      </c>
      <c r="DU13">
        <f t="shared" si="126"/>
        <v>0.7569023065496322</v>
      </c>
      <c r="DV13">
        <f t="shared" si="127"/>
        <v>0.75994102771776184</v>
      </c>
      <c r="DW13">
        <f t="shared" si="128"/>
        <v>0.76294176487128984</v>
      </c>
      <c r="DX13">
        <f t="shared" si="129"/>
        <v>0.7659049928103987</v>
      </c>
      <c r="DY13">
        <f t="shared" si="130"/>
        <v>0.76883118040026877</v>
      </c>
      <c r="DZ13">
        <f t="shared" si="131"/>
        <v>0.77172079064526544</v>
      </c>
      <c r="EA13">
        <f t="shared" si="132"/>
        <v>0.77457428076219959</v>
      </c>
      <c r="EB13">
        <f t="shared" si="133"/>
        <v>0.77739210225267208</v>
      </c>
      <c r="EC13">
        <f t="shared" si="134"/>
        <v>0.78017470097451369</v>
      </c>
      <c r="ED13">
        <f t="shared" si="135"/>
        <v>0.7829225172123323</v>
      </c>
      <c r="EE13">
        <f t="shared" si="136"/>
        <v>0.78563598574717819</v>
      </c>
      <c r="EF13">
        <f t="shared" si="137"/>
        <v>0.78831553592533843</v>
      </c>
      <c r="EG13">
        <f t="shared" si="138"/>
        <v>0.79096159172627167</v>
      </c>
      <c r="EH13">
        <f t="shared" si="139"/>
        <v>0.79357457182969326</v>
      </c>
      <c r="EI13">
        <f t="shared" si="140"/>
        <v>0.79615488968182213</v>
      </c>
      <c r="EJ13">
        <f t="shared" si="141"/>
        <v>0.79870295356079934</v>
      </c>
      <c r="EK13">
        <f t="shared" si="142"/>
        <v>0.80121916664128934</v>
      </c>
      <c r="EL13">
        <f t="shared" si="143"/>
        <v>0.8037039270582732</v>
      </c>
      <c r="EM13">
        <f t="shared" si="144"/>
        <v>0.80615762797004475</v>
      </c>
      <c r="EN13">
        <f t="shared" si="145"/>
        <v>0.8085806576204192</v>
      </c>
      <c r="EO13">
        <f t="shared" si="146"/>
        <v>0.810973399400164</v>
      </c>
      <c r="EP13">
        <f t="shared" si="147"/>
        <v>0.81333623190766191</v>
      </c>
      <c r="EQ13">
        <f t="shared" si="148"/>
        <v>0.81566952900881617</v>
      </c>
      <c r="ER13">
        <f t="shared" si="149"/>
        <v>0.81797365989620596</v>
      </c>
      <c r="ES13">
        <f t="shared" si="150"/>
        <v>0.82024898914750344</v>
      </c>
      <c r="ET13">
        <f t="shared" si="151"/>
        <v>0.82249587678315961</v>
      </c>
      <c r="EU13">
        <f t="shared" si="152"/>
        <v>0.82471467832337009</v>
      </c>
      <c r="EV13">
        <f t="shared" si="153"/>
        <v>0.82690574484432799</v>
      </c>
      <c r="EW13">
        <f t="shared" si="154"/>
        <v>0.82906942303377384</v>
      </c>
      <c r="EX13">
        <f t="shared" si="155"/>
        <v>0.83120605524585167</v>
      </c>
      <c r="EY13">
        <f t="shared" si="156"/>
        <v>0.83331597955527847</v>
      </c>
      <c r="EZ13">
        <f t="shared" si="157"/>
        <v>0.83539952981083754</v>
      </c>
      <c r="FA13">
        <f t="shared" si="158"/>
        <v>0.83745703568820207</v>
      </c>
      <c r="FB13">
        <f t="shared" si="159"/>
        <v>0.83948882274209957</v>
      </c>
      <c r="FC13">
        <f t="shared" si="160"/>
        <v>0.84149521245782333</v>
      </c>
      <c r="FD13">
        <f t="shared" si="161"/>
        <v>0.84347652230210057</v>
      </c>
      <c r="FE13">
        <f t="shared" si="162"/>
        <v>0.84543306577332433</v>
      </c>
      <c r="FF13">
        <f t="shared" si="163"/>
        <v>0.84736515245115773</v>
      </c>
      <c r="FG13">
        <f t="shared" si="164"/>
        <v>0.84927308804551827</v>
      </c>
      <c r="FH13">
        <f t="shared" si="165"/>
        <v>0.85115717444494932</v>
      </c>
      <c r="FI13">
        <f t="shared" si="166"/>
        <v>0.8530177097643874</v>
      </c>
      <c r="FJ13">
        <f t="shared" si="167"/>
        <v>0.85485498839233254</v>
      </c>
      <c r="FK13">
        <f t="shared" si="168"/>
        <v>0.85666930103742833</v>
      </c>
      <c r="FL13">
        <f t="shared" si="169"/>
        <v>0.8584609347744605</v>
      </c>
      <c r="FM13">
        <f t="shared" si="170"/>
        <v>0.86023017308977978</v>
      </c>
      <c r="FN13">
        <f t="shared" si="171"/>
        <v>0.86197729592615757</v>
      </c>
      <c r="FO13">
        <f t="shared" si="172"/>
        <v>0.86370257972708064</v>
      </c>
      <c r="FP13">
        <f t="shared" si="173"/>
        <v>0.86540629748049214</v>
      </c>
      <c r="FQ13">
        <f t="shared" si="174"/>
        <v>0.86708871876198601</v>
      </c>
      <c r="FR13">
        <f t="shared" si="175"/>
        <v>0.86875010977746114</v>
      </c>
      <c r="FS13">
        <f t="shared" si="176"/>
        <v>0.87039073340524287</v>
      </c>
      <c r="FT13">
        <f t="shared" si="177"/>
        <v>0.87201084923767735</v>
      </c>
      <c r="FU13">
        <f t="shared" si="178"/>
        <v>0.87361071362220644</v>
      </c>
      <c r="FV13">
        <f t="shared" si="179"/>
        <v>0.87519057970192882</v>
      </c>
      <c r="FW13">
        <f t="shared" si="180"/>
        <v>0.8767506974556547</v>
      </c>
      <c r="FX13">
        <f t="shared" si="181"/>
        <v>0.87829131373745906</v>
      </c>
      <c r="FY13">
        <f t="shared" si="182"/>
        <v>0.87981267231574078</v>
      </c>
      <c r="FZ13">
        <f t="shared" si="183"/>
        <v>0.88131501391179401</v>
      </c>
      <c r="GA13">
        <f t="shared" si="184"/>
        <v>0.88279857623789659</v>
      </c>
      <c r="GB13">
        <f t="shared" si="185"/>
        <v>0.88426359403492294</v>
      </c>
      <c r="GC13">
        <f t="shared" si="186"/>
        <v>0.8857102991094864</v>
      </c>
      <c r="GD13">
        <f t="shared" si="187"/>
        <v>0.88713892037061781</v>
      </c>
      <c r="GE13">
        <f t="shared" si="188"/>
        <v>0.8885496838659851</v>
      </c>
      <c r="GF13">
        <f t="shared" si="189"/>
        <v>0.8899428128176603</v>
      </c>
      <c r="GG13">
        <f t="shared" si="190"/>
        <v>0.89131852765743957</v>
      </c>
      <c r="GH13">
        <f t="shared" si="191"/>
        <v>0.8926770460617216</v>
      </c>
      <c r="GI13">
        <f t="shared" si="192"/>
        <v>0.89401858298595005</v>
      </c>
      <c r="GJ13">
        <f t="shared" si="193"/>
        <v>0.8953433506986257</v>
      </c>
      <c r="GK13">
        <f t="shared" si="194"/>
        <v>0.89665155881489289</v>
      </c>
      <c r="GL13">
        <f t="shared" si="195"/>
        <v>0.8979434143297067</v>
      </c>
      <c r="GM13">
        <f t="shared" si="196"/>
        <v>0.89921912165058537</v>
      </c>
      <c r="GN13">
        <f t="shared" si="197"/>
        <v>0.90047888262995301</v>
      </c>
      <c r="GO13">
        <f t="shared" si="198"/>
        <v>0.9017228965970786</v>
      </c>
      <c r="GP13">
        <f t="shared" si="199"/>
        <v>0.9029513603896151</v>
      </c>
      <c r="GQ13">
        <f t="shared" si="200"/>
        <v>0.90416446838474496</v>
      </c>
      <c r="GR13">
        <f t="shared" si="201"/>
        <v>0.90536241252993566</v>
      </c>
      <c r="GS13">
        <f t="shared" si="202"/>
        <v>0.9065453823733115</v>
      </c>
      <c r="GT13">
        <f t="shared" si="203"/>
        <v>0.90771356509364509</v>
      </c>
      <c r="GU13">
        <f t="shared" si="204"/>
        <v>0.9088671455299745</v>
      </c>
      <c r="GV13">
        <f t="shared" si="205"/>
        <v>0.91000630621084977</v>
      </c>
      <c r="GW13">
        <f t="shared" si="206"/>
        <v>0.91113122738321417</v>
      </c>
      <c r="GX13">
        <f t="shared" si="207"/>
        <v>0.91224208704092402</v>
      </c>
      <c r="GY13">
        <f t="shared" si="208"/>
        <v>0.91333906095291251</v>
      </c>
      <c r="GZ13">
        <f t="shared" si="209"/>
        <v>0.9144223226910011</v>
      </c>
      <c r="HA13">
        <f t="shared" si="210"/>
        <v>0.91549204365736359</v>
      </c>
      <c r="HB13">
        <f t="shared" si="211"/>
        <v>0.91654839311164649</v>
      </c>
      <c r="HC13">
        <f t="shared" si="212"/>
        <v>0.91759153819775086</v>
      </c>
      <c r="HD13">
        <f t="shared" si="213"/>
        <v>0.91862164397027901</v>
      </c>
      <c r="HE13">
        <f t="shared" si="214"/>
        <v>0.91963887342065054</v>
      </c>
      <c r="HF13">
        <f t="shared" si="215"/>
        <v>0.92064338750289243</v>
      </c>
      <c r="HG13">
        <f t="shared" si="216"/>
        <v>0.92163534515910628</v>
      </c>
      <c r="HH13">
        <f t="shared" si="217"/>
        <v>0.92261490334461749</v>
      </c>
      <c r="HI13">
        <f t="shared" si="218"/>
        <v>0.92358221705280974</v>
      </c>
      <c r="HJ13">
        <f t="shared" si="219"/>
        <v>0.9245374393396496</v>
      </c>
      <c r="HK13">
        <f t="shared" si="220"/>
        <v>0.92548072134790393</v>
      </c>
      <c r="HL13">
        <f t="shared" si="221"/>
        <v>0.92641221233105508</v>
      </c>
      <c r="HM13">
        <f t="shared" si="222"/>
        <v>0.9273320596769169</v>
      </c>
      <c r="HN13">
        <f t="shared" si="223"/>
        <v>0.92824040893095539</v>
      </c>
      <c r="HO13">
        <f t="shared" si="224"/>
        <v>0.92913740381931842</v>
      </c>
      <c r="HP13">
        <f t="shared" si="225"/>
        <v>0.93002318627157698</v>
      </c>
      <c r="HQ13">
        <f t="shared" si="226"/>
        <v>0.93089789644318233</v>
      </c>
      <c r="HR13">
        <f t="shared" si="227"/>
        <v>0.93176167273764254</v>
      </c>
      <c r="HS13">
        <f t="shared" si="228"/>
        <v>0.93261465182842196</v>
      </c>
      <c r="HT13">
        <f t="shared" si="229"/>
        <v>0.93345696868056671</v>
      </c>
      <c r="HU13">
        <f t="shared" si="230"/>
        <v>0.93428875657205968</v>
      </c>
      <c r="HV13">
        <f t="shared" si="231"/>
        <v>0.93511014711490892</v>
      </c>
      <c r="HW13">
        <f t="shared" si="232"/>
        <v>0.93592127027597261</v>
      </c>
      <c r="HX13">
        <f t="shared" si="233"/>
        <v>0.93672225439752299</v>
      </c>
      <c r="HY13">
        <f t="shared" si="234"/>
        <v>0.93751322621755395</v>
      </c>
      <c r="HZ13">
        <f t="shared" si="235"/>
        <v>0.9382943108898345</v>
      </c>
      <c r="IA13">
        <f t="shared" si="236"/>
        <v>0.93906563200371163</v>
      </c>
      <c r="IB13">
        <f t="shared" si="237"/>
        <v>0.93982731160366528</v>
      </c>
      <c r="IC13">
        <f t="shared" si="238"/>
        <v>0.94057947020861943</v>
      </c>
      <c r="ID13">
        <f t="shared" si="239"/>
        <v>0.94132222683101163</v>
      </c>
      <c r="IE13">
        <f t="shared" si="240"/>
        <v>0.94205569899562402</v>
      </c>
      <c r="IF13">
        <f t="shared" si="241"/>
        <v>0.94278000275817875</v>
      </c>
      <c r="IG13">
        <f t="shared" si="242"/>
        <v>0.94349525272370149</v>
      </c>
      <c r="IH13">
        <f t="shared" si="243"/>
        <v>0.94420156206465522</v>
      </c>
      <c r="II13">
        <f t="shared" si="244"/>
        <v>0.94489904253884704</v>
      </c>
      <c r="IJ13">
        <f t="shared" si="245"/>
        <v>0.94558780450711144</v>
      </c>
      <c r="IK13">
        <f t="shared" si="246"/>
        <v>0.94626795695077259</v>
      </c>
      <c r="IL13">
        <f t="shared" si="247"/>
        <v>0.94693960748888795</v>
      </c>
      <c r="IM13">
        <f t="shared" si="248"/>
        <v>0.9476028623952768</v>
      </c>
      <c r="IN13">
        <f t="shared" si="249"/>
        <v>0.94825782661533586</v>
      </c>
      <c r="IO13">
        <f t="shared" si="250"/>
        <v>0.94890460378264418</v>
      </c>
      <c r="IP13">
        <f t="shared" si="251"/>
        <v>0.94954329623536116</v>
      </c>
      <c r="IQ13">
        <f t="shared" si="252"/>
        <v>0.95017400503241911</v>
      </c>
      <c r="IR13">
        <f t="shared" si="253"/>
        <v>0.95079682996951387</v>
      </c>
      <c r="IS13">
        <f t="shared" si="254"/>
        <v>0.95141186959489499</v>
      </c>
      <c r="IT13">
        <f t="shared" si="255"/>
        <v>0.95201922122495874</v>
      </c>
      <c r="IU13">
        <f t="shared" si="256"/>
        <v>0.95261898095964681</v>
      </c>
      <c r="IV13">
        <f t="shared" si="257"/>
        <v>0.9532112436976512</v>
      </c>
    </row>
    <row r="14" spans="1:256" x14ac:dyDescent="0.2">
      <c r="A14" t="s">
        <v>484</v>
      </c>
      <c r="B14">
        <f>$B$116</f>
        <v>0.81556205749511723</v>
      </c>
      <c r="C14">
        <f t="shared" si="4"/>
        <v>0.81786753177642824</v>
      </c>
      <c r="D14">
        <f t="shared" si="5"/>
        <v>0.81786497194736496</v>
      </c>
      <c r="E14">
        <f t="shared" si="6"/>
        <v>0.81773062520253681</v>
      </c>
      <c r="F14">
        <f t="shared" si="7"/>
        <v>0.81747560021952193</v>
      </c>
      <c r="G14">
        <f t="shared" si="8"/>
        <v>0.81710993022456302</v>
      </c>
      <c r="H14">
        <f t="shared" si="9"/>
        <v>0.81664268791901584</v>
      </c>
      <c r="I14">
        <f t="shared" si="10"/>
        <v>0.81608208564203288</v>
      </c>
      <c r="J14">
        <f t="shared" si="11"/>
        <v>0.81543556303575215</v>
      </c>
      <c r="K14">
        <f t="shared" si="12"/>
        <v>0.81774261849780527</v>
      </c>
      <c r="L14">
        <f t="shared" si="13"/>
        <v>0.82002083576658269</v>
      </c>
      <c r="M14">
        <f t="shared" si="14"/>
        <v>0.82227057531950043</v>
      </c>
      <c r="N14">
        <f t="shared" si="15"/>
        <v>0.8244921931280067</v>
      </c>
      <c r="O14">
        <f t="shared" si="16"/>
        <v>0.82668604071390661</v>
      </c>
      <c r="P14">
        <f t="shared" si="17"/>
        <v>0.82885246520498279</v>
      </c>
      <c r="Q14">
        <f t="shared" si="18"/>
        <v>0.83099180938992045</v>
      </c>
      <c r="R14">
        <f t="shared" si="19"/>
        <v>0.83310441177254646</v>
      </c>
      <c r="S14">
        <f t="shared" si="20"/>
        <v>0.83519060662538958</v>
      </c>
      <c r="T14">
        <f t="shared" si="21"/>
        <v>0.83725072404257217</v>
      </c>
      <c r="U14">
        <f t="shared" si="22"/>
        <v>0.83928508999203999</v>
      </c>
      <c r="V14">
        <f t="shared" si="23"/>
        <v>0.84129402636713946</v>
      </c>
      <c r="W14">
        <f t="shared" si="24"/>
        <v>0.84327785103755026</v>
      </c>
      <c r="X14">
        <f t="shared" si="25"/>
        <v>0.84523687789958091</v>
      </c>
      <c r="Y14">
        <f t="shared" si="26"/>
        <v>0.8471714169258362</v>
      </c>
      <c r="Z14">
        <f t="shared" si="27"/>
        <v>0.84908177421426323</v>
      </c>
      <c r="AA14">
        <f t="shared" si="28"/>
        <v>0.85096825203658499</v>
      </c>
      <c r="AB14">
        <f t="shared" si="29"/>
        <v>0.85283114888612765</v>
      </c>
      <c r="AC14">
        <f t="shared" si="30"/>
        <v>0.854670759525051</v>
      </c>
      <c r="AD14">
        <f t="shared" si="31"/>
        <v>0.85648737503098782</v>
      </c>
      <c r="AE14">
        <f t="shared" si="32"/>
        <v>0.85828128284310046</v>
      </c>
      <c r="AF14">
        <f t="shared" si="33"/>
        <v>0.86005276680756171</v>
      </c>
      <c r="AG14">
        <f t="shared" si="34"/>
        <v>0.8618021072224672</v>
      </c>
      <c r="AH14">
        <f t="shared" si="35"/>
        <v>0.86352958088218634</v>
      </c>
      <c r="AI14">
        <f t="shared" si="36"/>
        <v>0.85845627863506924</v>
      </c>
      <c r="AJ14">
        <f t="shared" si="37"/>
        <v>0.85349363220629637</v>
      </c>
      <c r="AK14">
        <f t="shared" si="38"/>
        <v>0.84863982139122485</v>
      </c>
      <c r="AL14">
        <f t="shared" si="39"/>
        <v>0.84389299167446374</v>
      </c>
      <c r="AM14">
        <f t="shared" si="40"/>
        <v>0.83925125654096977</v>
      </c>
      <c r="AN14">
        <f t="shared" si="41"/>
        <v>0.83471269977120421</v>
      </c>
      <c r="AO14">
        <f t="shared" si="42"/>
        <v>0.83027537772034377</v>
      </c>
      <c r="AP14">
        <f t="shared" si="43"/>
        <v>0.82593732158082056</v>
      </c>
      <c r="AQ14">
        <f t="shared" si="44"/>
        <v>0.82777997419265492</v>
      </c>
      <c r="AR14">
        <f t="shared" si="45"/>
        <v>0.82928349863436579</v>
      </c>
      <c r="AS14">
        <f t="shared" si="46"/>
        <v>0.83046656661832396</v>
      </c>
      <c r="AT14">
        <f t="shared" si="47"/>
        <v>0.83134663557178246</v>
      </c>
      <c r="AU14">
        <f t="shared" si="48"/>
        <v>0.83194004870415117</v>
      </c>
      <c r="AV14">
        <f t="shared" si="49"/>
        <v>0.8322621250218909</v>
      </c>
      <c r="AW14">
        <f t="shared" si="50"/>
        <v>0.83232724048215445</v>
      </c>
      <c r="AX14">
        <f t="shared" si="51"/>
        <v>0.83214890131380048</v>
      </c>
      <c r="AY14">
        <f t="shared" si="52"/>
        <v>0.82235967094760942</v>
      </c>
      <c r="AZ14">
        <f t="shared" si="53"/>
        <v>0.81266436702315392</v>
      </c>
      <c r="BA14">
        <f t="shared" si="54"/>
        <v>0.80306322668407992</v>
      </c>
      <c r="BB14">
        <f t="shared" si="55"/>
        <v>0.79355637340988328</v>
      </c>
      <c r="BC14">
        <f t="shared" si="56"/>
        <v>0.78414383153054334</v>
      </c>
      <c r="BD14">
        <f t="shared" si="57"/>
        <v>0.77482553872609905</v>
      </c>
      <c r="BE14">
        <f t="shared" si="58"/>
        <v>0.76560135682761843</v>
      </c>
      <c r="BF14">
        <f t="shared" si="59"/>
        <v>0.75647108117955864</v>
      </c>
      <c r="BG14">
        <f t="shared" si="60"/>
        <v>0.74743444877835408</v>
      </c>
      <c r="BH14">
        <f t="shared" si="61"/>
        <v>0.73849114536570826</v>
      </c>
      <c r="BI14">
        <f t="shared" si="62"/>
        <v>0.72964081162562544</v>
      </c>
      <c r="BJ14">
        <f t="shared" si="63"/>
        <v>0.72088304861023211</v>
      </c>
      <c r="BK14">
        <f t="shared" si="64"/>
        <v>0.71221742464271864</v>
      </c>
      <c r="BL14">
        <f t="shared" si="65"/>
        <v>0.70364348353591366</v>
      </c>
      <c r="BM14">
        <f t="shared" si="66"/>
        <v>0.69516074730005761</v>
      </c>
      <c r="BN14">
        <f t="shared" si="67"/>
        <v>0.68676871848280086</v>
      </c>
      <c r="BO14">
        <f t="shared" si="68"/>
        <v>0.67846700164505203</v>
      </c>
      <c r="BP14">
        <f t="shared" si="69"/>
        <v>0.67025531706272257</v>
      </c>
      <c r="BQ14">
        <f t="shared" si="70"/>
        <v>0.66213333148782705</v>
      </c>
      <c r="BR14">
        <f t="shared" si="71"/>
        <v>0.65410066095959307</v>
      </c>
      <c r="BS14">
        <f t="shared" si="72"/>
        <v>0.64615687566024194</v>
      </c>
      <c r="BT14">
        <f t="shared" si="73"/>
        <v>0.6383015044292033</v>
      </c>
      <c r="BU14">
        <f t="shared" si="74"/>
        <v>0.63053403922374851</v>
      </c>
      <c r="BV14">
        <f t="shared" si="75"/>
        <v>0.62285399175406542</v>
      </c>
      <c r="BW14">
        <f t="shared" si="76"/>
        <v>0.61526086064228946</v>
      </c>
      <c r="BX14">
        <f t="shared" si="77"/>
        <v>0.60775410601517332</v>
      </c>
      <c r="BY14">
        <f t="shared" si="78"/>
        <v>0.60033315403881482</v>
      </c>
      <c r="BZ14">
        <f t="shared" si="79"/>
        <v>0.59299740096830167</v>
      </c>
      <c r="CA14">
        <f t="shared" si="80"/>
        <v>0.58574621677008021</v>
      </c>
      <c r="CB14">
        <f t="shared" si="81"/>
        <v>0.5785789483671151</v>
      </c>
      <c r="CC14">
        <f t="shared" si="82"/>
        <v>0.5714949225503182</v>
      </c>
      <c r="CD14">
        <f t="shared" si="83"/>
        <v>0.56449344859409767</v>
      </c>
      <c r="CE14">
        <f t="shared" si="84"/>
        <v>0.55757382060906002</v>
      </c>
      <c r="CF14">
        <f t="shared" si="85"/>
        <v>0.55073531966075928</v>
      </c>
      <c r="CG14">
        <f t="shared" si="86"/>
        <v>0.54397721567982515</v>
      </c>
      <c r="CH14">
        <f t="shared" si="87"/>
        <v>0.53729876918572805</v>
      </c>
      <c r="CI14">
        <f t="shared" si="88"/>
        <v>0.53069923284377718</v>
      </c>
      <c r="CJ14">
        <f t="shared" si="89"/>
        <v>0.52417785287264229</v>
      </c>
      <c r="CK14">
        <f t="shared" si="90"/>
        <v>0.51773387031768237</v>
      </c>
      <c r="CL14">
        <f t="shared" si="91"/>
        <v>0.51136652220361911</v>
      </c>
      <c r="CM14">
        <f t="shared" si="92"/>
        <v>0.50507504257856728</v>
      </c>
      <c r="CN14">
        <f t="shared" si="93"/>
        <v>0.49885866346009816</v>
      </c>
      <c r="CO14">
        <f t="shared" si="94"/>
        <v>0.49271661569284614</v>
      </c>
      <c r="CP14">
        <f t="shared" si="95"/>
        <v>0.48664813998404627</v>
      </c>
      <c r="CQ14">
        <f t="shared" si="96"/>
        <v>0.48065247944045641</v>
      </c>
      <c r="CR14">
        <f t="shared" si="97"/>
        <v>0.47472887615678377</v>
      </c>
      <c r="CS14">
        <f t="shared" si="98"/>
        <v>0.46887657203177618</v>
      </c>
      <c r="CT14">
        <f t="shared" si="99"/>
        <v>0.46309480950303672</v>
      </c>
      <c r="CU14">
        <f t="shared" si="100"/>
        <v>0.45738283220866793</v>
      </c>
      <c r="CV14">
        <f t="shared" si="101"/>
        <v>0.45173988558296752</v>
      </c>
      <c r="CW14">
        <f t="shared" si="102"/>
        <v>0.44616521739261567</v>
      </c>
      <c r="CX14">
        <f t="shared" si="103"/>
        <v>0.44065807945812507</v>
      </c>
      <c r="CY14">
        <f t="shared" si="104"/>
        <v>0.43521772776784656</v>
      </c>
      <c r="CZ14">
        <f t="shared" si="105"/>
        <v>0.42984342175349755</v>
      </c>
      <c r="DA14">
        <f t="shared" si="106"/>
        <v>0.42453442465517111</v>
      </c>
      <c r="DB14">
        <f t="shared" si="107"/>
        <v>0.41929000384905724</v>
      </c>
      <c r="DC14">
        <f t="shared" si="108"/>
        <v>0.41410943114129561</v>
      </c>
      <c r="DD14">
        <f t="shared" si="109"/>
        <v>0.40899198303104317</v>
      </c>
      <c r="DE14">
        <f t="shared" si="110"/>
        <v>0.40393694094553612</v>
      </c>
      <c r="DF14">
        <f t="shared" si="111"/>
        <v>0.39894359144965819</v>
      </c>
      <c r="DG14">
        <f t="shared" si="112"/>
        <v>0.39401122643228526</v>
      </c>
      <c r="DH14">
        <f t="shared" si="113"/>
        <v>0.38913914327146137</v>
      </c>
      <c r="DI14">
        <f t="shared" si="114"/>
        <v>0.38432664498026725</v>
      </c>
      <c r="DJ14">
        <f t="shared" si="115"/>
        <v>0.37957304033506989</v>
      </c>
      <c r="DK14">
        <f t="shared" si="116"/>
        <v>0.37487764398768531</v>
      </c>
      <c r="DL14">
        <f t="shared" si="117"/>
        <v>0.37023977656284685</v>
      </c>
      <c r="DM14">
        <f t="shared" si="118"/>
        <v>0.36565876474224523</v>
      </c>
      <c r="DN14">
        <f t="shared" si="119"/>
        <v>0.36113394133629284</v>
      </c>
      <c r="DO14">
        <f t="shared" si="120"/>
        <v>0.35666464534466197</v>
      </c>
      <c r="DP14">
        <f t="shared" si="121"/>
        <v>0.35225022200655454</v>
      </c>
      <c r="DQ14">
        <f t="shared" si="122"/>
        <v>0.34789002284157688</v>
      </c>
      <c r="DR14">
        <f t="shared" si="123"/>
        <v>0.34358340568201745</v>
      </c>
      <c r="DS14">
        <f t="shared" si="124"/>
        <v>0.33932973469725625</v>
      </c>
      <c r="DT14">
        <f t="shared" si="125"/>
        <v>0.33512838041097337</v>
      </c>
      <c r="DU14">
        <f t="shared" si="126"/>
        <v>0.33097871971176684</v>
      </c>
      <c r="DV14">
        <f t="shared" si="127"/>
        <v>0.32688013585773901</v>
      </c>
      <c r="DW14">
        <f t="shared" si="128"/>
        <v>0.32283201847556409</v>
      </c>
      <c r="DX14">
        <f t="shared" si="129"/>
        <v>0.31883376355450693</v>
      </c>
      <c r="DY14">
        <f t="shared" si="130"/>
        <v>0.31488477343582433</v>
      </c>
      <c r="DZ14">
        <f t="shared" si="131"/>
        <v>0.31098445679794534</v>
      </c>
      <c r="EA14">
        <f t="shared" si="132"/>
        <v>0.30713222863779455</v>
      </c>
      <c r="EB14">
        <f t="shared" si="133"/>
        <v>0.30332751024859328</v>
      </c>
      <c r="EC14">
        <f t="shared" si="134"/>
        <v>0.29956972919444641</v>
      </c>
      <c r="ED14">
        <f t="shared" si="135"/>
        <v>0.29585831928199852</v>
      </c>
      <c r="EE14">
        <f t="shared" si="136"/>
        <v>0.29219272052942058</v>
      </c>
      <c r="EF14">
        <f t="shared" si="137"/>
        <v>0.28857237913296718</v>
      </c>
      <c r="EG14">
        <f t="shared" si="138"/>
        <v>0.28499674743132664</v>
      </c>
      <c r="EH14">
        <f t="shared" si="139"/>
        <v>0.28146528386796793</v>
      </c>
      <c r="EI14">
        <f t="shared" si="140"/>
        <v>0.27797745295167353</v>
      </c>
      <c r="EJ14">
        <f t="shared" si="141"/>
        <v>0.27453272521543193</v>
      </c>
      <c r="EK14">
        <f t="shared" si="142"/>
        <v>0.27113057717385058</v>
      </c>
      <c r="EL14">
        <f t="shared" si="143"/>
        <v>0.26777049127923802</v>
      </c>
      <c r="EM14">
        <f t="shared" si="144"/>
        <v>0.26445195587649195</v>
      </c>
      <c r="EN14">
        <f t="shared" si="145"/>
        <v>0.26117446515692022</v>
      </c>
      <c r="EO14">
        <f t="shared" si="146"/>
        <v>0.25793751911111179</v>
      </c>
      <c r="EP14">
        <f t="shared" si="147"/>
        <v>0.25474062348096627</v>
      </c>
      <c r="EQ14">
        <f t="shared" si="148"/>
        <v>0.25158328971098154</v>
      </c>
      <c r="ER14">
        <f t="shared" si="149"/>
        <v>0.24846503489889296</v>
      </c>
      <c r="ES14">
        <f t="shared" si="150"/>
        <v>0.24538538174574911</v>
      </c>
      <c r="ET14">
        <f t="shared" si="151"/>
        <v>0.24234385850550388</v>
      </c>
      <c r="EU14">
        <f t="shared" si="152"/>
        <v>0.23933999893419811</v>
      </c>
      <c r="EV14">
        <f t="shared" si="153"/>
        <v>0.23637334223879838</v>
      </c>
      <c r="EW14">
        <f t="shared" si="154"/>
        <v>0.23344343302575637</v>
      </c>
      <c r="EX14">
        <f t="shared" si="155"/>
        <v>0.23054982124934614</v>
      </c>
      <c r="EY14">
        <f t="shared" si="156"/>
        <v>0.22769206215983376</v>
      </c>
      <c r="EZ14">
        <f t="shared" si="157"/>
        <v>0.22486971625152857</v>
      </c>
      <c r="FA14">
        <f t="shared" si="158"/>
        <v>0.22208234921076231</v>
      </c>
      <c r="FB14">
        <f t="shared" si="159"/>
        <v>0.21932953186383849</v>
      </c>
      <c r="FC14">
        <f t="shared" si="160"/>
        <v>0.21661084012499141</v>
      </c>
      <c r="FD14">
        <f t="shared" si="161"/>
        <v>0.21392585494439098</v>
      </c>
      <c r="FE14">
        <f t="shared" si="162"/>
        <v>0.2112741622562273</v>
      </c>
      <c r="FF14">
        <f t="shared" si="163"/>
        <v>0.20865535292690546</v>
      </c>
      <c r="FG14">
        <f t="shared" si="164"/>
        <v>0.20606902270337937</v>
      </c>
      <c r="FH14">
        <f t="shared" si="165"/>
        <v>0.20351477216165126</v>
      </c>
      <c r="FI14">
        <f t="shared" si="166"/>
        <v>0.20099220665546061</v>
      </c>
      <c r="FJ14">
        <f t="shared" si="167"/>
        <v>0.19850093626518536</v>
      </c>
      <c r="FK14">
        <f t="shared" si="168"/>
        <v>0.1960405757469757</v>
      </c>
      <c r="FL14">
        <f t="shared" si="169"/>
        <v>0.19361074448213944</v>
      </c>
      <c r="FM14">
        <f t="shared" si="170"/>
        <v>0.19121106642679642</v>
      </c>
      <c r="FN14">
        <f t="shared" si="171"/>
        <v>0.18884117006181772</v>
      </c>
      <c r="FO14">
        <f t="shared" si="172"/>
        <v>0.18650068834306435</v>
      </c>
      <c r="FP14">
        <f t="shared" si="173"/>
        <v>0.18418925865193886</v>
      </c>
      <c r="FQ14">
        <f t="shared" si="174"/>
        <v>0.18190652274626165</v>
      </c>
      <c r="FR14">
        <f t="shared" si="175"/>
        <v>0.17965212671148365</v>
      </c>
      <c r="FS14">
        <f t="shared" si="176"/>
        <v>0.17742572091224476</v>
      </c>
      <c r="FT14">
        <f t="shared" si="177"/>
        <v>0.17522695994428775</v>
      </c>
      <c r="FU14">
        <f t="shared" si="178"/>
        <v>0.17305550258673541</v>
      </c>
      <c r="FV14">
        <f t="shared" si="179"/>
        <v>0.17091101175473875</v>
      </c>
      <c r="FW14">
        <f t="shared" si="180"/>
        <v>0.16879315445250248</v>
      </c>
      <c r="FX14">
        <f t="shared" si="181"/>
        <v>0.16670160172669404</v>
      </c>
      <c r="FY14">
        <f t="shared" si="182"/>
        <v>0.16463602862024132</v>
      </c>
      <c r="FZ14">
        <f t="shared" si="183"/>
        <v>0.16259611412652358</v>
      </c>
      <c r="GA14">
        <f t="shared" si="184"/>
        <v>0.16058154114395989</v>
      </c>
      <c r="GB14">
        <f t="shared" si="185"/>
        <v>0.15859199643099844</v>
      </c>
      <c r="GC14">
        <f t="shared" si="186"/>
        <v>0.15662717056150971</v>
      </c>
      <c r="GD14">
        <f t="shared" si="187"/>
        <v>0.15468675788058603</v>
      </c>
      <c r="GE14">
        <f t="shared" si="188"/>
        <v>0.15277045646074991</v>
      </c>
      <c r="GF14">
        <f t="shared" si="189"/>
        <v>0.15087796805857243</v>
      </c>
      <c r="GG14">
        <f t="shared" si="190"/>
        <v>0.1490089980717032</v>
      </c>
      <c r="GH14">
        <f t="shared" si="191"/>
        <v>0.14716325549631298</v>
      </c>
      <c r="GI14">
        <f t="shared" si="192"/>
        <v>0.14534045288494923</v>
      </c>
      <c r="GJ14">
        <f t="shared" si="193"/>
        <v>0.1435403063048053</v>
      </c>
      <c r="GK14">
        <f t="shared" si="194"/>
        <v>0.14176253529640295</v>
      </c>
      <c r="GL14">
        <f t="shared" si="195"/>
        <v>0.14000686283268821</v>
      </c>
      <c r="GM14">
        <f t="shared" si="196"/>
        <v>0.13827301527853991</v>
      </c>
      <c r="GN14">
        <f t="shared" si="197"/>
        <v>0.13656072235069036</v>
      </c>
      <c r="GO14">
        <f t="shared" si="198"/>
        <v>0.13486971707805692</v>
      </c>
      <c r="GP14">
        <f t="shared" si="199"/>
        <v>0.13319973576248378</v>
      </c>
      <c r="GQ14">
        <f t="shared" si="200"/>
        <v>0.13155051793989206</v>
      </c>
      <c r="GR14">
        <f t="shared" si="201"/>
        <v>0.12992180634183731</v>
      </c>
      <c r="GS14">
        <f t="shared" si="202"/>
        <v>0.12831334685747234</v>
      </c>
      <c r="GT14">
        <f t="shared" si="203"/>
        <v>0.12672488849591379</v>
      </c>
      <c r="GU14">
        <f t="shared" si="204"/>
        <v>0.12515618334901035</v>
      </c>
      <c r="GV14">
        <f t="shared" si="205"/>
        <v>0.12360698655451072</v>
      </c>
      <c r="GW14">
        <f t="shared" si="206"/>
        <v>0.12207705625962902</v>
      </c>
      <c r="GX14">
        <f t="shared" si="207"/>
        <v>0.12056615358500535</v>
      </c>
      <c r="GY14">
        <f t="shared" si="208"/>
        <v>0.11907404258905918</v>
      </c>
      <c r="GZ14">
        <f t="shared" si="209"/>
        <v>0.11760049023273307</v>
      </c>
      <c r="HA14">
        <f t="shared" si="210"/>
        <v>0.11614526634462402</v>
      </c>
      <c r="HB14">
        <f t="shared" si="211"/>
        <v>0.11470814358650006</v>
      </c>
      <c r="HC14">
        <f t="shared" si="212"/>
        <v>0.11328889741919908</v>
      </c>
      <c r="HD14">
        <f t="shared" si="213"/>
        <v>0.1118873060689074</v>
      </c>
      <c r="HE14">
        <f t="shared" si="214"/>
        <v>0.11050315049381501</v>
      </c>
      <c r="HF14">
        <f t="shared" si="215"/>
        <v>0.10913621435114472</v>
      </c>
      <c r="HG14">
        <f t="shared" si="216"/>
        <v>0.10778628396455223</v>
      </c>
      <c r="HH14">
        <f t="shared" si="217"/>
        <v>0.10645314829189419</v>
      </c>
      <c r="HI14">
        <f t="shared" si="218"/>
        <v>0.10513659889336123</v>
      </c>
      <c r="HJ14">
        <f t="shared" si="219"/>
        <v>0.10383642989997284</v>
      </c>
      <c r="HK14">
        <f t="shared" si="220"/>
        <v>0.10255243798243105</v>
      </c>
      <c r="HL14">
        <f t="shared" si="221"/>
        <v>0.1012844223203299</v>
      </c>
      <c r="HM14">
        <f t="shared" si="222"/>
        <v>0.10003218457171743</v>
      </c>
      <c r="HN14">
        <f t="shared" si="223"/>
        <v>9.879552884300713E-2</v>
      </c>
      <c r="HO14">
        <f t="shared" si="224"/>
        <v>9.757426165923562E-2</v>
      </c>
      <c r="HP14">
        <f t="shared" si="225"/>
        <v>9.6368191934663519E-2</v>
      </c>
      <c r="HQ14">
        <f t="shared" si="226"/>
        <v>9.5177130943716104E-2</v>
      </c>
      <c r="HR14">
        <f t="shared" si="227"/>
        <v>9.4000892292260788E-2</v>
      </c>
      <c r="HS14">
        <f t="shared" si="228"/>
        <v>9.2839291889218037E-2</v>
      </c>
      <c r="HT14">
        <f t="shared" si="229"/>
        <v>9.1692147918502609E-2</v>
      </c>
      <c r="HU14">
        <f t="shared" si="230"/>
        <v>9.0559280811291942E-2</v>
      </c>
      <c r="HV14">
        <f t="shared" si="231"/>
        <v>8.9440513218618387E-2</v>
      </c>
      <c r="HW14">
        <f t="shared" si="232"/>
        <v>8.8335669984282147E-2</v>
      </c>
      <c r="HX14">
        <f t="shared" si="233"/>
        <v>8.724457811808177E-2</v>
      </c>
      <c r="HY14">
        <f t="shared" si="234"/>
        <v>8.6167066769358883E-2</v>
      </c>
      <c r="HZ14">
        <f t="shared" si="235"/>
        <v>8.5102967200854099E-2</v>
      </c>
      <c r="IA14">
        <f t="shared" si="236"/>
        <v>8.4052112762870834E-2</v>
      </c>
      <c r="IB14">
        <f t="shared" si="237"/>
        <v>8.3014338867743967E-2</v>
      </c>
      <c r="IC14">
        <f t="shared" si="238"/>
        <v>8.1989482964610075E-2</v>
      </c>
      <c r="ID14">
        <f t="shared" si="239"/>
        <v>8.0977384514476239E-2</v>
      </c>
      <c r="IE14">
        <f t="shared" si="240"/>
        <v>7.9977884965584126E-2</v>
      </c>
      <c r="IF14">
        <f t="shared" si="241"/>
        <v>7.8990827729066376E-2</v>
      </c>
      <c r="IG14">
        <f t="shared" si="242"/>
        <v>7.8016058154892182E-2</v>
      </c>
      <c r="IH14">
        <f t="shared" si="243"/>
        <v>7.7053423508098851E-2</v>
      </c>
      <c r="II14">
        <f t="shared" si="244"/>
        <v>7.6102772945306499E-2</v>
      </c>
      <c r="IJ14">
        <f t="shared" si="245"/>
        <v>7.5163957491512612E-2</v>
      </c>
      <c r="IK14">
        <f t="shared" si="246"/>
        <v>7.4236830017163635E-2</v>
      </c>
      <c r="IL14">
        <f t="shared" si="247"/>
        <v>7.3321245215500416E-2</v>
      </c>
      <c r="IM14">
        <f t="shared" si="248"/>
        <v>7.2417059580174678E-2</v>
      </c>
      <c r="IN14">
        <f t="shared" si="249"/>
        <v>7.1524131383133432E-2</v>
      </c>
      <c r="IO14">
        <f t="shared" si="250"/>
        <v>7.0642320652768403E-2</v>
      </c>
      <c r="IP14">
        <f t="shared" si="251"/>
        <v>6.9771489152327656E-2</v>
      </c>
      <c r="IQ14">
        <f t="shared" si="252"/>
        <v>6.8911500358586286E-2</v>
      </c>
      <c r="IR14">
        <f t="shared" si="253"/>
        <v>6.8062219440773605E-2</v>
      </c>
      <c r="IS14">
        <f t="shared" si="254"/>
        <v>6.7223513239753632E-2</v>
      </c>
      <c r="IT14">
        <f t="shared" si="255"/>
        <v>6.639525024745635E-2</v>
      </c>
      <c r="IU14">
        <f t="shared" si="256"/>
        <v>6.5577300586556656E-2</v>
      </c>
      <c r="IV14">
        <f t="shared" si="257"/>
        <v>6.4769535990398447E-2</v>
      </c>
    </row>
    <row r="15" spans="1:256" x14ac:dyDescent="0.2">
      <c r="A15" t="s">
        <v>485</v>
      </c>
      <c r="B15">
        <f>$B$117</f>
        <v>0.74665122985839849</v>
      </c>
      <c r="C15">
        <f t="shared" si="4"/>
        <v>0.74906084918975835</v>
      </c>
      <c r="D15">
        <f t="shared" si="5"/>
        <v>0.75219758857488639</v>
      </c>
      <c r="E15">
        <f t="shared" si="6"/>
        <v>0.75529511871770028</v>
      </c>
      <c r="F15">
        <f t="shared" si="7"/>
        <v>0.75835392973372906</v>
      </c>
      <c r="G15">
        <f t="shared" si="8"/>
        <v>0.76137450561205744</v>
      </c>
      <c r="H15">
        <f t="shared" si="9"/>
        <v>0.76435732429190673</v>
      </c>
      <c r="I15">
        <f t="shared" si="10"/>
        <v>0.7673028577382579</v>
      </c>
      <c r="J15">
        <f t="shared" si="11"/>
        <v>0.77021157201652968</v>
      </c>
      <c r="K15">
        <f t="shared" si="12"/>
        <v>0.77308392736632303</v>
      </c>
      <c r="L15">
        <f t="shared" si="13"/>
        <v>0.77592037827424398</v>
      </c>
      <c r="M15">
        <f t="shared" si="14"/>
        <v>0.77872137354581594</v>
      </c>
      <c r="N15">
        <f t="shared" si="15"/>
        <v>0.78148735637649325</v>
      </c>
      <c r="O15">
        <f t="shared" si="16"/>
        <v>0.78421876442178706</v>
      </c>
      <c r="P15">
        <f t="shared" si="17"/>
        <v>0.78691602986651477</v>
      </c>
      <c r="Q15">
        <f t="shared" si="18"/>
        <v>0.78957957949318336</v>
      </c>
      <c r="R15">
        <f t="shared" si="19"/>
        <v>0.79220983474951856</v>
      </c>
      <c r="S15">
        <f t="shared" si="20"/>
        <v>0.79480721181514957</v>
      </c>
      <c r="T15">
        <f t="shared" si="21"/>
        <v>0.79737212166746019</v>
      </c>
      <c r="U15">
        <f t="shared" si="22"/>
        <v>0.79990497014661699</v>
      </c>
      <c r="V15">
        <f t="shared" si="23"/>
        <v>0.80240615801978432</v>
      </c>
      <c r="W15">
        <f t="shared" si="24"/>
        <v>0.80487608104453701</v>
      </c>
      <c r="X15">
        <f t="shared" si="25"/>
        <v>0.80731513003148025</v>
      </c>
      <c r="Y15">
        <f t="shared" si="26"/>
        <v>0.80972369090608676</v>
      </c>
      <c r="Z15">
        <f t="shared" si="27"/>
        <v>0.81210214476976073</v>
      </c>
      <c r="AA15">
        <f t="shared" si="28"/>
        <v>0.81445086796013877</v>
      </c>
      <c r="AB15">
        <f t="shared" si="29"/>
        <v>0.81677023211063704</v>
      </c>
      <c r="AC15">
        <f t="shared" si="30"/>
        <v>0.81906060420925408</v>
      </c>
      <c r="AD15">
        <f t="shared" si="31"/>
        <v>0.82132234665663839</v>
      </c>
      <c r="AE15">
        <f t="shared" si="32"/>
        <v>0.82355581732343042</v>
      </c>
      <c r="AF15">
        <f t="shared" si="33"/>
        <v>0.82576136960688751</v>
      </c>
      <c r="AG15">
        <f t="shared" si="34"/>
        <v>0.82793935248680139</v>
      </c>
      <c r="AH15">
        <f t="shared" si="35"/>
        <v>0.83009011058071636</v>
      </c>
      <c r="AI15">
        <f t="shared" si="36"/>
        <v>0.82978882472769599</v>
      </c>
      <c r="AJ15">
        <f t="shared" si="37"/>
        <v>0.82948203369588824</v>
      </c>
      <c r="AK15">
        <f t="shared" si="38"/>
        <v>0.82916992219067742</v>
      </c>
      <c r="AL15">
        <f t="shared" si="39"/>
        <v>0.82885267115999728</v>
      </c>
      <c r="AM15">
        <f t="shared" si="40"/>
        <v>0.82853045785940715</v>
      </c>
      <c r="AN15">
        <f t="shared" si="41"/>
        <v>0.82820345591612843</v>
      </c>
      <c r="AO15">
        <f t="shared" si="42"/>
        <v>0.82787183539205655</v>
      </c>
      <c r="AP15">
        <f t="shared" si="43"/>
        <v>0.82753576284576491</v>
      </c>
      <c r="AQ15">
        <f t="shared" si="44"/>
        <v>0.82969156581019288</v>
      </c>
      <c r="AR15">
        <f t="shared" si="45"/>
        <v>0.8318204212375655</v>
      </c>
      <c r="AS15">
        <f t="shared" si="46"/>
        <v>0.83392266597209597</v>
      </c>
      <c r="AT15">
        <f t="shared" si="47"/>
        <v>0.83599863264744478</v>
      </c>
      <c r="AU15">
        <f t="shared" si="48"/>
        <v>0.83804864973935167</v>
      </c>
      <c r="AV15">
        <f t="shared" si="49"/>
        <v>0.84007304161760976</v>
      </c>
      <c r="AW15">
        <f t="shared" si="50"/>
        <v>0.84207212859738967</v>
      </c>
      <c r="AX15">
        <f t="shared" si="51"/>
        <v>0.84404622698992227</v>
      </c>
      <c r="AY15">
        <f t="shared" si="52"/>
        <v>0.84599564915254821</v>
      </c>
      <c r="AZ15">
        <f t="shared" si="53"/>
        <v>0.84792070353814131</v>
      </c>
      <c r="BA15">
        <f t="shared" si="54"/>
        <v>0.84982169474391456</v>
      </c>
      <c r="BB15">
        <f t="shared" si="55"/>
        <v>0.85169892355961563</v>
      </c>
      <c r="BC15">
        <f t="shared" si="56"/>
        <v>0.85355268701512044</v>
      </c>
      <c r="BD15">
        <f t="shared" si="57"/>
        <v>0.85538327842743145</v>
      </c>
      <c r="BE15">
        <f t="shared" si="58"/>
        <v>0.85719098744708855</v>
      </c>
      <c r="BF15">
        <f t="shared" si="59"/>
        <v>0.85897610010399994</v>
      </c>
      <c r="BG15">
        <f t="shared" si="60"/>
        <v>0.86073889885269994</v>
      </c>
      <c r="BH15">
        <f t="shared" si="61"/>
        <v>0.86247966261704123</v>
      </c>
      <c r="BI15">
        <f t="shared" si="62"/>
        <v>0.86419866683432822</v>
      </c>
      <c r="BJ15">
        <f t="shared" si="63"/>
        <v>0.86589618349889907</v>
      </c>
      <c r="BK15">
        <f t="shared" si="64"/>
        <v>0.86757248120516284</v>
      </c>
      <c r="BL15">
        <f t="shared" si="65"/>
        <v>0.86922782519009834</v>
      </c>
      <c r="BM15">
        <f t="shared" si="66"/>
        <v>0.87086247737522215</v>
      </c>
      <c r="BN15">
        <f t="shared" si="67"/>
        <v>0.87247669640803183</v>
      </c>
      <c r="BO15">
        <f t="shared" si="68"/>
        <v>0.87407073770293142</v>
      </c>
      <c r="BP15">
        <f t="shared" si="69"/>
        <v>0.87564485348164478</v>
      </c>
      <c r="BQ15">
        <f t="shared" si="70"/>
        <v>0.87713713709055829</v>
      </c>
      <c r="BR15">
        <f t="shared" si="71"/>
        <v>0.87849506540360034</v>
      </c>
      <c r="BS15">
        <f t="shared" si="72"/>
        <v>0.87972176413385383</v>
      </c>
      <c r="BT15">
        <f t="shared" si="73"/>
        <v>0.88082030184458959</v>
      </c>
      <c r="BU15">
        <f t="shared" si="74"/>
        <v>0.8817936908896189</v>
      </c>
      <c r="BV15">
        <f t="shared" si="75"/>
        <v>0.88264488833906718</v>
      </c>
      <c r="BW15">
        <f t="shared" si="76"/>
        <v>0.88337679689078563</v>
      </c>
      <c r="BX15">
        <f t="shared" si="77"/>
        <v>0.88399226576761614</v>
      </c>
      <c r="BY15">
        <f t="shared" si="78"/>
        <v>0.88449409160071957</v>
      </c>
      <c r="BZ15">
        <f t="shared" si="79"/>
        <v>0.88488501929917718</v>
      </c>
      <c r="CA15">
        <f t="shared" si="80"/>
        <v>0.88516774290606859</v>
      </c>
      <c r="CB15">
        <f t="shared" si="81"/>
        <v>0.8853449064412301</v>
      </c>
      <c r="CC15">
        <f t="shared" si="82"/>
        <v>0.88541910473089147</v>
      </c>
      <c r="CD15">
        <f t="shared" si="83"/>
        <v>0.88539288422438778</v>
      </c>
      <c r="CE15">
        <f t="shared" si="84"/>
        <v>0.88526874379814036</v>
      </c>
      <c r="CF15">
        <f t="shared" si="85"/>
        <v>0.88504913554709697</v>
      </c>
      <c r="CG15">
        <f t="shared" si="86"/>
        <v>0.88473646556381913</v>
      </c>
      <c r="CH15">
        <f t="shared" si="87"/>
        <v>0.88433309470540189</v>
      </c>
      <c r="CI15">
        <f t="shared" si="88"/>
        <v>0.88384133934840858</v>
      </c>
      <c r="CJ15">
        <f t="shared" si="89"/>
        <v>0.8832634721320004</v>
      </c>
      <c r="CK15">
        <f t="shared" si="90"/>
        <v>0.88260172268943715</v>
      </c>
      <c r="CL15">
        <f t="shared" si="91"/>
        <v>0.88185827836812525</v>
      </c>
      <c r="CM15">
        <f t="shared" si="92"/>
        <v>0.88103528493838379</v>
      </c>
      <c r="CN15">
        <f t="shared" si="93"/>
        <v>0.88013484729109881</v>
      </c>
      <c r="CO15">
        <f t="shared" si="94"/>
        <v>0.87915903012443219</v>
      </c>
      <c r="CP15">
        <f t="shared" si="95"/>
        <v>0.87810985861975088</v>
      </c>
      <c r="CQ15">
        <f t="shared" si="96"/>
        <v>0.87698931910693756</v>
      </c>
      <c r="CR15">
        <f t="shared" si="97"/>
        <v>0.87579935971924316</v>
      </c>
      <c r="CS15">
        <f t="shared" si="98"/>
        <v>0.87454189103783864</v>
      </c>
      <c r="CT15">
        <f t="shared" si="99"/>
        <v>0.873218786726221</v>
      </c>
      <c r="CU15">
        <f t="shared" si="100"/>
        <v>0.87183188415462698</v>
      </c>
      <c r="CV15">
        <f t="shared" si="101"/>
        <v>0.87038298501460476</v>
      </c>
      <c r="CW15">
        <f t="shared" si="102"/>
        <v>0.86887385592389188</v>
      </c>
      <c r="CX15">
        <f t="shared" si="103"/>
        <v>0.86730622902174614</v>
      </c>
      <c r="CY15">
        <f t="shared" si="104"/>
        <v>0.86568180255487392</v>
      </c>
      <c r="CZ15">
        <f t="shared" si="105"/>
        <v>0.86400224145409676</v>
      </c>
      <c r="DA15">
        <f t="shared" si="106"/>
        <v>0.86226917790189772</v>
      </c>
      <c r="DB15">
        <f t="shared" si="107"/>
        <v>0.86048421189098434</v>
      </c>
      <c r="DC15">
        <f t="shared" si="108"/>
        <v>0.85864891177400449</v>
      </c>
      <c r="DD15">
        <f t="shared" si="109"/>
        <v>0.85676481480454914</v>
      </c>
      <c r="DE15">
        <f t="shared" si="110"/>
        <v>0.85483342766957338</v>
      </c>
      <c r="DF15">
        <f t="shared" si="111"/>
        <v>0.85285622701336672</v>
      </c>
      <c r="DG15">
        <f t="shared" si="112"/>
        <v>0.85083465995319973</v>
      </c>
      <c r="DH15">
        <f t="shared" si="113"/>
        <v>0.84877014458677402</v>
      </c>
      <c r="DI15">
        <f t="shared" si="114"/>
        <v>0.8466640704915992</v>
      </c>
      <c r="DJ15">
        <f t="shared" si="115"/>
        <v>0.8445177992164199</v>
      </c>
      <c r="DK15">
        <f t="shared" si="116"/>
        <v>0.84233266476481372</v>
      </c>
      <c r="DL15">
        <f t="shared" si="117"/>
        <v>0.84010997407107801</v>
      </c>
      <c r="DM15">
        <f t="shared" si="118"/>
        <v>0.83785100746852414</v>
      </c>
      <c r="DN15">
        <f t="shared" si="119"/>
        <v>0.83555701915029335</v>
      </c>
      <c r="DO15">
        <f t="shared" si="120"/>
        <v>0.83322923762280932</v>
      </c>
      <c r="DP15">
        <f t="shared" si="121"/>
        <v>0.83086886615197808</v>
      </c>
      <c r="DQ15">
        <f t="shared" si="122"/>
        <v>0.828477083202247</v>
      </c>
      <c r="DR15">
        <f t="shared" si="123"/>
        <v>0.82605504286863085</v>
      </c>
      <c r="DS15">
        <f t="shared" si="124"/>
        <v>0.82360387530181267</v>
      </c>
      <c r="DT15">
        <f t="shared" si="125"/>
        <v>0.82112468712642461</v>
      </c>
      <c r="DU15">
        <f t="shared" si="126"/>
        <v>0.81861856185261328</v>
      </c>
      <c r="DV15">
        <f t="shared" si="127"/>
        <v>0.81608656028099158</v>
      </c>
      <c r="DW15">
        <f t="shared" si="128"/>
        <v>0.81352972090107889</v>
      </c>
      <c r="DX15">
        <f t="shared" si="129"/>
        <v>0.81094906028332803</v>
      </c>
      <c r="DY15">
        <f t="shared" si="130"/>
        <v>0.80834557346483804</v>
      </c>
      <c r="DZ15">
        <f t="shared" si="131"/>
        <v>0.80572023432884887</v>
      </c>
      <c r="EA15">
        <f t="shared" si="132"/>
        <v>0.80307399597811346</v>
      </c>
      <c r="EB15">
        <f t="shared" si="133"/>
        <v>0.80040779110224047</v>
      </c>
      <c r="EC15">
        <f t="shared" si="134"/>
        <v>0.79772253233910062</v>
      </c>
      <c r="ED15">
        <f t="shared" si="135"/>
        <v>0.79501911263038749</v>
      </c>
      <c r="EE15">
        <f t="shared" si="136"/>
        <v>0.79229840557142217</v>
      </c>
      <c r="EF15">
        <f t="shared" si="137"/>
        <v>0.78956126575529029</v>
      </c>
      <c r="EG15">
        <f t="shared" si="138"/>
        <v>0.78680852911139909</v>
      </c>
      <c r="EH15">
        <f t="shared" si="139"/>
        <v>0.78404101323853881</v>
      </c>
      <c r="EI15">
        <f t="shared" si="140"/>
        <v>0.78125951773253433</v>
      </c>
      <c r="EJ15">
        <f t="shared" si="141"/>
        <v>0.77846482450856935</v>
      </c>
      <c r="EK15">
        <f t="shared" si="142"/>
        <v>0.77565769811826568</v>
      </c>
      <c r="EL15">
        <f t="shared" si="143"/>
        <v>0.77283888606159801</v>
      </c>
      <c r="EM15">
        <f t="shared" si="144"/>
        <v>0.77000911909372405</v>
      </c>
      <c r="EN15">
        <f t="shared" si="145"/>
        <v>0.76716911152680767</v>
      </c>
      <c r="EO15">
        <f t="shared" si="146"/>
        <v>0.76431956152691372</v>
      </c>
      <c r="EP15">
        <f t="shared" si="147"/>
        <v>0.76146115140604897</v>
      </c>
      <c r="EQ15">
        <f t="shared" si="148"/>
        <v>0.75859454790942515</v>
      </c>
      <c r="ER15">
        <f t="shared" si="149"/>
        <v>0.75572040249801764</v>
      </c>
      <c r="ES15">
        <f t="shared" si="150"/>
        <v>0.7528393516264924</v>
      </c>
      <c r="ET15">
        <f t="shared" si="151"/>
        <v>0.74995201701657288</v>
      </c>
      <c r="EU15">
        <f t="shared" si="152"/>
        <v>0.74705900592591756</v>
      </c>
      <c r="EV15">
        <f t="shared" si="153"/>
        <v>0.74416091141257779</v>
      </c>
      <c r="EW15">
        <f t="shared" si="154"/>
        <v>0.74125831259510344</v>
      </c>
      <c r="EX15">
        <f t="shared" si="155"/>
        <v>0.73835177490836568</v>
      </c>
      <c r="EY15">
        <f t="shared" si="156"/>
        <v>0.7354418503551613</v>
      </c>
      <c r="EZ15">
        <f t="shared" si="157"/>
        <v>0.73252907775366549</v>
      </c>
      <c r="FA15">
        <f t="shared" si="158"/>
        <v>0.72961398298079694</v>
      </c>
      <c r="FB15">
        <f t="shared" si="159"/>
        <v>0.72669707921155902</v>
      </c>
      <c r="FC15">
        <f t="shared" si="160"/>
        <v>0.72377886715441919</v>
      </c>
      <c r="FD15">
        <f t="shared" si="161"/>
        <v>0.72085983528278896</v>
      </c>
      <c r="FE15">
        <f t="shared" si="162"/>
        <v>0.71794046006266454</v>
      </c>
      <c r="FF15">
        <f t="shared" si="163"/>
        <v>0.71502120617648823</v>
      </c>
      <c r="FG15">
        <f t="shared" si="164"/>
        <v>0.71210252674328944</v>
      </c>
      <c r="FH15">
        <f t="shared" si="165"/>
        <v>0.70918486353516341</v>
      </c>
      <c r="FI15">
        <f t="shared" si="166"/>
        <v>0.70626864719014482</v>
      </c>
      <c r="FJ15">
        <f t="shared" si="167"/>
        <v>0.70335429742153222</v>
      </c>
      <c r="FK15">
        <f t="shared" si="168"/>
        <v>0.70044222322371941</v>
      </c>
      <c r="FL15">
        <f t="shared" si="169"/>
        <v>0.69753282307458764</v>
      </c>
      <c r="FM15">
        <f t="shared" si="170"/>
        <v>0.69462648513451342</v>
      </c>
      <c r="FN15">
        <f t="shared" si="171"/>
        <v>0.69172358744204354</v>
      </c>
      <c r="FO15">
        <f t="shared" si="172"/>
        <v>0.68882449810629109</v>
      </c>
      <c r="FP15">
        <f t="shared" si="173"/>
        <v>0.68592957549610256</v>
      </c>
      <c r="FQ15">
        <f t="shared" si="174"/>
        <v>0.6830391684260475</v>
      </c>
      <c r="FR15">
        <f t="shared" si="175"/>
        <v>0.68015361633928051</v>
      </c>
      <c r="FS15">
        <f t="shared" si="176"/>
        <v>0.67727324948732393</v>
      </c>
      <c r="FT15">
        <f t="shared" si="177"/>
        <v>0.67439838910682126</v>
      </c>
      <c r="FU15">
        <f t="shared" si="178"/>
        <v>0.67152934759330662</v>
      </c>
      <c r="FV15">
        <f t="shared" si="179"/>
        <v>0.66866642867203985</v>
      </c>
      <c r="FW15">
        <f t="shared" si="180"/>
        <v>0.66580992756595114</v>
      </c>
      <c r="FX15">
        <f t="shared" si="181"/>
        <v>0.66296013116074259</v>
      </c>
      <c r="FY15">
        <f t="shared" si="182"/>
        <v>0.66011731816718999</v>
      </c>
      <c r="FZ15">
        <f t="shared" si="183"/>
        <v>0.65728175928069021</v>
      </c>
      <c r="GA15">
        <f t="shared" si="184"/>
        <v>0.65445371733809721</v>
      </c>
      <c r="GB15">
        <f t="shared" si="185"/>
        <v>0.65163344747188934</v>
      </c>
      <c r="GC15">
        <f t="shared" si="186"/>
        <v>0.6488211972617105</v>
      </c>
      <c r="GD15">
        <f t="shared" si="187"/>
        <v>0.64601720688332653</v>
      </c>
      <c r="GE15">
        <f t="shared" si="188"/>
        <v>0.64322170925503797</v>
      </c>
      <c r="GF15">
        <f t="shared" si="189"/>
        <v>0.64043493018158903</v>
      </c>
      <c r="GG15">
        <f t="shared" si="190"/>
        <v>0.63765708849561309</v>
      </c>
      <c r="GH15">
        <f t="shared" si="191"/>
        <v>0.6348883961966536</v>
      </c>
      <c r="GI15">
        <f t="shared" si="192"/>
        <v>0.63212905858779855</v>
      </c>
      <c r="GJ15">
        <f t="shared" si="193"/>
        <v>0.6293792744099671</v>
      </c>
      <c r="GK15">
        <f t="shared" si="194"/>
        <v>0.62663923597388493</v>
      </c>
      <c r="GL15">
        <f t="shared" si="195"/>
        <v>0.62390912928978615</v>
      </c>
      <c r="GM15">
        <f t="shared" si="196"/>
        <v>0.62118913419487687</v>
      </c>
      <c r="GN15">
        <f t="shared" si="197"/>
        <v>0.61847942447859672</v>
      </c>
      <c r="GO15">
        <f t="shared" si="198"/>
        <v>0.61578016800571356</v>
      </c>
      <c r="GP15">
        <f t="shared" si="199"/>
        <v>0.61309152683728552</v>
      </c>
      <c r="GQ15">
        <f t="shared" si="200"/>
        <v>0.61041365734952524</v>
      </c>
      <c r="GR15">
        <f t="shared" si="201"/>
        <v>0.60774671035059857</v>
      </c>
      <c r="GS15">
        <f t="shared" si="202"/>
        <v>0.60509083119539209</v>
      </c>
      <c r="GT15">
        <f t="shared" si="203"/>
        <v>0.60244615989828143</v>
      </c>
      <c r="GU15">
        <f t="shared" si="204"/>
        <v>0.59981283124393214</v>
      </c>
      <c r="GV15">
        <f t="shared" si="205"/>
        <v>0.59719097489616535</v>
      </c>
      <c r="GW15">
        <f t="shared" si="206"/>
        <v>0.59458071550491876</v>
      </c>
      <c r="GX15">
        <f t="shared" si="207"/>
        <v>0.5919821728113337</v>
      </c>
      <c r="GY15">
        <f t="shared" si="208"/>
        <v>0.58939546175099855</v>
      </c>
      <c r="GZ15">
        <f t="shared" si="209"/>
        <v>0.58682069255537794</v>
      </c>
      <c r="HA15">
        <f t="shared" si="210"/>
        <v>0.58425797085145714</v>
      </c>
      <c r="HB15">
        <f t="shared" si="211"/>
        <v>0.58170739775963054</v>
      </c>
      <c r="HC15">
        <f t="shared" si="212"/>
        <v>0.57916906998986195</v>
      </c>
      <c r="HD15">
        <f t="shared" si="213"/>
        <v>0.5766430799361455</v>
      </c>
      <c r="HE15">
        <f t="shared" si="214"/>
        <v>0.57412951576929394</v>
      </c>
      <c r="HF15">
        <f t="shared" si="215"/>
        <v>0.57162846152808156</v>
      </c>
      <c r="HG15">
        <f t="shared" si="216"/>
        <v>0.56913999720876851</v>
      </c>
      <c r="HH15">
        <f t="shared" si="217"/>
        <v>0.56666419885303243</v>
      </c>
      <c r="HI15">
        <f t="shared" si="218"/>
        <v>0.56420113863433374</v>
      </c>
      <c r="HJ15">
        <f t="shared" si="219"/>
        <v>0.56175088494273973</v>
      </c>
      <c r="HK15">
        <f t="shared" si="220"/>
        <v>0.55931350246823175</v>
      </c>
      <c r="HL15">
        <f t="shared" si="221"/>
        <v>0.55688905228252217</v>
      </c>
      <c r="HM15">
        <f t="shared" si="222"/>
        <v>0.55447759191940249</v>
      </c>
      <c r="HN15">
        <f t="shared" si="223"/>
        <v>0.5520791754536496</v>
      </c>
      <c r="HO15">
        <f t="shared" si="224"/>
        <v>0.54969385357851108</v>
      </c>
      <c r="HP15">
        <f t="shared" si="225"/>
        <v>0.5473216736817943</v>
      </c>
      <c r="HQ15">
        <f t="shared" si="226"/>
        <v>0.54496267992058167</v>
      </c>
      <c r="HR15">
        <f t="shared" si="227"/>
        <v>0.54261691329459449</v>
      </c>
      <c r="HS15">
        <f t="shared" si="228"/>
        <v>0.54028441171822728</v>
      </c>
      <c r="HT15">
        <f t="shared" si="229"/>
        <v>0.53796521009127485</v>
      </c>
      <c r="HU15">
        <f t="shared" si="230"/>
        <v>0.53565934036837326</v>
      </c>
      <c r="HV15">
        <f t="shared" si="231"/>
        <v>0.53336683162717535</v>
      </c>
      <c r="HW15">
        <f t="shared" si="232"/>
        <v>0.53108771013528266</v>
      </c>
      <c r="HX15">
        <f t="shared" si="233"/>
        <v>0.52882199941595354</v>
      </c>
      <c r="HY15">
        <f t="shared" si="234"/>
        <v>0.52656972031260685</v>
      </c>
      <c r="HZ15">
        <f t="shared" si="235"/>
        <v>0.52433089105214303</v>
      </c>
      <c r="IA15">
        <f t="shared" si="236"/>
        <v>0.5221055273070998</v>
      </c>
      <c r="IB15">
        <f t="shared" si="237"/>
        <v>0.51989364225666368</v>
      </c>
      <c r="IC15">
        <f t="shared" si="238"/>
        <v>0.51769524664655464</v>
      </c>
      <c r="ID15">
        <f t="shared" si="239"/>
        <v>0.51551034884780367</v>
      </c>
      <c r="IE15">
        <f t="shared" si="240"/>
        <v>0.51333895491444081</v>
      </c>
      <c r="IF15">
        <f t="shared" si="241"/>
        <v>0.51118106864011248</v>
      </c>
      <c r="IG15">
        <f t="shared" si="242"/>
        <v>0.50903669161364484</v>
      </c>
      <c r="IH15">
        <f t="shared" si="243"/>
        <v>0.50690582327357181</v>
      </c>
      <c r="II15">
        <f t="shared" si="244"/>
        <v>0.50478846096164387</v>
      </c>
      <c r="IJ15">
        <f t="shared" si="245"/>
        <v>0.50268459997533554</v>
      </c>
      <c r="IK15">
        <f t="shared" si="246"/>
        <v>0.50059423361936761</v>
      </c>
      <c r="IL15">
        <f t="shared" si="247"/>
        <v>0.49851735325626062</v>
      </c>
      <c r="IM15">
        <f t="shared" si="248"/>
        <v>0.4964539483559362</v>
      </c>
      <c r="IN15">
        <f t="shared" si="249"/>
        <v>0.49440400654438149</v>
      </c>
      <c r="IO15">
        <f t="shared" si="250"/>
        <v>0.49236751365139297</v>
      </c>
      <c r="IP15">
        <f t="shared" si="251"/>
        <v>0.49034445375741453</v>
      </c>
      <c r="IQ15">
        <f t="shared" si="252"/>
        <v>0.48833480923948541</v>
      </c>
      <c r="IR15">
        <f t="shared" si="253"/>
        <v>0.48633856081631283</v>
      </c>
      <c r="IS15">
        <f t="shared" si="254"/>
        <v>0.48435568759248376</v>
      </c>
      <c r="IT15">
        <f t="shared" si="255"/>
        <v>0.4823861671018308</v>
      </c>
      <c r="IU15">
        <f t="shared" si="256"/>
        <v>0.48042997534996573</v>
      </c>
      <c r="IV15">
        <f t="shared" si="257"/>
        <v>0.47848708685599556</v>
      </c>
    </row>
    <row r="16" spans="1:256" x14ac:dyDescent="0.2">
      <c r="A16" t="s">
        <v>486</v>
      </c>
      <c r="B16">
        <f>$B$118</f>
        <v>0.42901557922363281</v>
      </c>
      <c r="C16">
        <f t="shared" si="4"/>
        <v>0.43615288448333739</v>
      </c>
      <c r="D16">
        <f t="shared" si="5"/>
        <v>0.4432009734272957</v>
      </c>
      <c r="E16">
        <f t="shared" si="6"/>
        <v>0.45016096125945448</v>
      </c>
      <c r="F16">
        <f t="shared" si="7"/>
        <v>0.45703394924371132</v>
      </c>
      <c r="G16">
        <f t="shared" si="8"/>
        <v>0.46382102487816496</v>
      </c>
      <c r="H16">
        <f t="shared" si="9"/>
        <v>0.47052326206718792</v>
      </c>
      <c r="I16">
        <f t="shared" si="10"/>
        <v>0.47714172129134808</v>
      </c>
      <c r="J16">
        <f t="shared" si="11"/>
        <v>0.48367744977520621</v>
      </c>
      <c r="K16">
        <f t="shared" si="12"/>
        <v>0.48742875931602192</v>
      </c>
      <c r="L16">
        <f t="shared" si="13"/>
        <v>0.4911331774875774</v>
      </c>
      <c r="M16">
        <f t="shared" si="14"/>
        <v>0.49479129043198844</v>
      </c>
      <c r="N16">
        <f t="shared" si="15"/>
        <v>0.49840367696459437</v>
      </c>
      <c r="O16">
        <f t="shared" si="16"/>
        <v>0.50197090866554273</v>
      </c>
      <c r="P16">
        <f t="shared" si="17"/>
        <v>0.50549354997022922</v>
      </c>
      <c r="Q16">
        <f t="shared" si="18"/>
        <v>0.50897215825860709</v>
      </c>
      <c r="R16">
        <f t="shared" si="19"/>
        <v>0.51240728394338031</v>
      </c>
      <c r="S16">
        <f t="shared" si="20"/>
        <v>0.51850219289408805</v>
      </c>
      <c r="T16">
        <f t="shared" si="21"/>
        <v>0.52452091548291191</v>
      </c>
      <c r="U16">
        <f t="shared" si="22"/>
        <v>0.53046440403937556</v>
      </c>
      <c r="V16">
        <f t="shared" si="23"/>
        <v>0.53633359898888333</v>
      </c>
      <c r="W16">
        <f t="shared" si="24"/>
        <v>0.54212942900152228</v>
      </c>
      <c r="X16">
        <f t="shared" si="25"/>
        <v>0.5478528111390033</v>
      </c>
      <c r="Y16">
        <f t="shared" si="26"/>
        <v>0.55350465099976576</v>
      </c>
      <c r="Z16">
        <f t="shared" si="27"/>
        <v>0.5590858428622687</v>
      </c>
      <c r="AA16">
        <f t="shared" si="28"/>
        <v>0.56459726982649039</v>
      </c>
      <c r="AB16">
        <f t="shared" si="29"/>
        <v>0.57003980395365927</v>
      </c>
      <c r="AC16">
        <f t="shared" si="30"/>
        <v>0.57541430640423852</v>
      </c>
      <c r="AD16">
        <f t="shared" si="31"/>
        <v>0.58072162757418555</v>
      </c>
      <c r="AE16">
        <f t="shared" si="32"/>
        <v>0.58596260722950821</v>
      </c>
      <c r="AF16">
        <f t="shared" si="33"/>
        <v>0.59113807463913937</v>
      </c>
      <c r="AG16">
        <f t="shared" si="34"/>
        <v>0.59624884870615014</v>
      </c>
      <c r="AH16">
        <f t="shared" si="35"/>
        <v>0.60129573809732328</v>
      </c>
      <c r="AI16">
        <f t="shared" si="36"/>
        <v>0.59914223611140216</v>
      </c>
      <c r="AJ16">
        <f t="shared" si="37"/>
        <v>0.597015652900305</v>
      </c>
      <c r="AK16">
        <f t="shared" si="38"/>
        <v>0.59491565197934659</v>
      </c>
      <c r="AL16">
        <f t="shared" si="39"/>
        <v>0.5928419010699002</v>
      </c>
      <c r="AM16">
        <f t="shared" si="40"/>
        <v>0.59079407204682188</v>
      </c>
      <c r="AN16">
        <f t="shared" si="41"/>
        <v>0.58877184088653201</v>
      </c>
      <c r="AO16">
        <f t="shared" si="42"/>
        <v>0.58677488761574581</v>
      </c>
      <c r="AP16">
        <f t="shared" si="43"/>
        <v>0.58480289626084436</v>
      </c>
      <c r="AQ16">
        <f t="shared" si="44"/>
        <v>0.58821824953817459</v>
      </c>
      <c r="AR16">
        <f t="shared" si="45"/>
        <v>0.59159091089953819</v>
      </c>
      <c r="AS16">
        <f t="shared" si="46"/>
        <v>0.59492141399388476</v>
      </c>
      <c r="AT16">
        <f t="shared" si="47"/>
        <v>0.59821028579955204</v>
      </c>
      <c r="AU16">
        <f t="shared" si="48"/>
        <v>0.60145804670764846</v>
      </c>
      <c r="AV16">
        <f t="shared" si="49"/>
        <v>0.60466521060439371</v>
      </c>
      <c r="AW16">
        <f t="shared" si="50"/>
        <v>0.60783228495242958</v>
      </c>
      <c r="AX16">
        <f t="shared" si="51"/>
        <v>0.61095977087111508</v>
      </c>
      <c r="AY16">
        <f t="shared" si="52"/>
        <v>0.61582276002215608</v>
      </c>
      <c r="AZ16">
        <f t="shared" si="53"/>
        <v>0.62062496180880911</v>
      </c>
      <c r="BA16">
        <f t="shared" si="54"/>
        <v>0.62536713607312899</v>
      </c>
      <c r="BB16">
        <f t="shared" si="55"/>
        <v>0.63005003315914487</v>
      </c>
      <c r="BC16">
        <f t="shared" si="56"/>
        <v>0.63467439403158554</v>
      </c>
      <c r="BD16">
        <f t="shared" si="57"/>
        <v>0.63924095039312068</v>
      </c>
      <c r="BE16">
        <f t="shared" si="58"/>
        <v>0.64375042480013667</v>
      </c>
      <c r="BF16">
        <f t="shared" si="59"/>
        <v>0.64820353077706494</v>
      </c>
      <c r="BG16">
        <f t="shared" si="60"/>
        <v>0.65260097292928154</v>
      </c>
      <c r="BH16">
        <f t="shared" si="61"/>
        <v>0.65694344705459551</v>
      </c>
      <c r="BI16">
        <f t="shared" si="62"/>
        <v>0.66123164025334302</v>
      </c>
      <c r="BJ16">
        <f t="shared" si="63"/>
        <v>0.66546623103710623</v>
      </c>
      <c r="BK16">
        <f t="shared" si="64"/>
        <v>0.66964788943607234</v>
      </c>
      <c r="BL16">
        <f t="shared" si="65"/>
        <v>0.67377727710505142</v>
      </c>
      <c r="BM16">
        <f t="shared" si="66"/>
        <v>0.67785504742816827</v>
      </c>
      <c r="BN16">
        <f t="shared" si="67"/>
        <v>0.68188184562224607</v>
      </c>
      <c r="BO16">
        <f t="shared" si="68"/>
        <v>0.68585830883889798</v>
      </c>
      <c r="BP16">
        <f t="shared" si="69"/>
        <v>0.68978506626534175</v>
      </c>
      <c r="BQ16">
        <f t="shared" si="70"/>
        <v>0.69366273922395494</v>
      </c>
      <c r="BR16">
        <f t="shared" si="71"/>
        <v>0.69749194127058545</v>
      </c>
      <c r="BS16">
        <f t="shared" si="72"/>
        <v>0.70127327829163311</v>
      </c>
      <c r="BT16">
        <f t="shared" si="73"/>
        <v>0.70500734859991765</v>
      </c>
      <c r="BU16">
        <f t="shared" si="74"/>
        <v>0.70869474302934865</v>
      </c>
      <c r="BV16">
        <f t="shared" si="75"/>
        <v>0.71233604502841175</v>
      </c>
      <c r="BW16">
        <f t="shared" si="76"/>
        <v>0.71593183075248656</v>
      </c>
      <c r="BX16">
        <f t="shared" si="77"/>
        <v>0.71948266915501047</v>
      </c>
      <c r="BY16">
        <f t="shared" si="78"/>
        <v>0.72298912207750277</v>
      </c>
      <c r="BZ16">
        <f t="shared" si="79"/>
        <v>0.72645174433846393</v>
      </c>
      <c r="CA16">
        <f t="shared" si="80"/>
        <v>0.72987108382116306</v>
      </c>
      <c r="CB16">
        <f t="shared" si="81"/>
        <v>0.73324768156032849</v>
      </c>
      <c r="CC16">
        <f t="shared" si="82"/>
        <v>0.73658207182775437</v>
      </c>
      <c r="CD16">
        <f t="shared" si="83"/>
        <v>0.73987478221683745</v>
      </c>
      <c r="CE16">
        <f t="shared" si="84"/>
        <v>0.74312633372605696</v>
      </c>
      <c r="CF16">
        <f t="shared" si="85"/>
        <v>0.74633724084141118</v>
      </c>
      <c r="CG16">
        <f t="shared" si="86"/>
        <v>0.74950801161782354</v>
      </c>
      <c r="CH16">
        <f t="shared" si="87"/>
        <v>0.75263914775953067</v>
      </c>
      <c r="CI16">
        <f t="shared" si="88"/>
        <v>0.75573114469946645</v>
      </c>
      <c r="CJ16">
        <f t="shared" si="89"/>
        <v>0.75878449167765305</v>
      </c>
      <c r="CK16">
        <f t="shared" si="90"/>
        <v>0.7617996718186123</v>
      </c>
      <c r="CL16">
        <f t="shared" si="91"/>
        <v>0.76477716220780956</v>
      </c>
      <c r="CM16">
        <f t="shared" si="92"/>
        <v>0.76771743396714187</v>
      </c>
      <c r="CN16">
        <f t="shared" si="93"/>
        <v>0.77062095232948258</v>
      </c>
      <c r="CO16">
        <f t="shared" si="94"/>
        <v>0.77348817671229397</v>
      </c>
      <c r="CP16">
        <f t="shared" si="95"/>
        <v>0.77631956079032027</v>
      </c>
      <c r="CQ16">
        <f t="shared" si="96"/>
        <v>0.77911555256737119</v>
      </c>
      <c r="CR16">
        <f t="shared" si="97"/>
        <v>0.78187659444720903</v>
      </c>
      <c r="CS16">
        <f t="shared" si="98"/>
        <v>0.78460312330354887</v>
      </c>
      <c r="CT16">
        <f t="shared" si="99"/>
        <v>0.78729557054918442</v>
      </c>
      <c r="CU16">
        <f t="shared" si="100"/>
        <v>0.78995436220424953</v>
      </c>
      <c r="CV16">
        <f t="shared" si="101"/>
        <v>0.79257991896362634</v>
      </c>
      <c r="CW16">
        <f t="shared" si="102"/>
        <v>0.79517265626351097</v>
      </c>
      <c r="CX16">
        <f t="shared" si="103"/>
        <v>0.79773298434714701</v>
      </c>
      <c r="CY16">
        <f t="shared" si="104"/>
        <v>0.80026130832973763</v>
      </c>
      <c r="CZ16">
        <f t="shared" si="105"/>
        <v>0.80275802826254583</v>
      </c>
      <c r="DA16">
        <f t="shared" si="106"/>
        <v>0.80522353919619394</v>
      </c>
      <c r="DB16">
        <f t="shared" si="107"/>
        <v>0.80765823124317149</v>
      </c>
      <c r="DC16">
        <f t="shared" si="108"/>
        <v>0.81006248963956184</v>
      </c>
      <c r="DD16">
        <f t="shared" si="109"/>
        <v>0.81243669480599723</v>
      </c>
      <c r="DE16">
        <f t="shared" si="110"/>
        <v>0.81478122240785222</v>
      </c>
      <c r="DF16">
        <f t="shared" si="111"/>
        <v>0.81709644341468401</v>
      </c>
      <c r="DG16">
        <f t="shared" si="112"/>
        <v>0.81938272415893043</v>
      </c>
      <c r="DH16">
        <f t="shared" si="113"/>
        <v>0.8216404263938738</v>
      </c>
      <c r="DI16">
        <f t="shared" si="114"/>
        <v>0.82386990735088039</v>
      </c>
      <c r="DJ16">
        <f t="shared" si="115"/>
        <v>0.8260715197959243</v>
      </c>
      <c r="DK16">
        <f t="shared" si="116"/>
        <v>0.82824561208540526</v>
      </c>
      <c r="DL16">
        <f t="shared" si="117"/>
        <v>0.83039252822126763</v>
      </c>
      <c r="DM16">
        <f t="shared" si="118"/>
        <v>0.8325126079054318</v>
      </c>
      <c r="DN16">
        <f t="shared" si="119"/>
        <v>0.83460618659354391</v>
      </c>
      <c r="DO16">
        <f t="shared" si="120"/>
        <v>0.83667359554805454</v>
      </c>
      <c r="DP16">
        <f t="shared" si="121"/>
        <v>0.83871516189063378</v>
      </c>
      <c r="DQ16">
        <f t="shared" si="122"/>
        <v>0.84073120865393081</v>
      </c>
      <c r="DR16">
        <f t="shared" si="123"/>
        <v>0.84272205483268658</v>
      </c>
      <c r="DS16">
        <f t="shared" si="124"/>
        <v>0.84468801543420802</v>
      </c>
      <c r="DT16">
        <f t="shared" si="125"/>
        <v>0.84662940152821042</v>
      </c>
      <c r="DU16">
        <f t="shared" si="126"/>
        <v>0.84854652029603772</v>
      </c>
      <c r="DV16">
        <f t="shared" si="127"/>
        <v>0.85043967507926721</v>
      </c>
      <c r="DW16">
        <f t="shared" si="128"/>
        <v>0.85230916542770629</v>
      </c>
      <c r="DX16">
        <f t="shared" si="129"/>
        <v>0.8541552871467899</v>
      </c>
      <c r="DY16">
        <f t="shared" si="130"/>
        <v>0.85597833234438503</v>
      </c>
      <c r="DZ16">
        <f t="shared" si="131"/>
        <v>0.85777858947701013</v>
      </c>
      <c r="EA16">
        <f t="shared" si="132"/>
        <v>0.85955634339547748</v>
      </c>
      <c r="EB16">
        <f t="shared" si="133"/>
        <v>0.86131187538996401</v>
      </c>
      <c r="EC16">
        <f t="shared" si="134"/>
        <v>0.86304546323451947</v>
      </c>
      <c r="ED16">
        <f t="shared" si="135"/>
        <v>0.86475738123101797</v>
      </c>
      <c r="EE16">
        <f t="shared" si="136"/>
        <v>0.86644790025256024</v>
      </c>
      <c r="EF16">
        <f t="shared" si="137"/>
        <v>0.86811728778633324</v>
      </c>
      <c r="EG16">
        <f t="shared" si="138"/>
        <v>0.86976580797593406</v>
      </c>
      <c r="EH16">
        <f t="shared" si="139"/>
        <v>0.87139372166316487</v>
      </c>
      <c r="EI16">
        <f t="shared" si="140"/>
        <v>0.8730012864293053</v>
      </c>
      <c r="EJ16">
        <f t="shared" si="141"/>
        <v>0.87458875663586899</v>
      </c>
      <c r="EK16">
        <f t="shared" si="142"/>
        <v>0.87615638346485059</v>
      </c>
      <c r="EL16">
        <f t="shared" si="143"/>
        <v>0.87770441495846996</v>
      </c>
      <c r="EM16">
        <f t="shared" si="144"/>
        <v>0.87923309605841904</v>
      </c>
      <c r="EN16">
        <f t="shared" si="145"/>
        <v>0.88074266864461881</v>
      </c>
      <c r="EO16">
        <f t="shared" si="146"/>
        <v>0.88223337157349102</v>
      </c>
      <c r="EP16">
        <f t="shared" si="147"/>
        <v>0.8837054407157523</v>
      </c>
      <c r="EQ16">
        <f t="shared" si="148"/>
        <v>0.8851591089937354</v>
      </c>
      <c r="ER16">
        <f t="shared" si="149"/>
        <v>0.88659460641824361</v>
      </c>
      <c r="ES16">
        <f t="shared" si="150"/>
        <v>0.88801216012494555</v>
      </c>
      <c r="ET16">
        <f t="shared" si="151"/>
        <v>0.88941199441031371</v>
      </c>
      <c r="EU16">
        <f t="shared" si="152"/>
        <v>0.89079433076711478</v>
      </c>
      <c r="EV16">
        <f t="shared" si="153"/>
        <v>0.89215938791945582</v>
      </c>
      <c r="EW16">
        <f t="shared" si="154"/>
        <v>0.89350738185739254</v>
      </c>
      <c r="EX16">
        <f t="shared" si="155"/>
        <v>0.89483852587110513</v>
      </c>
      <c r="EY16">
        <f t="shared" si="156"/>
        <v>0.89615303058464624</v>
      </c>
      <c r="EZ16">
        <f t="shared" si="157"/>
        <v>0.89745110398926808</v>
      </c>
      <c r="FA16">
        <f t="shared" si="158"/>
        <v>0.89873295147633214</v>
      </c>
      <c r="FB16">
        <f t="shared" si="159"/>
        <v>0.89999877586980792</v>
      </c>
      <c r="FC16">
        <f t="shared" si="160"/>
        <v>0.90124877745836529</v>
      </c>
      <c r="FD16">
        <f t="shared" si="161"/>
        <v>0.90248315402706569</v>
      </c>
      <c r="FE16">
        <f t="shared" si="162"/>
        <v>0.90370210088865732</v>
      </c>
      <c r="FF16">
        <f t="shared" si="163"/>
        <v>0.90490581091447908</v>
      </c>
      <c r="FG16">
        <f t="shared" si="164"/>
        <v>0.90609447456497805</v>
      </c>
      <c r="FH16">
        <f t="shared" si="165"/>
        <v>0.90726827991984582</v>
      </c>
      <c r="FI16">
        <f t="shared" si="166"/>
        <v>0.90842741270777772</v>
      </c>
      <c r="FJ16">
        <f t="shared" si="167"/>
        <v>0.90957205633586047</v>
      </c>
      <c r="FK16">
        <f t="shared" si="168"/>
        <v>0.91070239191859215</v>
      </c>
      <c r="FL16">
        <f t="shared" si="169"/>
        <v>0.91181859830653966</v>
      </c>
      <c r="FM16">
        <f t="shared" si="170"/>
        <v>0.91292085211463792</v>
      </c>
      <c r="FN16">
        <f t="shared" si="171"/>
        <v>0.91400932775013488</v>
      </c>
      <c r="FO16">
        <f t="shared" si="172"/>
        <v>0.91508419744018821</v>
      </c>
      <c r="FP16">
        <f t="shared" si="173"/>
        <v>0.91614563125911586</v>
      </c>
      <c r="FQ16">
        <f t="shared" si="174"/>
        <v>0.91719379715530691</v>
      </c>
      <c r="FR16">
        <f t="shared" si="175"/>
        <v>0.91822886097779555</v>
      </c>
      <c r="FS16">
        <f t="shared" si="176"/>
        <v>0.91925098650250303</v>
      </c>
      <c r="FT16">
        <f t="shared" si="177"/>
        <v>0.92026033545815167</v>
      </c>
      <c r="FU16">
        <f t="shared" si="178"/>
        <v>0.92125706755185477</v>
      </c>
      <c r="FV16">
        <f t="shared" si="179"/>
        <v>0.92224134049438655</v>
      </c>
      <c r="FW16">
        <f t="shared" si="180"/>
        <v>0.92321331002513674</v>
      </c>
      <c r="FX16">
        <f t="shared" si="181"/>
        <v>0.92417312993675249</v>
      </c>
      <c r="FY16">
        <f t="shared" si="182"/>
        <v>0.92512095209947309</v>
      </c>
      <c r="FZ16">
        <f t="shared" si="183"/>
        <v>0.92605692648515969</v>
      </c>
      <c r="GA16">
        <f t="shared" si="184"/>
        <v>0.92698120119102512</v>
      </c>
      <c r="GB16">
        <f t="shared" si="185"/>
        <v>0.92789392246306723</v>
      </c>
      <c r="GC16">
        <f t="shared" si="186"/>
        <v>0.92879523471920888</v>
      </c>
      <c r="GD16">
        <f t="shared" si="187"/>
        <v>0.92968528057214872</v>
      </c>
      <c r="GE16">
        <f t="shared" si="188"/>
        <v>0.93056420085192681</v>
      </c>
      <c r="GF16">
        <f t="shared" si="189"/>
        <v>0.93143213462820773</v>
      </c>
      <c r="GG16">
        <f t="shared" si="190"/>
        <v>0.93228921923228514</v>
      </c>
      <c r="GH16">
        <f t="shared" si="191"/>
        <v>0.93313559027881154</v>
      </c>
      <c r="GI16">
        <f t="shared" si="192"/>
        <v>0.93397138168725635</v>
      </c>
      <c r="GJ16">
        <f t="shared" si="193"/>
        <v>0.93479672570309558</v>
      </c>
      <c r="GK16">
        <f t="shared" si="194"/>
        <v>0.93561175291873688</v>
      </c>
      <c r="GL16">
        <f t="shared" si="195"/>
        <v>0.93641659229418261</v>
      </c>
      <c r="GM16">
        <f t="shared" si="196"/>
        <v>0.93721137117743525</v>
      </c>
      <c r="GN16">
        <f t="shared" si="197"/>
        <v>0.93799621532464728</v>
      </c>
      <c r="GO16">
        <f t="shared" si="198"/>
        <v>0.93877124892001917</v>
      </c>
      <c r="GP16">
        <f t="shared" si="199"/>
        <v>0.93953659459544892</v>
      </c>
      <c r="GQ16">
        <f t="shared" si="200"/>
        <v>0.94029237344993577</v>
      </c>
      <c r="GR16">
        <f t="shared" si="201"/>
        <v>0.94103870506874154</v>
      </c>
      <c r="GS16">
        <f t="shared" si="202"/>
        <v>0.94177570754231221</v>
      </c>
      <c r="GT16">
        <f t="shared" si="203"/>
        <v>0.94250349748496332</v>
      </c>
      <c r="GU16">
        <f t="shared" si="204"/>
        <v>0.94322219005333119</v>
      </c>
      <c r="GV16">
        <f t="shared" si="205"/>
        <v>0.94393189896459451</v>
      </c>
      <c r="GW16">
        <f t="shared" si="206"/>
        <v>0.944632736514467</v>
      </c>
      <c r="GX16">
        <f t="shared" si="207"/>
        <v>0.94532481359496612</v>
      </c>
      <c r="GY16">
        <f t="shared" si="208"/>
        <v>0.94600823971195902</v>
      </c>
      <c r="GZ16">
        <f t="shared" si="209"/>
        <v>0.94668312300248947</v>
      </c>
      <c r="HA16">
        <f t="shared" si="210"/>
        <v>0.94734957025188826</v>
      </c>
      <c r="HB16">
        <f t="shared" si="211"/>
        <v>0.94800768691066961</v>
      </c>
      <c r="HC16">
        <f t="shared" si="212"/>
        <v>0.94865757711121623</v>
      </c>
      <c r="HD16">
        <f t="shared" si="213"/>
        <v>0.94929934368425595</v>
      </c>
      <c r="HE16">
        <f t="shared" si="214"/>
        <v>0.94993308817513267</v>
      </c>
      <c r="HF16">
        <f t="shared" si="215"/>
        <v>0.95055891085987343</v>
      </c>
      <c r="HG16">
        <f t="shared" si="216"/>
        <v>0.95117691076105493</v>
      </c>
      <c r="HH16">
        <f t="shared" si="217"/>
        <v>0.95178718566347165</v>
      </c>
      <c r="HI16">
        <f t="shared" si="218"/>
        <v>0.95238983212960826</v>
      </c>
      <c r="HJ16">
        <f t="shared" si="219"/>
        <v>0.95298494551491808</v>
      </c>
      <c r="HK16">
        <f t="shared" si="220"/>
        <v>0.95357261998291154</v>
      </c>
      <c r="HL16">
        <f t="shared" si="221"/>
        <v>0.95415294852005506</v>
      </c>
      <c r="HM16">
        <f t="shared" si="222"/>
        <v>0.95472602295048437</v>
      </c>
      <c r="HN16">
        <f t="shared" si="223"/>
        <v>0.95529193395053325</v>
      </c>
      <c r="HO16">
        <f t="shared" si="224"/>
        <v>0.95585077106308158</v>
      </c>
      <c r="HP16">
        <f t="shared" si="225"/>
        <v>0.95640262271172305</v>
      </c>
      <c r="HQ16">
        <f t="shared" si="226"/>
        <v>0.95694757621475646</v>
      </c>
      <c r="HR16">
        <f t="shared" si="227"/>
        <v>0.95748571779900193</v>
      </c>
      <c r="HS16">
        <f t="shared" si="228"/>
        <v>0.95801713261344434</v>
      </c>
      <c r="HT16">
        <f t="shared" si="229"/>
        <v>0.95854190474270629</v>
      </c>
      <c r="HU16">
        <f t="shared" si="230"/>
        <v>0.95906011722035245</v>
      </c>
      <c r="HV16">
        <f t="shared" si="231"/>
        <v>0.959571852042028</v>
      </c>
      <c r="HW16">
        <f t="shared" si="232"/>
        <v>0.96007719017843263</v>
      </c>
      <c r="HX16">
        <f t="shared" si="233"/>
        <v>0.96057621158813222</v>
      </c>
      <c r="HY16">
        <f t="shared" si="234"/>
        <v>0.9610689952302105</v>
      </c>
      <c r="HZ16">
        <f t="shared" si="235"/>
        <v>0.96155561907676279</v>
      </c>
      <c r="IA16">
        <f t="shared" si="236"/>
        <v>0.96203616012523319</v>
      </c>
      <c r="IB16">
        <f t="shared" si="237"/>
        <v>0.96251069441059778</v>
      </c>
      <c r="IC16">
        <f t="shared" si="238"/>
        <v>0.96297929701739526</v>
      </c>
      <c r="ID16">
        <f t="shared" si="239"/>
        <v>0.96344204209160778</v>
      </c>
      <c r="IE16">
        <f t="shared" si="240"/>
        <v>0.96389900285239261</v>
      </c>
      <c r="IF16">
        <f t="shared" si="241"/>
        <v>0.96435025160366761</v>
      </c>
      <c r="IG16">
        <f t="shared" si="242"/>
        <v>0.96479585974555171</v>
      </c>
      <c r="IH16">
        <f t="shared" si="243"/>
        <v>0.96523589778566232</v>
      </c>
      <c r="II16">
        <f t="shared" si="244"/>
        <v>0.96567043535027153</v>
      </c>
      <c r="IJ16">
        <f t="shared" si="245"/>
        <v>0.96609954119532304</v>
      </c>
      <c r="IK16">
        <f t="shared" si="246"/>
        <v>0.96652328321731151</v>
      </c>
      <c r="IL16">
        <f t="shared" si="247"/>
        <v>0.96694172846402504</v>
      </c>
      <c r="IM16">
        <f t="shared" si="248"/>
        <v>0.96735494314515469</v>
      </c>
      <c r="IN16">
        <f t="shared" si="249"/>
        <v>0.96776299264277021</v>
      </c>
      <c r="IO16">
        <f t="shared" si="250"/>
        <v>0.96816594152166557</v>
      </c>
      <c r="IP16">
        <f t="shared" si="251"/>
        <v>0.96856385353957475</v>
      </c>
      <c r="IQ16">
        <f t="shared" si="252"/>
        <v>0.96895679165726001</v>
      </c>
      <c r="IR16">
        <f t="shared" si="253"/>
        <v>0.96934481804847417</v>
      </c>
      <c r="IS16">
        <f t="shared" si="254"/>
        <v>0.96972799410979815</v>
      </c>
      <c r="IT16">
        <f t="shared" si="255"/>
        <v>0.97010638047035569</v>
      </c>
      <c r="IU16">
        <f t="shared" si="256"/>
        <v>0.97048003700140617</v>
      </c>
      <c r="IV16">
        <f t="shared" si="257"/>
        <v>0.97084902282581853</v>
      </c>
    </row>
    <row r="17" spans="1:256" x14ac:dyDescent="0.2">
      <c r="A17" t="s">
        <v>487</v>
      </c>
      <c r="B17">
        <f>$B$119</f>
        <v>0.46971038818359373</v>
      </c>
      <c r="C17">
        <f t="shared" si="4"/>
        <v>0.46853029647049277</v>
      </c>
      <c r="D17">
        <f t="shared" si="5"/>
        <v>0.46736495590380561</v>
      </c>
      <c r="E17">
        <f t="shared" si="6"/>
        <v>0.46621418209420201</v>
      </c>
      <c r="F17">
        <f t="shared" si="7"/>
        <v>0.46507779295721846</v>
      </c>
      <c r="G17">
        <f t="shared" si="8"/>
        <v>0.46395560868444724</v>
      </c>
      <c r="H17">
        <f t="shared" si="9"/>
        <v>0.46284745171508562</v>
      </c>
      <c r="I17">
        <f t="shared" si="10"/>
        <v>0.46175314670784101</v>
      </c>
      <c r="J17">
        <f t="shared" si="11"/>
        <v>0.46067252051318697</v>
      </c>
      <c r="K17">
        <f t="shared" si="12"/>
        <v>0.46429669028516007</v>
      </c>
      <c r="L17">
        <f t="shared" si="13"/>
        <v>0.46787555793498353</v>
      </c>
      <c r="M17">
        <f t="shared" si="14"/>
        <v>0.47140968973918423</v>
      </c>
      <c r="N17">
        <f t="shared" si="15"/>
        <v>0.47489964489583242</v>
      </c>
      <c r="O17">
        <f t="shared" si="16"/>
        <v>0.4783459756130225</v>
      </c>
      <c r="P17">
        <f t="shared" si="17"/>
        <v>0.48174922719624769</v>
      </c>
      <c r="Q17">
        <f t="shared" si="18"/>
        <v>0.48510993813468256</v>
      </c>
      <c r="R17">
        <f t="shared" si="19"/>
        <v>0.48842864018638699</v>
      </c>
      <c r="S17">
        <f t="shared" si="20"/>
        <v>0.49040577240518662</v>
      </c>
      <c r="T17">
        <f t="shared" si="21"/>
        <v>0.49235819047125123</v>
      </c>
      <c r="U17">
        <f t="shared" si="22"/>
        <v>0.49428620331149004</v>
      </c>
      <c r="V17">
        <f t="shared" si="23"/>
        <v>0.49619011599122587</v>
      </c>
      <c r="W17">
        <f t="shared" si="24"/>
        <v>0.49807022976246501</v>
      </c>
      <c r="X17">
        <f t="shared" si="25"/>
        <v>0.49992684211156363</v>
      </c>
      <c r="Y17">
        <f t="shared" si="26"/>
        <v>0.50176024680629849</v>
      </c>
      <c r="Z17">
        <f t="shared" si="27"/>
        <v>0.50357073394234919</v>
      </c>
      <c r="AA17">
        <f t="shared" si="28"/>
        <v>0.50402346749865568</v>
      </c>
      <c r="AB17">
        <f t="shared" si="29"/>
        <v>0.50447054188550833</v>
      </c>
      <c r="AC17">
        <f t="shared" si="30"/>
        <v>0.50491202784252531</v>
      </c>
      <c r="AD17">
        <f t="shared" si="31"/>
        <v>0.50534799522507967</v>
      </c>
      <c r="AE17">
        <f t="shared" si="32"/>
        <v>0.50577851301535204</v>
      </c>
      <c r="AF17">
        <f t="shared" si="33"/>
        <v>0.50620364933324602</v>
      </c>
      <c r="AG17">
        <f t="shared" si="34"/>
        <v>0.50662347144716635</v>
      </c>
      <c r="AH17">
        <f t="shared" si="35"/>
        <v>0.50703804578466261</v>
      </c>
      <c r="AI17">
        <f t="shared" si="36"/>
        <v>0.50657145006464921</v>
      </c>
      <c r="AJ17">
        <f t="shared" si="37"/>
        <v>0.50611068679113602</v>
      </c>
      <c r="AK17">
        <f t="shared" si="38"/>
        <v>0.50565568305854169</v>
      </c>
      <c r="AL17">
        <f t="shared" si="39"/>
        <v>0.5052063668726049</v>
      </c>
      <c r="AM17">
        <f t="shared" si="40"/>
        <v>0.5047626671389922</v>
      </c>
      <c r="AN17">
        <f t="shared" si="41"/>
        <v>0.50432451365204978</v>
      </c>
      <c r="AO17">
        <f t="shared" si="42"/>
        <v>0.50389183708369412</v>
      </c>
      <c r="AP17">
        <f t="shared" si="43"/>
        <v>0.50346456897244285</v>
      </c>
      <c r="AQ17">
        <f t="shared" si="44"/>
        <v>0.49842126186028729</v>
      </c>
      <c r="AR17">
        <f t="shared" si="45"/>
        <v>0.49344099608703368</v>
      </c>
      <c r="AS17">
        <f t="shared" si="46"/>
        <v>0.48852298363594576</v>
      </c>
      <c r="AT17">
        <f t="shared" si="47"/>
        <v>0.48366644634049644</v>
      </c>
      <c r="AU17">
        <f t="shared" si="48"/>
        <v>0.47887061576124024</v>
      </c>
      <c r="AV17">
        <f t="shared" si="49"/>
        <v>0.47413473306422471</v>
      </c>
      <c r="AW17">
        <f t="shared" si="50"/>
        <v>0.46945804890092191</v>
      </c>
      <c r="AX17">
        <f t="shared" si="51"/>
        <v>0.46483982328966039</v>
      </c>
      <c r="AY17">
        <f t="shared" si="52"/>
        <v>0.46027932549853962</v>
      </c>
      <c r="AZ17">
        <f t="shared" si="53"/>
        <v>0.45577583392980786</v>
      </c>
      <c r="BA17">
        <f t="shared" si="54"/>
        <v>0.45132863600568529</v>
      </c>
      <c r="BB17">
        <f t="shared" si="55"/>
        <v>0.44693702805561425</v>
      </c>
      <c r="BC17">
        <f t="shared" si="56"/>
        <v>0.44260031520491905</v>
      </c>
      <c r="BD17">
        <f t="shared" si="57"/>
        <v>0.43831781126485758</v>
      </c>
      <c r="BE17">
        <f t="shared" si="58"/>
        <v>0.43408883862404685</v>
      </c>
      <c r="BF17">
        <f t="shared" si="59"/>
        <v>0.42991272814124626</v>
      </c>
      <c r="BG17">
        <f t="shared" si="60"/>
        <v>0.42578881903948068</v>
      </c>
      <c r="BH17">
        <f t="shared" si="61"/>
        <v>0.42171645880148717</v>
      </c>
      <c r="BI17">
        <f t="shared" si="62"/>
        <v>0.41769500306646856</v>
      </c>
      <c r="BJ17">
        <f t="shared" si="63"/>
        <v>0.4137238155281377</v>
      </c>
      <c r="BK17">
        <f t="shared" si="64"/>
        <v>0.40980226783403595</v>
      </c>
      <c r="BL17">
        <f t="shared" si="65"/>
        <v>0.4059297394861105</v>
      </c>
      <c r="BM17">
        <f t="shared" si="66"/>
        <v>0.40210561774253412</v>
      </c>
      <c r="BN17">
        <f t="shared" si="67"/>
        <v>0.39832929752075241</v>
      </c>
      <c r="BO17">
        <f t="shared" si="68"/>
        <v>0.39460018130174301</v>
      </c>
      <c r="BP17">
        <f t="shared" si="69"/>
        <v>0.3909176790354712</v>
      </c>
      <c r="BQ17">
        <f t="shared" si="70"/>
        <v>0.3872812080475278</v>
      </c>
      <c r="BR17">
        <f t="shared" si="71"/>
        <v>0.38369019294693368</v>
      </c>
      <c r="BS17">
        <f t="shared" si="72"/>
        <v>0.380144065535097</v>
      </c>
      <c r="BT17">
        <f t="shared" si="73"/>
        <v>0.37664226471590828</v>
      </c>
      <c r="BU17">
        <f t="shared" si="74"/>
        <v>0.37318423640695941</v>
      </c>
      <c r="BV17">
        <f t="shared" si="75"/>
        <v>0.36976943345187241</v>
      </c>
      <c r="BW17">
        <f t="shared" si="76"/>
        <v>0.36639731553372401</v>
      </c>
      <c r="BX17">
        <f t="shared" si="77"/>
        <v>0.36306734908955246</v>
      </c>
      <c r="BY17">
        <f t="shared" si="78"/>
        <v>0.35977900722593303</v>
      </c>
      <c r="BZ17">
        <f t="shared" si="79"/>
        <v>0.3565317696356089</v>
      </c>
      <c r="CA17">
        <f t="shared" si="80"/>
        <v>0.35332512251516379</v>
      </c>
      <c r="CB17">
        <f t="shared" si="81"/>
        <v>0.35015855848372424</v>
      </c>
      <c r="CC17">
        <f t="shared" si="82"/>
        <v>0.34703157650267769</v>
      </c>
      <c r="CD17">
        <f t="shared" si="83"/>
        <v>0.34394368179639423</v>
      </c>
      <c r="CE17">
        <f t="shared" si="84"/>
        <v>0.34089438577393932</v>
      </c>
      <c r="CF17">
        <f t="shared" si="85"/>
        <v>0.33788320595176508</v>
      </c>
      <c r="CG17">
        <f t="shared" si="86"/>
        <v>0.33490966587736803</v>
      </c>
      <c r="CH17">
        <f t="shared" si="87"/>
        <v>0.33197329505390094</v>
      </c>
      <c r="CI17">
        <f t="shared" si="88"/>
        <v>0.32907362886572716</v>
      </c>
      <c r="CJ17">
        <f t="shared" si="89"/>
        <v>0.32621020850490556</v>
      </c>
      <c r="CK17">
        <f t="shared" si="90"/>
        <v>0.32338258089859423</v>
      </c>
      <c r="CL17">
        <f t="shared" si="91"/>
        <v>0.32059029863736183</v>
      </c>
      <c r="CM17">
        <f t="shared" si="92"/>
        <v>0.31783291990439483</v>
      </c>
      <c r="CN17">
        <f t="shared" si="93"/>
        <v>0.31511000840558989</v>
      </c>
      <c r="CO17">
        <f t="shared" si="94"/>
        <v>0.31242113330052002</v>
      </c>
      <c r="CP17">
        <f t="shared" si="95"/>
        <v>0.30976586913426352</v>
      </c>
      <c r="CQ17">
        <f t="shared" si="96"/>
        <v>0.30714379577008522</v>
      </c>
      <c r="CR17">
        <f t="shared" si="97"/>
        <v>0.30455449832295917</v>
      </c>
      <c r="CS17">
        <f t="shared" si="98"/>
        <v>0.30199756709392217</v>
      </c>
      <c r="CT17">
        <f t="shared" si="99"/>
        <v>0.29947259750524813</v>
      </c>
      <c r="CU17">
        <f t="shared" si="100"/>
        <v>0.29697919003643253</v>
      </c>
      <c r="CV17">
        <f t="shared" si="101"/>
        <v>0.29451695016097712</v>
      </c>
      <c r="CW17">
        <f t="shared" si="102"/>
        <v>0.29208548828396491</v>
      </c>
      <c r="CX17">
        <f t="shared" si="103"/>
        <v>0.28968441968041536</v>
      </c>
      <c r="CY17">
        <f t="shared" si="104"/>
        <v>0.28731336443441019</v>
      </c>
      <c r="CZ17">
        <f t="shared" si="105"/>
        <v>0.28497194737898007</v>
      </c>
      <c r="DA17">
        <f t="shared" si="106"/>
        <v>0.28265979803674285</v>
      </c>
      <c r="DB17">
        <f t="shared" si="107"/>
        <v>0.28037655056128358</v>
      </c>
      <c r="DC17">
        <f t="shared" si="108"/>
        <v>0.27812184367926751</v>
      </c>
      <c r="DD17">
        <f t="shared" si="109"/>
        <v>0.27589532063327665</v>
      </c>
      <c r="DE17">
        <f t="shared" si="110"/>
        <v>0.27369662912536069</v>
      </c>
      <c r="DF17">
        <f t="shared" si="111"/>
        <v>0.2715254212612937</v>
      </c>
      <c r="DG17">
        <f t="shared" si="112"/>
        <v>0.26938135349552755</v>
      </c>
      <c r="DH17">
        <f t="shared" si="113"/>
        <v>0.26726408657683348</v>
      </c>
      <c r="DI17">
        <f t="shared" si="114"/>
        <v>0.26517328549462305</v>
      </c>
      <c r="DJ17">
        <f t="shared" si="115"/>
        <v>0.26310861942594027</v>
      </c>
      <c r="DK17">
        <f t="shared" si="116"/>
        <v>0.26106976168311602</v>
      </c>
      <c r="DL17">
        <f t="shared" si="117"/>
        <v>0.25905638966207706</v>
      </c>
      <c r="DM17">
        <f t="shared" si="118"/>
        <v>0.25706818479130111</v>
      </c>
      <c r="DN17">
        <f t="shared" si="119"/>
        <v>0.25510483248140986</v>
      </c>
      <c r="DO17">
        <f t="shared" si="120"/>
        <v>0.25316602207539224</v>
      </c>
      <c r="DP17">
        <f t="shared" si="121"/>
        <v>0.25125144679944983</v>
      </c>
      <c r="DQ17">
        <f t="shared" si="122"/>
        <v>0.24936080371445671</v>
      </c>
      <c r="DR17">
        <f t="shared" si="123"/>
        <v>0.24749379366802599</v>
      </c>
      <c r="DS17">
        <f t="shared" si="124"/>
        <v>0.24565012124717567</v>
      </c>
      <c r="DT17">
        <f t="shared" si="125"/>
        <v>0.24382949473158597</v>
      </c>
      <c r="DU17">
        <f t="shared" si="126"/>
        <v>0.24203162604744113</v>
      </c>
      <c r="DV17">
        <f t="shared" si="127"/>
        <v>0.24025623072184812</v>
      </c>
      <c r="DW17">
        <f t="shared" si="128"/>
        <v>0.23850302783782501</v>
      </c>
      <c r="DX17">
        <f t="shared" si="129"/>
        <v>0.23677173998985221</v>
      </c>
      <c r="DY17">
        <f t="shared" si="130"/>
        <v>0.23506209323997906</v>
      </c>
      <c r="DZ17">
        <f t="shared" si="131"/>
        <v>0.23337381707447932</v>
      </c>
      <c r="EA17">
        <f t="shared" si="132"/>
        <v>0.23170664436104832</v>
      </c>
      <c r="EB17">
        <f t="shared" si="133"/>
        <v>0.2300603113065352</v>
      </c>
      <c r="EC17">
        <f t="shared" si="134"/>
        <v>0.22843455741520352</v>
      </c>
      <c r="ED17">
        <f t="shared" si="135"/>
        <v>0.22682912544751346</v>
      </c>
      <c r="EE17">
        <f t="shared" si="136"/>
        <v>0.22524376137941954</v>
      </c>
      <c r="EF17">
        <f t="shared" si="137"/>
        <v>0.2236782143621768</v>
      </c>
      <c r="EG17">
        <f t="shared" si="138"/>
        <v>0.22213223668264959</v>
      </c>
      <c r="EH17">
        <f t="shared" si="139"/>
        <v>0.22060558372411646</v>
      </c>
      <c r="EI17">
        <f t="shared" si="140"/>
        <v>0.21909801392756501</v>
      </c>
      <c r="EJ17">
        <f t="shared" si="141"/>
        <v>0.21760928875347044</v>
      </c>
      <c r="EK17">
        <f t="shared" si="142"/>
        <v>0.21613917264405205</v>
      </c>
      <c r="EL17">
        <f t="shared" si="143"/>
        <v>0.2146874329860014</v>
      </c>
      <c r="EM17">
        <f t="shared" si="144"/>
        <v>0.2132538400736764</v>
      </c>
      <c r="EN17">
        <f t="shared" si="145"/>
        <v>0.21183816707275543</v>
      </c>
      <c r="EO17">
        <f t="shared" si="146"/>
        <v>0.21044018998434599</v>
      </c>
      <c r="EP17">
        <f t="shared" si="147"/>
        <v>0.20905968760954166</v>
      </c>
      <c r="EQ17">
        <f t="shared" si="148"/>
        <v>0.2076964415144224</v>
      </c>
      <c r="ER17">
        <f t="shared" si="149"/>
        <v>0.20635023599549213</v>
      </c>
      <c r="ES17">
        <f t="shared" si="150"/>
        <v>0.20502085804554848</v>
      </c>
      <c r="ET17">
        <f t="shared" si="151"/>
        <v>0.20370809731997913</v>
      </c>
      <c r="EU17">
        <f t="shared" si="152"/>
        <v>0.2024117461034794</v>
      </c>
      <c r="EV17">
        <f t="shared" si="153"/>
        <v>0.20113159927718591</v>
      </c>
      <c r="EW17">
        <f t="shared" si="154"/>
        <v>0.19986745428622107</v>
      </c>
      <c r="EX17">
        <f t="shared" si="155"/>
        <v>0.1986191111076433</v>
      </c>
      <c r="EY17">
        <f t="shared" si="156"/>
        <v>0.19738637221879776</v>
      </c>
      <c r="EZ17">
        <f t="shared" si="157"/>
        <v>0.1961690425660628</v>
      </c>
      <c r="FA17">
        <f t="shared" si="158"/>
        <v>0.194966929533987</v>
      </c>
      <c r="FB17">
        <f t="shared" si="159"/>
        <v>0.19377984291481218</v>
      </c>
      <c r="FC17">
        <f t="shared" si="160"/>
        <v>0.19260759487837703</v>
      </c>
      <c r="FD17">
        <f t="shared" si="161"/>
        <v>0.19144999994239731</v>
      </c>
      <c r="FE17">
        <f t="shared" si="162"/>
        <v>0.19030687494311735</v>
      </c>
      <c r="FF17">
        <f t="shared" si="163"/>
        <v>0.18917803900632837</v>
      </c>
      <c r="FG17">
        <f t="shared" si="164"/>
        <v>0.18806331351874928</v>
      </c>
      <c r="FH17">
        <f t="shared" si="165"/>
        <v>0.18696252209976491</v>
      </c>
      <c r="FI17">
        <f t="shared" si="166"/>
        <v>0.18587549057351785</v>
      </c>
      <c r="FJ17">
        <f t="shared" si="167"/>
        <v>0.18480204694134889</v>
      </c>
      <c r="FK17">
        <f t="shared" si="168"/>
        <v>0.18374202135458204</v>
      </c>
      <c r="FL17">
        <f t="shared" si="169"/>
        <v>0.18269524608764975</v>
      </c>
      <c r="FM17">
        <f t="shared" si="170"/>
        <v>0.18166155551155413</v>
      </c>
      <c r="FN17">
        <f t="shared" si="171"/>
        <v>0.18064078606765971</v>
      </c>
      <c r="FO17">
        <f t="shared" si="172"/>
        <v>0.17963277624181395</v>
      </c>
      <c r="FP17">
        <f t="shared" si="173"/>
        <v>0.17863736653879128</v>
      </c>
      <c r="FQ17">
        <f t="shared" si="174"/>
        <v>0.17765439945705638</v>
      </c>
      <c r="FR17">
        <f t="shared" si="175"/>
        <v>0.17668371946384318</v>
      </c>
      <c r="FS17">
        <f t="shared" si="176"/>
        <v>0.17572517297054513</v>
      </c>
      <c r="FT17">
        <f t="shared" si="177"/>
        <v>0.17477860830841332</v>
      </c>
      <c r="FU17">
        <f t="shared" si="178"/>
        <v>0.17384387570455817</v>
      </c>
      <c r="FV17">
        <f t="shared" si="179"/>
        <v>0.1729208272582512</v>
      </c>
      <c r="FW17">
        <f t="shared" si="180"/>
        <v>0.17200931691752305</v>
      </c>
      <c r="FX17">
        <f t="shared" si="181"/>
        <v>0.17110920045605402</v>
      </c>
      <c r="FY17">
        <f t="shared" si="182"/>
        <v>0.17022033545035334</v>
      </c>
      <c r="FZ17">
        <f t="shared" si="183"/>
        <v>0.16934258125722393</v>
      </c>
      <c r="GA17">
        <f t="shared" si="184"/>
        <v>0.16847579899150864</v>
      </c>
      <c r="GB17">
        <f t="shared" si="185"/>
        <v>0.16761985150411476</v>
      </c>
      <c r="GC17">
        <f t="shared" si="186"/>
        <v>0.16677460336031333</v>
      </c>
      <c r="GD17">
        <f t="shared" si="187"/>
        <v>0.16593992081830941</v>
      </c>
      <c r="GE17">
        <f t="shared" si="188"/>
        <v>0.16511567180808054</v>
      </c>
      <c r="GF17">
        <f t="shared" si="189"/>
        <v>0.16430172591047953</v>
      </c>
      <c r="GG17">
        <f t="shared" si="190"/>
        <v>0.16349795433659853</v>
      </c>
      <c r="GH17">
        <f t="shared" si="191"/>
        <v>0.16270422990739106</v>
      </c>
      <c r="GI17">
        <f t="shared" si="192"/>
        <v>0.16192042703354867</v>
      </c>
      <c r="GJ17">
        <f t="shared" si="193"/>
        <v>0.16114642169562932</v>
      </c>
      <c r="GK17">
        <f t="shared" si="194"/>
        <v>0.16038209142443394</v>
      </c>
      <c r="GL17">
        <f t="shared" si="195"/>
        <v>0.15962731528162852</v>
      </c>
      <c r="GM17">
        <f t="shared" si="196"/>
        <v>0.15888197384060815</v>
      </c>
      <c r="GN17">
        <f t="shared" si="197"/>
        <v>0.15814594916760055</v>
      </c>
      <c r="GO17">
        <f t="shared" si="198"/>
        <v>0.15741912480300554</v>
      </c>
      <c r="GP17">
        <f t="shared" si="199"/>
        <v>0.15670138574296796</v>
      </c>
      <c r="GQ17">
        <f t="shared" si="200"/>
        <v>0.15599261842118087</v>
      </c>
      <c r="GR17">
        <f t="shared" si="201"/>
        <v>0.1552927106909161</v>
      </c>
      <c r="GS17">
        <f t="shared" si="202"/>
        <v>0.15460155180727966</v>
      </c>
      <c r="GT17">
        <f t="shared" si="203"/>
        <v>0.15391903240968866</v>
      </c>
      <c r="GU17">
        <f t="shared" si="204"/>
        <v>0.15324504450456755</v>
      </c>
      <c r="GV17">
        <f t="shared" si="205"/>
        <v>0.15257948144826045</v>
      </c>
      <c r="GW17">
        <f t="shared" si="206"/>
        <v>0.15192223793015719</v>
      </c>
      <c r="GX17">
        <f t="shared" si="207"/>
        <v>0.15127320995603022</v>
      </c>
      <c r="GY17">
        <f t="shared" si="208"/>
        <v>0.15063229483157983</v>
      </c>
      <c r="GZ17">
        <f t="shared" si="209"/>
        <v>0.14999939114618507</v>
      </c>
      <c r="HA17">
        <f t="shared" si="210"/>
        <v>0.14937439875685776</v>
      </c>
      <c r="HB17">
        <f t="shared" si="211"/>
        <v>0.14875721877239703</v>
      </c>
      <c r="HC17">
        <f t="shared" si="212"/>
        <v>0.14814775353774207</v>
      </c>
      <c r="HD17">
        <f t="shared" si="213"/>
        <v>0.14754590661852029</v>
      </c>
      <c r="HE17">
        <f t="shared" si="214"/>
        <v>0.14695158278578879</v>
      </c>
      <c r="HF17">
        <f t="shared" si="215"/>
        <v>0.14636468800096644</v>
      </c>
      <c r="HG17">
        <f t="shared" si="216"/>
        <v>0.14578512940095437</v>
      </c>
      <c r="HH17">
        <f t="shared" si="217"/>
        <v>0.14521281528344243</v>
      </c>
      <c r="HI17">
        <f t="shared" si="218"/>
        <v>0.14464765509239941</v>
      </c>
      <c r="HJ17">
        <f t="shared" si="219"/>
        <v>0.1440895594037444</v>
      </c>
      <c r="HK17">
        <f t="shared" si="220"/>
        <v>0.14353843991119761</v>
      </c>
      <c r="HL17">
        <f t="shared" si="221"/>
        <v>0.14299420941230764</v>
      </c>
      <c r="HM17">
        <f t="shared" si="222"/>
        <v>0.14245678179465379</v>
      </c>
      <c r="HN17">
        <f t="shared" si="223"/>
        <v>0.14192607202222063</v>
      </c>
      <c r="HO17">
        <f t="shared" si="224"/>
        <v>0.14140199612194287</v>
      </c>
      <c r="HP17">
        <f t="shared" si="225"/>
        <v>0.14088447117041858</v>
      </c>
      <c r="HQ17">
        <f t="shared" si="226"/>
        <v>0.14037341528078834</v>
      </c>
      <c r="HR17">
        <f t="shared" si="227"/>
        <v>0.13986874758977849</v>
      </c>
      <c r="HS17">
        <f t="shared" si="228"/>
        <v>0.13937038824490627</v>
      </c>
      <c r="HT17">
        <f t="shared" si="229"/>
        <v>0.13887825839184495</v>
      </c>
      <c r="HU17">
        <f t="shared" si="230"/>
        <v>0.13839228016194688</v>
      </c>
      <c r="HV17">
        <f t="shared" si="231"/>
        <v>0.13791237665992254</v>
      </c>
      <c r="HW17">
        <f t="shared" si="232"/>
        <v>0.1374384719516735</v>
      </c>
      <c r="HX17">
        <f t="shared" si="233"/>
        <v>0.13697049105227757</v>
      </c>
      <c r="HY17">
        <f t="shared" si="234"/>
        <v>0.13650835991412411</v>
      </c>
      <c r="HZ17">
        <f t="shared" si="235"/>
        <v>0.13605200541519755</v>
      </c>
      <c r="IA17">
        <f t="shared" si="236"/>
        <v>0.13560135534750759</v>
      </c>
      <c r="IB17">
        <f t="shared" si="237"/>
        <v>0.13515633840566374</v>
      </c>
      <c r="IC17">
        <f t="shared" si="238"/>
        <v>0.13471688417559294</v>
      </c>
      <c r="ID17">
        <f t="shared" si="239"/>
        <v>0.13428292312339801</v>
      </c>
      <c r="IE17">
        <f t="shared" si="240"/>
        <v>0.13385438658435553</v>
      </c>
      <c r="IF17">
        <f t="shared" si="241"/>
        <v>0.13343120675205108</v>
      </c>
      <c r="IG17">
        <f t="shared" si="242"/>
        <v>0.13301331666765046</v>
      </c>
      <c r="IH17">
        <f t="shared" si="243"/>
        <v>0.13260065020930484</v>
      </c>
      <c r="II17">
        <f t="shared" si="244"/>
        <v>0.13219314208168853</v>
      </c>
      <c r="IJ17">
        <f t="shared" si="245"/>
        <v>0.13179072780566742</v>
      </c>
      <c r="IK17">
        <f t="shared" si="246"/>
        <v>0.13139334370809658</v>
      </c>
      <c r="IL17">
        <f t="shared" si="247"/>
        <v>0.13100092691174536</v>
      </c>
      <c r="IM17">
        <f t="shared" si="248"/>
        <v>0.13061341532534854</v>
      </c>
      <c r="IN17">
        <f t="shared" si="249"/>
        <v>0.13023074763378167</v>
      </c>
      <c r="IO17">
        <f t="shared" si="250"/>
        <v>0.1298528632883594</v>
      </c>
      <c r="IP17">
        <f t="shared" si="251"/>
        <v>0.12947970249725491</v>
      </c>
      <c r="IQ17">
        <f t="shared" si="252"/>
        <v>0.12911120621603922</v>
      </c>
      <c r="IR17">
        <f t="shared" si="253"/>
        <v>0.12874731613833873</v>
      </c>
      <c r="IS17">
        <f t="shared" si="254"/>
        <v>0.12838797468660951</v>
      </c>
      <c r="IT17">
        <f t="shared" si="255"/>
        <v>0.12803312500302688</v>
      </c>
      <c r="IU17">
        <f t="shared" si="256"/>
        <v>0.12768271094048905</v>
      </c>
      <c r="IV17">
        <f t="shared" si="257"/>
        <v>0.12733667705373294</v>
      </c>
    </row>
    <row r="18" spans="1:256" x14ac:dyDescent="0.2">
      <c r="A18" t="s">
        <v>488</v>
      </c>
      <c r="B18">
        <f>$B$120</f>
        <v>0.69426445007324222</v>
      </c>
      <c r="C18">
        <f t="shared" si="4"/>
        <v>0.68617317626522023</v>
      </c>
      <c r="D18">
        <f t="shared" si="5"/>
        <v>0.69009601156190503</v>
      </c>
      <c r="E18">
        <f t="shared" si="6"/>
        <v>0.69396981141738123</v>
      </c>
      <c r="F18">
        <f t="shared" si="7"/>
        <v>0.69779518877466395</v>
      </c>
      <c r="G18">
        <f t="shared" si="8"/>
        <v>0.70157274891498067</v>
      </c>
      <c r="H18">
        <f t="shared" si="9"/>
        <v>0.70530308955354337</v>
      </c>
      <c r="I18">
        <f t="shared" si="10"/>
        <v>0.70898680093412403</v>
      </c>
      <c r="J18">
        <f t="shared" si="11"/>
        <v>0.71262446592244744</v>
      </c>
      <c r="K18">
        <f t="shared" si="12"/>
        <v>0.70542045342067539</v>
      </c>
      <c r="L18">
        <f t="shared" si="13"/>
        <v>0.69830188644465829</v>
      </c>
      <c r="M18">
        <f t="shared" si="14"/>
        <v>0.69126679262207791</v>
      </c>
      <c r="N18">
        <f t="shared" si="15"/>
        <v>0.68431327438386236</v>
      </c>
      <c r="O18">
        <f t="shared" si="16"/>
        <v>0.67743950577341572</v>
      </c>
      <c r="P18">
        <f t="shared" si="17"/>
        <v>0.67064372939354833</v>
      </c>
      <c r="Q18">
        <f t="shared" si="18"/>
        <v>0.66392425348560302</v>
      </c>
      <c r="R18">
        <f t="shared" si="19"/>
        <v>0.65727944913552183</v>
      </c>
      <c r="S18">
        <f t="shared" si="20"/>
        <v>0.65133297564639236</v>
      </c>
      <c r="T18">
        <f t="shared" si="21"/>
        <v>0.64544863385742324</v>
      </c>
      <c r="U18">
        <f t="shared" si="22"/>
        <v>0.63962425124722344</v>
      </c>
      <c r="V18">
        <f t="shared" si="23"/>
        <v>0.63385777348947914</v>
      </c>
      <c r="W18">
        <f t="shared" si="24"/>
        <v>0.62814725812797501</v>
      </c>
      <c r="X18">
        <f t="shared" si="25"/>
        <v>0.62249086865052561</v>
      </c>
      <c r="Y18">
        <f t="shared" si="26"/>
        <v>0.61688686893244349</v>
      </c>
      <c r="Z18">
        <f t="shared" si="27"/>
        <v>0.61133361802235375</v>
      </c>
      <c r="AA18">
        <f t="shared" si="28"/>
        <v>0.6079671826933023</v>
      </c>
      <c r="AB18">
        <f t="shared" si="29"/>
        <v>0.60467274022476214</v>
      </c>
      <c r="AC18">
        <f t="shared" si="30"/>
        <v>0.60144899872463409</v>
      </c>
      <c r="AD18">
        <f t="shared" si="31"/>
        <v>0.59829470739659607</v>
      </c>
      <c r="AE18">
        <f t="shared" si="32"/>
        <v>0.59520865225268005</v>
      </c>
      <c r="AF18">
        <f t="shared" si="33"/>
        <v>0.59218965223780007</v>
      </c>
      <c r="AG18">
        <f t="shared" si="34"/>
        <v>0.58923655573309264</v>
      </c>
      <c r="AH18">
        <f t="shared" si="35"/>
        <v>0.58634823740729858</v>
      </c>
      <c r="AI18">
        <f t="shared" si="36"/>
        <v>0.5879277603821812</v>
      </c>
      <c r="AJ18">
        <f t="shared" si="37"/>
        <v>0.5895320904989011</v>
      </c>
      <c r="AK18">
        <f t="shared" si="38"/>
        <v>0.59116205050624882</v>
      </c>
      <c r="AL18">
        <f t="shared" si="39"/>
        <v>0.59281848491309519</v>
      </c>
      <c r="AM18">
        <f t="shared" si="40"/>
        <v>0.59450226017379715</v>
      </c>
      <c r="AN18">
        <f t="shared" si="41"/>
        <v>0.59621426493537288</v>
      </c>
      <c r="AO18">
        <f t="shared" si="42"/>
        <v>0.59795541034119937</v>
      </c>
      <c r="AP18">
        <f t="shared" si="43"/>
        <v>0.59972663038721263</v>
      </c>
      <c r="AQ18">
        <f t="shared" si="44"/>
        <v>0.59356942687777059</v>
      </c>
      <c r="AR18">
        <f t="shared" si="45"/>
        <v>0.58751034198986785</v>
      </c>
      <c r="AS18">
        <f t="shared" si="46"/>
        <v>0.58154856390088483</v>
      </c>
      <c r="AT18">
        <f t="shared" si="47"/>
        <v>0.57568329026147835</v>
      </c>
      <c r="AU18">
        <f t="shared" si="48"/>
        <v>0.56991372831901355</v>
      </c>
      <c r="AV18">
        <f t="shared" si="49"/>
        <v>0.56423909504588499</v>
      </c>
      <c r="AW18">
        <f t="shared" si="50"/>
        <v>0.5586586172719209</v>
      </c>
      <c r="AX18">
        <f t="shared" si="51"/>
        <v>0.55317153182015111</v>
      </c>
      <c r="AY18">
        <f t="shared" si="52"/>
        <v>0.54777708564530958</v>
      </c>
      <c r="AZ18">
        <f t="shared" si="53"/>
        <v>0.54245547786911097</v>
      </c>
      <c r="BA18">
        <f t="shared" si="54"/>
        <v>0.53720728870425505</v>
      </c>
      <c r="BB18">
        <f t="shared" si="55"/>
        <v>0.53203316515339727</v>
      </c>
      <c r="BC18">
        <f t="shared" si="56"/>
        <v>0.52693382836050739</v>
      </c>
      <c r="BD18">
        <f t="shared" si="57"/>
        <v>0.52191008186330712</v>
      </c>
      <c r="BE18">
        <f t="shared" si="58"/>
        <v>0.51696282086847856</v>
      </c>
      <c r="BF18">
        <f t="shared" si="59"/>
        <v>0.51209304269233547</v>
      </c>
      <c r="BG18">
        <f t="shared" si="60"/>
        <v>0.5073018585344482</v>
      </c>
      <c r="BH18">
        <f t="shared" si="61"/>
        <v>0.50259050678110118</v>
      </c>
      <c r="BI18">
        <f t="shared" si="62"/>
        <v>0.49796036807044192</v>
      </c>
      <c r="BJ18">
        <f t="shared" si="63"/>
        <v>0.49341298239296411</v>
      </c>
      <c r="BK18">
        <f t="shared" si="64"/>
        <v>0.48895004835366757</v>
      </c>
      <c r="BL18">
        <f t="shared" si="65"/>
        <v>0.48457339901926544</v>
      </c>
      <c r="BM18">
        <f t="shared" si="66"/>
        <v>0.48028501876559798</v>
      </c>
      <c r="BN18">
        <f t="shared" si="67"/>
        <v>0.47608706184755456</v>
      </c>
      <c r="BO18">
        <f t="shared" si="68"/>
        <v>0.47198109346349143</v>
      </c>
      <c r="BP18">
        <f t="shared" si="69"/>
        <v>0.46796784132181485</v>
      </c>
      <c r="BQ18">
        <f t="shared" si="70"/>
        <v>0.46404810319992423</v>
      </c>
      <c r="BR18">
        <f t="shared" si="71"/>
        <v>0.46022275017892594</v>
      </c>
      <c r="BS18">
        <f t="shared" si="72"/>
        <v>0.45649273019669062</v>
      </c>
      <c r="BT18">
        <f t="shared" si="73"/>
        <v>0.45285884088081668</v>
      </c>
      <c r="BU18">
        <f t="shared" si="74"/>
        <v>0.449320728928708</v>
      </c>
      <c r="BV18">
        <f t="shared" si="75"/>
        <v>0.44587808934723017</v>
      </c>
      <c r="BW18">
        <f t="shared" si="76"/>
        <v>0.44253066178922545</v>
      </c>
      <c r="BX18">
        <f t="shared" si="77"/>
        <v>0.43927822842973385</v>
      </c>
      <c r="BY18">
        <f t="shared" si="78"/>
        <v>0.43612061401704139</v>
      </c>
      <c r="BZ18">
        <f t="shared" si="79"/>
        <v>0.43305768594527644</v>
      </c>
      <c r="CA18">
        <f t="shared" si="80"/>
        <v>0.43008935435016027</v>
      </c>
      <c r="CB18">
        <f t="shared" si="81"/>
        <v>0.42721557222960382</v>
      </c>
      <c r="CC18">
        <f t="shared" si="82"/>
        <v>0.42443633559093485</v>
      </c>
      <c r="CD18">
        <f t="shared" si="83"/>
        <v>0.42175168362663529</v>
      </c>
      <c r="CE18">
        <f t="shared" si="84"/>
        <v>0.41916169892057176</v>
      </c>
      <c r="CF18">
        <f t="shared" si="85"/>
        <v>0.41666650768680658</v>
      </c>
      <c r="CG18">
        <f t="shared" si="86"/>
        <v>0.4142662800431865</v>
      </c>
      <c r="CH18">
        <f t="shared" si="87"/>
        <v>0.41196123032201604</v>
      </c>
      <c r="CI18">
        <f t="shared" si="88"/>
        <v>0.40975161742023714</v>
      </c>
      <c r="CJ18">
        <f t="shared" si="89"/>
        <v>0.40763774519165036</v>
      </c>
      <c r="CK18">
        <f t="shared" si="90"/>
        <v>0.40561996288382884</v>
      </c>
      <c r="CL18">
        <f t="shared" si="91"/>
        <v>0.40369866562249263</v>
      </c>
      <c r="CM18">
        <f t="shared" si="92"/>
        <v>0.40187429494622828</v>
      </c>
      <c r="CN18">
        <f t="shared" si="93"/>
        <v>0.4001473393945551</v>
      </c>
      <c r="CO18">
        <f t="shared" si="94"/>
        <v>0.39851833515245755</v>
      </c>
      <c r="CP18">
        <f t="shared" si="95"/>
        <v>0.39698747551481678</v>
      </c>
      <c r="CQ18">
        <f t="shared" si="96"/>
        <v>0.39555484923898399</v>
      </c>
      <c r="CR18">
        <f t="shared" si="97"/>
        <v>0.39422058780767083</v>
      </c>
      <c r="CS18">
        <f t="shared" si="98"/>
        <v>0.3929848660469617</v>
      </c>
      <c r="CT18">
        <f t="shared" si="99"/>
        <v>0.39184790276997505</v>
      </c>
      <c r="CU18">
        <f t="shared" si="100"/>
        <v>0.39080996144994168</v>
      </c>
      <c r="CV18">
        <f t="shared" si="101"/>
        <v>0.38987135092639286</v>
      </c>
      <c r="CW18">
        <f t="shared" si="102"/>
        <v>0.38903242614807682</v>
      </c>
      <c r="CX18">
        <f t="shared" si="103"/>
        <v>0.38829358895615257</v>
      </c>
      <c r="CY18">
        <f t="shared" si="104"/>
        <v>0.38765528772967162</v>
      </c>
      <c r="CZ18">
        <f t="shared" si="105"/>
        <v>0.38711801706293886</v>
      </c>
      <c r="DA18">
        <f t="shared" si="106"/>
        <v>0.38668231841370149</v>
      </c>
      <c r="DB18">
        <f t="shared" si="107"/>
        <v>0.38634878079355528</v>
      </c>
      <c r="DC18">
        <f t="shared" si="108"/>
        <v>0.38611804150344808</v>
      </c>
      <c r="DD18">
        <f t="shared" si="109"/>
        <v>0.38599078691705974</v>
      </c>
      <c r="DE18">
        <f t="shared" si="110"/>
        <v>0.38596775331474059</v>
      </c>
      <c r="DF18">
        <f t="shared" si="111"/>
        <v>0.38604972777059859</v>
      </c>
      <c r="DG18">
        <f t="shared" si="112"/>
        <v>0.38623754909523678</v>
      </c>
      <c r="DH18">
        <f t="shared" si="113"/>
        <v>0.38653210883656214</v>
      </c>
      <c r="DI18">
        <f t="shared" si="114"/>
        <v>0.3869343523410092</v>
      </c>
      <c r="DJ18">
        <f t="shared" si="115"/>
        <v>0.38744527987745386</v>
      </c>
      <c r="DK18">
        <f t="shared" si="116"/>
        <v>0.38806594782602838</v>
      </c>
      <c r="DL18">
        <f t="shared" si="117"/>
        <v>0.38879746993399389</v>
      </c>
      <c r="DM18">
        <f t="shared" si="118"/>
        <v>0.38964101864077788</v>
      </c>
      <c r="DN18">
        <f t="shared" si="119"/>
        <v>0.39059782647424351</v>
      </c>
      <c r="DO18">
        <f t="shared" si="120"/>
        <v>0.39166918752022556</v>
      </c>
      <c r="DP18">
        <f t="shared" si="121"/>
        <v>0.39285645896734228</v>
      </c>
      <c r="DQ18">
        <f t="shared" si="122"/>
        <v>0.39416106272907764</v>
      </c>
      <c r="DR18">
        <f t="shared" si="123"/>
        <v>0.39558448714511996</v>
      </c>
      <c r="DS18">
        <f t="shared" si="124"/>
        <v>0.3971282887639444</v>
      </c>
      <c r="DT18">
        <f t="shared" si="125"/>
        <v>0.39879409420863671</v>
      </c>
      <c r="DU18">
        <f t="shared" si="126"/>
        <v>0.40058360212797439</v>
      </c>
      <c r="DV18">
        <f t="shared" si="127"/>
        <v>0.40249858523480886</v>
      </c>
      <c r="DW18">
        <f t="shared" si="128"/>
        <v>0.40454089243382846</v>
      </c>
      <c r="DX18">
        <f t="shared" si="129"/>
        <v>0.40671245104082893</v>
      </c>
      <c r="DY18">
        <f t="shared" si="130"/>
        <v>0.40901526909567038</v>
      </c>
      <c r="DZ18">
        <f t="shared" si="131"/>
        <v>0.41145143777116516</v>
      </c>
      <c r="EA18">
        <f t="shared" si="132"/>
        <v>0.41402313388021189</v>
      </c>
      <c r="EB18">
        <f t="shared" si="133"/>
        <v>0.41673262248357279</v>
      </c>
      <c r="EC18">
        <f t="shared" si="134"/>
        <v>0.41958225960078105</v>
      </c>
      <c r="ED18">
        <f t="shared" si="135"/>
        <v>0.42257449502676397</v>
      </c>
      <c r="EE18">
        <f t="shared" si="136"/>
        <v>0.42571187525687493</v>
      </c>
      <c r="EF18">
        <f t="shared" si="137"/>
        <v>0.42899312200942202</v>
      </c>
      <c r="EG18">
        <f t="shared" si="138"/>
        <v>0.43241676572942583</v>
      </c>
      <c r="EH18">
        <f t="shared" si="139"/>
        <v>0.43598131037422394</v>
      </c>
      <c r="EI18">
        <f t="shared" si="140"/>
        <v>0.43968523455065572</v>
      </c>
      <c r="EJ18">
        <f t="shared" si="141"/>
        <v>0.44352699264410139</v>
      </c>
      <c r="EK18">
        <f t="shared" si="142"/>
        <v>0.44750501593845976</v>
      </c>
      <c r="EL18">
        <f t="shared" si="143"/>
        <v>0.45161771372620324</v>
      </c>
      <c r="EM18">
        <f t="shared" si="144"/>
        <v>0.45586347440770203</v>
      </c>
      <c r="EN18">
        <f t="shared" si="145"/>
        <v>0.46024066657906137</v>
      </c>
      <c r="EO18">
        <f t="shared" si="146"/>
        <v>0.46474764010776481</v>
      </c>
      <c r="EP18">
        <f t="shared" si="147"/>
        <v>0.46938272719546537</v>
      </c>
      <c r="EQ18">
        <f t="shared" si="148"/>
        <v>0.47414424342731254</v>
      </c>
      <c r="ER18">
        <f t="shared" si="149"/>
        <v>0.47903048880724802</v>
      </c>
      <c r="ES18">
        <f t="shared" si="150"/>
        <v>0.48403974877874639</v>
      </c>
      <c r="ET18">
        <f t="shared" si="151"/>
        <v>0.48917029523051858</v>
      </c>
      <c r="EU18">
        <f t="shared" si="152"/>
        <v>0.49442038748673622</v>
      </c>
      <c r="EV18">
        <f t="shared" si="153"/>
        <v>0.49978827328137371</v>
      </c>
      <c r="EW18">
        <f t="shared" si="154"/>
        <v>0.50527218971630161</v>
      </c>
      <c r="EX18">
        <f t="shared" si="155"/>
        <v>0.51087036420280085</v>
      </c>
      <c r="EY18">
        <f t="shared" si="156"/>
        <v>0.51658101538620171</v>
      </c>
      <c r="EZ18">
        <f t="shared" si="157"/>
        <v>0.52240235405338387</v>
      </c>
      <c r="FA18">
        <f t="shared" si="158"/>
        <v>0.52833258402290595</v>
      </c>
      <c r="FB18">
        <f t="shared" si="159"/>
        <v>0.53422842672261961</v>
      </c>
      <c r="FC18">
        <f t="shared" si="160"/>
        <v>0.54005057138858681</v>
      </c>
      <c r="FD18">
        <f t="shared" si="161"/>
        <v>0.54579993924622949</v>
      </c>
      <c r="FE18">
        <f t="shared" si="162"/>
        <v>0.55147744000565158</v>
      </c>
      <c r="FF18">
        <f t="shared" si="163"/>
        <v>0.55708397200558091</v>
      </c>
      <c r="FG18">
        <f t="shared" si="164"/>
        <v>0.56262042235551113</v>
      </c>
      <c r="FH18">
        <f t="shared" si="165"/>
        <v>0.56808766707606728</v>
      </c>
      <c r="FI18">
        <f t="shared" si="166"/>
        <v>0.57348657123761648</v>
      </c>
      <c r="FJ18">
        <f t="shared" si="167"/>
        <v>0.57881798909714632</v>
      </c>
      <c r="FK18">
        <f t="shared" si="168"/>
        <v>0.58408276423343197</v>
      </c>
      <c r="FL18">
        <f t="shared" si="169"/>
        <v>0.58928172968051407</v>
      </c>
      <c r="FM18">
        <f t="shared" si="170"/>
        <v>0.59441570805950761</v>
      </c>
      <c r="FN18">
        <f t="shared" si="171"/>
        <v>0.59948551170876374</v>
      </c>
      <c r="FO18">
        <f t="shared" si="172"/>
        <v>0.60449194281240415</v>
      </c>
      <c r="FP18">
        <f t="shared" si="173"/>
        <v>0.60943579352724908</v>
      </c>
      <c r="FQ18">
        <f t="shared" si="174"/>
        <v>0.61431784610815843</v>
      </c>
      <c r="FR18">
        <f t="shared" si="175"/>
        <v>0.61913887303180648</v>
      </c>
      <c r="FS18">
        <f t="shared" si="176"/>
        <v>0.62389963711890895</v>
      </c>
      <c r="FT18">
        <f t="shared" si="177"/>
        <v>0.62860089165492261</v>
      </c>
      <c r="FU18">
        <f t="shared" si="178"/>
        <v>0.63324338050923612</v>
      </c>
      <c r="FV18">
        <f t="shared" si="179"/>
        <v>0.6378278382528707</v>
      </c>
      <c r="FW18">
        <f t="shared" si="180"/>
        <v>0.64235499027470977</v>
      </c>
      <c r="FX18">
        <f t="shared" si="181"/>
        <v>0.64682555289627586</v>
      </c>
      <c r="FY18">
        <f t="shared" si="182"/>
        <v>0.65124023348507243</v>
      </c>
      <c r="FZ18">
        <f t="shared" si="183"/>
        <v>0.655599730566509</v>
      </c>
      <c r="GA18">
        <f t="shared" si="184"/>
        <v>0.65990473393442761</v>
      </c>
      <c r="GB18">
        <f t="shared" si="185"/>
        <v>0.66415592476024732</v>
      </c>
      <c r="GC18">
        <f t="shared" si="186"/>
        <v>0.66835397570074417</v>
      </c>
      <c r="GD18">
        <f t="shared" si="187"/>
        <v>0.67249955100448489</v>
      </c>
      <c r="GE18">
        <f t="shared" si="188"/>
        <v>0.67659330661692885</v>
      </c>
      <c r="GF18">
        <f t="shared" si="189"/>
        <v>0.68063589028421723</v>
      </c>
      <c r="GG18">
        <f t="shared" si="190"/>
        <v>0.68462794165566454</v>
      </c>
      <c r="GH18">
        <f t="shared" si="191"/>
        <v>0.68857009238496869</v>
      </c>
      <c r="GI18">
        <f t="shared" si="192"/>
        <v>0.69246296623015657</v>
      </c>
      <c r="GJ18">
        <f t="shared" si="193"/>
        <v>0.69630717915227958</v>
      </c>
      <c r="GK18">
        <f t="shared" si="194"/>
        <v>0.70010333941287606</v>
      </c>
      <c r="GL18">
        <f t="shared" si="195"/>
        <v>0.70385204767021514</v>
      </c>
      <c r="GM18">
        <f t="shared" si="196"/>
        <v>0.70755389707433747</v>
      </c>
      <c r="GN18">
        <f t="shared" si="197"/>
        <v>0.71120947336090823</v>
      </c>
      <c r="GO18">
        <f t="shared" si="198"/>
        <v>0.71481935494389692</v>
      </c>
      <c r="GP18">
        <f t="shared" si="199"/>
        <v>0.71838411300709826</v>
      </c>
      <c r="GQ18">
        <f t="shared" si="200"/>
        <v>0.72190431159450952</v>
      </c>
      <c r="GR18">
        <f t="shared" si="201"/>
        <v>0.72538050769957818</v>
      </c>
      <c r="GS18">
        <f t="shared" si="202"/>
        <v>0.72881325135333341</v>
      </c>
      <c r="GT18">
        <f t="shared" si="203"/>
        <v>0.73220308571141679</v>
      </c>
      <c r="GU18">
        <f t="shared" si="204"/>
        <v>0.7355505471400241</v>
      </c>
      <c r="GV18">
        <f t="shared" si="205"/>
        <v>0.7388561653007738</v>
      </c>
      <c r="GW18">
        <f t="shared" si="206"/>
        <v>0.74212046323451408</v>
      </c>
      <c r="GX18">
        <f t="shared" si="207"/>
        <v>0.74534395744408266</v>
      </c>
      <c r="GY18">
        <f t="shared" si="208"/>
        <v>0.74852715797603164</v>
      </c>
      <c r="GZ18">
        <f t="shared" si="209"/>
        <v>0.75167056850133129</v>
      </c>
      <c r="HA18">
        <f t="shared" si="210"/>
        <v>0.75477468639506462</v>
      </c>
      <c r="HB18">
        <f t="shared" si="211"/>
        <v>0.75784000281512631</v>
      </c>
      <c r="HC18">
        <f t="shared" si="212"/>
        <v>0.76086700277993724</v>
      </c>
      <c r="HD18">
        <f t="shared" si="213"/>
        <v>0.76385616524518807</v>
      </c>
      <c r="HE18">
        <f t="shared" si="214"/>
        <v>0.76680796317962319</v>
      </c>
      <c r="HF18">
        <f t="shared" si="215"/>
        <v>0.76972286363987785</v>
      </c>
      <c r="HG18">
        <f t="shared" si="216"/>
        <v>0.7726013278443794</v>
      </c>
      <c r="HH18">
        <f t="shared" si="217"/>
        <v>0.77544381124632467</v>
      </c>
      <c r="HI18">
        <f t="shared" si="218"/>
        <v>0.77825076360574563</v>
      </c>
      <c r="HJ18">
        <f t="shared" si="219"/>
        <v>0.78102262906067377</v>
      </c>
      <c r="HK18">
        <f t="shared" si="220"/>
        <v>0.78375984619741534</v>
      </c>
      <c r="HL18">
        <f t="shared" si="221"/>
        <v>0.7864628481199476</v>
      </c>
      <c r="HM18">
        <f t="shared" si="222"/>
        <v>0.78913206251844825</v>
      </c>
      <c r="HN18">
        <f t="shared" si="223"/>
        <v>0.7917679117369677</v>
      </c>
      <c r="HO18">
        <f t="shared" si="224"/>
        <v>0.79437081284025557</v>
      </c>
      <c r="HP18">
        <f t="shared" si="225"/>
        <v>0.79694117767975237</v>
      </c>
      <c r="HQ18">
        <f t="shared" si="226"/>
        <v>0.79947941295875546</v>
      </c>
      <c r="HR18">
        <f t="shared" si="227"/>
        <v>0.80198592029677107</v>
      </c>
      <c r="HS18">
        <f t="shared" si="228"/>
        <v>0.8044610962930614</v>
      </c>
      <c r="HT18">
        <f t="shared" si="229"/>
        <v>0.80690533258939812</v>
      </c>
      <c r="HU18">
        <f t="shared" si="230"/>
        <v>0.80931901593203059</v>
      </c>
      <c r="HV18">
        <f t="shared" si="231"/>
        <v>0.81170252823288025</v>
      </c>
      <c r="HW18">
        <f t="shared" si="232"/>
        <v>0.81405624662996923</v>
      </c>
      <c r="HX18">
        <f t="shared" si="233"/>
        <v>0.81638054354709466</v>
      </c>
      <c r="HY18">
        <f t="shared" si="234"/>
        <v>0.81867578675275599</v>
      </c>
      <c r="HZ18">
        <f t="shared" si="235"/>
        <v>0.82094233941834649</v>
      </c>
      <c r="IA18">
        <f t="shared" si="236"/>
        <v>0.82318056017561714</v>
      </c>
      <c r="IB18">
        <f t="shared" si="237"/>
        <v>0.82539080317342195</v>
      </c>
      <c r="IC18">
        <f t="shared" si="238"/>
        <v>0.82757341813375418</v>
      </c>
      <c r="ID18">
        <f t="shared" si="239"/>
        <v>0.82972875040708227</v>
      </c>
      <c r="IE18">
        <f t="shared" si="240"/>
        <v>0.83185714102699371</v>
      </c>
      <c r="IF18">
        <f t="shared" si="241"/>
        <v>0.83395892676415628</v>
      </c>
      <c r="IG18">
        <f t="shared" si="242"/>
        <v>0.83603444017960438</v>
      </c>
      <c r="IH18">
        <f t="shared" si="243"/>
        <v>0.8380840096773593</v>
      </c>
      <c r="II18">
        <f t="shared" si="244"/>
        <v>0.84010795955639228</v>
      </c>
      <c r="IJ18">
        <f t="shared" si="245"/>
        <v>0.84210661006193743</v>
      </c>
      <c r="IK18">
        <f t="shared" si="246"/>
        <v>0.84408027743616321</v>
      </c>
      <c r="IL18">
        <f t="shared" si="247"/>
        <v>0.84602927396821115</v>
      </c>
      <c r="IM18">
        <f t="shared" si="248"/>
        <v>0.84795390804360848</v>
      </c>
      <c r="IN18">
        <f t="shared" si="249"/>
        <v>0.84985448419306342</v>
      </c>
      <c r="IO18">
        <f t="shared" si="250"/>
        <v>0.85173130314065015</v>
      </c>
      <c r="IP18">
        <f t="shared" si="251"/>
        <v>0.85358466185139203</v>
      </c>
      <c r="IQ18">
        <f t="shared" si="252"/>
        <v>0.85541485357824965</v>
      </c>
      <c r="IR18">
        <f t="shared" si="253"/>
        <v>0.85722216790852157</v>
      </c>
      <c r="IS18">
        <f t="shared" si="254"/>
        <v>0.85900689080966508</v>
      </c>
      <c r="IT18">
        <f t="shared" si="255"/>
        <v>0.86076930467454427</v>
      </c>
      <c r="IU18">
        <f t="shared" si="256"/>
        <v>0.86250968836611241</v>
      </c>
      <c r="IV18">
        <f t="shared" si="257"/>
        <v>0.86422831726153604</v>
      </c>
    </row>
    <row r="19" spans="1:256" x14ac:dyDescent="0.2">
      <c r="A19" t="s">
        <v>489</v>
      </c>
      <c r="B19">
        <f>$B$121</f>
        <v>0.51738662719726558</v>
      </c>
      <c r="C19">
        <f t="shared" si="4"/>
        <v>0.51677064755558189</v>
      </c>
      <c r="D19">
        <f t="shared" si="5"/>
        <v>0.51616236765941925</v>
      </c>
      <c r="E19">
        <f t="shared" si="6"/>
        <v>0.51556169126195861</v>
      </c>
      <c r="F19">
        <f t="shared" si="7"/>
        <v>0.5149685233194663</v>
      </c>
      <c r="G19">
        <f t="shared" si="8"/>
        <v>0.51438276997625509</v>
      </c>
      <c r="H19">
        <f t="shared" si="9"/>
        <v>0.51380433854983409</v>
      </c>
      <c r="I19">
        <f t="shared" si="10"/>
        <v>0.51323313751624333</v>
      </c>
      <c r="J19">
        <f t="shared" si="11"/>
        <v>0.51266907649557247</v>
      </c>
      <c r="K19">
        <f t="shared" si="12"/>
        <v>0.51796341943594204</v>
      </c>
      <c r="L19">
        <f t="shared" si="13"/>
        <v>0.52319158308955704</v>
      </c>
      <c r="M19">
        <f t="shared" si="14"/>
        <v>0.52835439469750189</v>
      </c>
      <c r="N19">
        <f t="shared" si="15"/>
        <v>0.53345267116034745</v>
      </c>
      <c r="O19">
        <f t="shared" si="16"/>
        <v>0.53848721916740738</v>
      </c>
      <c r="P19">
        <f t="shared" si="17"/>
        <v>0.54345883532437911</v>
      </c>
      <c r="Q19">
        <f t="shared" si="18"/>
        <v>0.5483683062793886</v>
      </c>
      <c r="R19">
        <f t="shared" si="19"/>
        <v>0.55321640884746048</v>
      </c>
      <c r="S19">
        <f t="shared" si="20"/>
        <v>0.54755120373686728</v>
      </c>
      <c r="T19">
        <f t="shared" si="21"/>
        <v>0.54195681369015647</v>
      </c>
      <c r="U19">
        <f t="shared" si="22"/>
        <v>0.53643235351902951</v>
      </c>
      <c r="V19">
        <f t="shared" si="23"/>
        <v>0.53097694910004167</v>
      </c>
      <c r="W19">
        <f t="shared" si="24"/>
        <v>0.5255897372362911</v>
      </c>
      <c r="X19">
        <f t="shared" si="25"/>
        <v>0.52026986552083743</v>
      </c>
      <c r="Y19">
        <f t="shared" si="26"/>
        <v>0.51501649220182699</v>
      </c>
      <c r="Z19">
        <f t="shared" si="27"/>
        <v>0.50982878604930415</v>
      </c>
      <c r="AA19">
        <f t="shared" si="28"/>
        <v>0.5059559262236879</v>
      </c>
      <c r="AB19">
        <f t="shared" si="29"/>
        <v>0.50213147714589179</v>
      </c>
      <c r="AC19">
        <f t="shared" si="30"/>
        <v>0.49835483368156813</v>
      </c>
      <c r="AD19">
        <f t="shared" si="31"/>
        <v>0.49462539826054852</v>
      </c>
      <c r="AE19">
        <f t="shared" si="32"/>
        <v>0.49094258078229164</v>
      </c>
      <c r="AF19">
        <f t="shared" si="33"/>
        <v>0.48730579852251299</v>
      </c>
      <c r="AG19">
        <f t="shared" si="34"/>
        <v>0.48371447604098156</v>
      </c>
      <c r="AH19">
        <f t="shared" si="35"/>
        <v>0.48016804509046929</v>
      </c>
      <c r="AI19">
        <f t="shared" si="36"/>
        <v>0.48063327736680422</v>
      </c>
      <c r="AJ19">
        <f t="shared" si="37"/>
        <v>0.48109269423968498</v>
      </c>
      <c r="AK19">
        <f t="shared" si="38"/>
        <v>0.48154636840165471</v>
      </c>
      <c r="AL19">
        <f t="shared" si="39"/>
        <v>0.48199437163659986</v>
      </c>
      <c r="AM19">
        <f t="shared" si="40"/>
        <v>0.48243677483110819</v>
      </c>
      <c r="AN19">
        <f t="shared" si="41"/>
        <v>0.48287364798568516</v>
      </c>
      <c r="AO19">
        <f t="shared" si="42"/>
        <v>0.48330506022582992</v>
      </c>
      <c r="AP19">
        <f t="shared" si="43"/>
        <v>0.48373107981297286</v>
      </c>
      <c r="AQ19">
        <f t="shared" si="44"/>
        <v>0.49018444131531069</v>
      </c>
      <c r="AR19">
        <f t="shared" si="45"/>
        <v>0.49655713579886929</v>
      </c>
      <c r="AS19">
        <f t="shared" si="46"/>
        <v>0.50285017160138346</v>
      </c>
      <c r="AT19">
        <f t="shared" si="47"/>
        <v>0.50906454445636617</v>
      </c>
      <c r="AU19">
        <f t="shared" si="48"/>
        <v>0.51520123765066161</v>
      </c>
      <c r="AV19">
        <f t="shared" si="49"/>
        <v>0.52126122218002835</v>
      </c>
      <c r="AW19">
        <f t="shared" si="50"/>
        <v>0.52724545690277802</v>
      </c>
      <c r="AX19">
        <f t="shared" si="51"/>
        <v>0.5331548886914933</v>
      </c>
      <c r="AY19">
        <f t="shared" si="52"/>
        <v>0.53899045164208081</v>
      </c>
      <c r="AZ19">
        <f t="shared" si="53"/>
        <v>0.54475307005578599</v>
      </c>
      <c r="BA19">
        <f t="shared" si="54"/>
        <v>0.55044365573931986</v>
      </c>
      <c r="BB19">
        <f t="shared" si="55"/>
        <v>0.55606310910180956</v>
      </c>
      <c r="BC19">
        <f t="shared" si="56"/>
        <v>0.56161231929726807</v>
      </c>
      <c r="BD19">
        <f t="shared" si="57"/>
        <v>0.56709216436528342</v>
      </c>
      <c r="BE19">
        <f t="shared" si="58"/>
        <v>0.57250351136994859</v>
      </c>
      <c r="BF19">
        <f t="shared" si="59"/>
        <v>0.5778472165370554</v>
      </c>
      <c r="BG19">
        <f t="shared" si="60"/>
        <v>0.58312412538957337</v>
      </c>
      <c r="BH19">
        <f t="shared" si="61"/>
        <v>0.58833507288143483</v>
      </c>
      <c r="BI19">
        <f t="shared" si="62"/>
        <v>0.59348088352964801</v>
      </c>
      <c r="BJ19">
        <f t="shared" si="63"/>
        <v>0.59856237154475855</v>
      </c>
      <c r="BK19">
        <f t="shared" si="64"/>
        <v>0.60358034095968027</v>
      </c>
      <c r="BL19">
        <f t="shared" si="65"/>
        <v>0.60853558575691546</v>
      </c>
      <c r="BM19">
        <f t="shared" si="66"/>
        <v>0.61342888999418521</v>
      </c>
      <c r="BN19">
        <f t="shared" si="67"/>
        <v>0.61826102792848903</v>
      </c>
      <c r="BO19">
        <f t="shared" si="68"/>
        <v>0.62303276413861408</v>
      </c>
      <c r="BP19">
        <f t="shared" si="69"/>
        <v>0.62774485364611254</v>
      </c>
      <c r="BQ19">
        <f t="shared" si="70"/>
        <v>0.63239804203476735</v>
      </c>
      <c r="BR19">
        <f t="shared" si="71"/>
        <v>0.63699306556856394</v>
      </c>
      <c r="BS19">
        <f t="shared" si="72"/>
        <v>0.64153065130818809</v>
      </c>
      <c r="BT19">
        <f t="shared" si="73"/>
        <v>0.64601151722606687</v>
      </c>
      <c r="BU19">
        <f t="shared" si="74"/>
        <v>0.6504363723199722</v>
      </c>
      <c r="BV19">
        <f t="shared" si="75"/>
        <v>0.65480591672520372</v>
      </c>
      <c r="BW19">
        <f t="shared" si="76"/>
        <v>0.65912084182536979</v>
      </c>
      <c r="BX19">
        <f t="shared" si="77"/>
        <v>0.66338183036178378</v>
      </c>
      <c r="BY19">
        <f t="shared" si="78"/>
        <v>0.66758955654149266</v>
      </c>
      <c r="BZ19">
        <f t="shared" si="79"/>
        <v>0.67174468614395522</v>
      </c>
      <c r="CA19">
        <f t="shared" si="80"/>
        <v>0.6758478766263869</v>
      </c>
      <c r="CB19">
        <f t="shared" si="81"/>
        <v>0.67989977722778827</v>
      </c>
      <c r="CC19">
        <f t="shared" si="82"/>
        <v>0.68390102907167205</v>
      </c>
      <c r="CD19">
        <f t="shared" si="83"/>
        <v>0.68785226526750731</v>
      </c>
      <c r="CE19">
        <f t="shared" si="84"/>
        <v>0.69175411101089468</v>
      </c>
      <c r="CF19">
        <f t="shared" si="85"/>
        <v>0.69560718368248964</v>
      </c>
      <c r="CG19">
        <f t="shared" si="86"/>
        <v>0.69941209294568973</v>
      </c>
      <c r="CH19">
        <f t="shared" si="87"/>
        <v>0.70316944084309974</v>
      </c>
      <c r="CI19">
        <f t="shared" si="88"/>
        <v>0.7068798218917921</v>
      </c>
      <c r="CJ19">
        <f t="shared" si="89"/>
        <v>0.71054382317737586</v>
      </c>
      <c r="CK19">
        <f t="shared" si="90"/>
        <v>0.71416202444688981</v>
      </c>
      <c r="CL19">
        <f t="shared" si="91"/>
        <v>0.71773499820053488</v>
      </c>
      <c r="CM19">
        <f t="shared" si="92"/>
        <v>0.72126330978225939</v>
      </c>
      <c r="CN19">
        <f t="shared" si="93"/>
        <v>0.72474751746921229</v>
      </c>
      <c r="CO19">
        <f t="shared" si="94"/>
        <v>0.72818817256007828</v>
      </c>
      <c r="CP19">
        <f t="shared" si="95"/>
        <v>0.7315858194623085</v>
      </c>
      <c r="CQ19">
        <f t="shared" si="96"/>
        <v>0.73494099577826077</v>
      </c>
      <c r="CR19">
        <f t="shared" si="97"/>
        <v>0.73825423239026366</v>
      </c>
      <c r="CS19">
        <f t="shared" si="98"/>
        <v>0.74152605354461654</v>
      </c>
      <c r="CT19">
        <f t="shared" si="99"/>
        <v>0.74475697693454002</v>
      </c>
      <c r="CU19">
        <f t="shared" si="100"/>
        <v>0.74794751378208946</v>
      </c>
      <c r="CV19">
        <f t="shared" si="101"/>
        <v>0.75109816891904446</v>
      </c>
      <c r="CW19">
        <f t="shared" si="102"/>
        <v>0.75420944086678754</v>
      </c>
      <c r="CX19">
        <f t="shared" si="103"/>
        <v>0.75728182191518389</v>
      </c>
      <c r="CY19">
        <f t="shared" si="104"/>
        <v>0.76031579820047523</v>
      </c>
      <c r="CZ19">
        <f t="shared" si="105"/>
        <v>0.76331184978220046</v>
      </c>
      <c r="DA19">
        <f t="shared" si="106"/>
        <v>0.76627045071915412</v>
      </c>
      <c r="DB19">
        <f t="shared" si="107"/>
        <v>0.76919206914439586</v>
      </c>
      <c r="DC19">
        <f t="shared" si="108"/>
        <v>0.77207716733932208</v>
      </c>
      <c r="DD19">
        <f t="shared" si="109"/>
        <v>0.77492620180681171</v>
      </c>
      <c r="DE19">
        <f t="shared" si="110"/>
        <v>0.7777396233434577</v>
      </c>
      <c r="DF19">
        <f t="shared" si="111"/>
        <v>0.7805178771108956</v>
      </c>
      <c r="DG19">
        <f t="shared" si="112"/>
        <v>0.78326140270624056</v>
      </c>
      <c r="DH19">
        <f t="shared" si="113"/>
        <v>0.78597063423164371</v>
      </c>
      <c r="DI19">
        <f t="shared" si="114"/>
        <v>0.78864600036297938</v>
      </c>
      <c r="DJ19">
        <f t="shared" si="115"/>
        <v>0.79128792441767326</v>
      </c>
      <c r="DK19">
        <f t="shared" si="116"/>
        <v>0.79389682442168352</v>
      </c>
      <c r="DL19">
        <f t="shared" si="117"/>
        <v>0.79647311317564362</v>
      </c>
      <c r="DM19">
        <f t="shared" si="118"/>
        <v>0.79901719832017926</v>
      </c>
      <c r="DN19">
        <f t="shared" si="119"/>
        <v>0.80152948240040822</v>
      </c>
      <c r="DO19">
        <f t="shared" si="120"/>
        <v>0.80401036292963424</v>
      </c>
      <c r="DP19">
        <f t="shared" si="121"/>
        <v>0.80646023245224496</v>
      </c>
      <c r="DQ19">
        <f t="shared" si="122"/>
        <v>0.8088794786058231</v>
      </c>
      <c r="DR19">
        <f t="shared" si="123"/>
        <v>0.81126848418248143</v>
      </c>
      <c r="DS19">
        <f t="shared" si="124"/>
        <v>0.8136276271894316</v>
      </c>
      <c r="DT19">
        <f t="shared" si="125"/>
        <v>0.81595728090879482</v>
      </c>
      <c r="DU19">
        <f t="shared" si="126"/>
        <v>0.81825781395666608</v>
      </c>
      <c r="DV19">
        <f t="shared" si="127"/>
        <v>0.82052959034143891</v>
      </c>
      <c r="DW19">
        <f t="shared" si="128"/>
        <v>0.82277296952140211</v>
      </c>
      <c r="DX19">
        <f t="shared" si="129"/>
        <v>0.82498830646161569</v>
      </c>
      <c r="DY19">
        <f t="shared" si="130"/>
        <v>0.82717595169007663</v>
      </c>
      <c r="DZ19">
        <f t="shared" si="131"/>
        <v>0.82933625135318179</v>
      </c>
      <c r="EA19">
        <f t="shared" si="132"/>
        <v>0.83146954727049815</v>
      </c>
      <c r="EB19">
        <f t="shared" si="133"/>
        <v>0.83357617698884812</v>
      </c>
      <c r="EC19">
        <f t="shared" si="134"/>
        <v>0.83565647383571873</v>
      </c>
      <c r="ED19">
        <f t="shared" si="135"/>
        <v>0.83771076697200342</v>
      </c>
      <c r="EE19">
        <f t="shared" si="136"/>
        <v>0.83973938144408455</v>
      </c>
      <c r="EF19">
        <f t="shared" si="137"/>
        <v>0.84174263823526463</v>
      </c>
      <c r="EG19">
        <f t="shared" si="138"/>
        <v>0.84372085431655497</v>
      </c>
      <c r="EH19">
        <f t="shared" si="139"/>
        <v>0.84567434269682917</v>
      </c>
      <c r="EI19">
        <f t="shared" si="140"/>
        <v>0.84760341247234994</v>
      </c>
      <c r="EJ19">
        <f t="shared" si="141"/>
        <v>0.84950836887567671</v>
      </c>
      <c r="EK19">
        <f t="shared" si="142"/>
        <v>0.85138951332396196</v>
      </c>
      <c r="EL19">
        <f t="shared" si="143"/>
        <v>0.85324714346664354</v>
      </c>
      <c r="EM19">
        <f t="shared" si="144"/>
        <v>0.85508155323254165</v>
      </c>
      <c r="EN19">
        <f t="shared" si="145"/>
        <v>0.85689303287636609</v>
      </c>
      <c r="EO19">
        <f t="shared" si="146"/>
        <v>0.85868186902464272</v>
      </c>
      <c r="EP19">
        <f t="shared" si="147"/>
        <v>0.86044834472106591</v>
      </c>
      <c r="EQ19">
        <f t="shared" si="148"/>
        <v>0.86219273947128372</v>
      </c>
      <c r="ER19">
        <f t="shared" si="149"/>
        <v>0.86391532928712389</v>
      </c>
      <c r="ES19">
        <f t="shared" si="150"/>
        <v>0.86561638673026597</v>
      </c>
      <c r="ET19">
        <f t="shared" si="151"/>
        <v>0.86729618095536887</v>
      </c>
      <c r="EU19">
        <f t="shared" si="152"/>
        <v>0.86895497775265795</v>
      </c>
      <c r="EV19">
        <f t="shared" si="153"/>
        <v>0.87059303958998091</v>
      </c>
      <c r="EW19">
        <f t="shared" si="154"/>
        <v>0.87221062565433727</v>
      </c>
      <c r="EX19">
        <f t="shared" si="155"/>
        <v>0.87380799189288927</v>
      </c>
      <c r="EY19">
        <f t="shared" si="156"/>
        <v>0.87538539105345936</v>
      </c>
      <c r="EZ19">
        <f t="shared" si="157"/>
        <v>0.87694307272452232</v>
      </c>
      <c r="FA19">
        <f t="shared" si="158"/>
        <v>0.878481283374697</v>
      </c>
      <c r="FB19">
        <f t="shared" si="159"/>
        <v>0.88000026639174445</v>
      </c>
      <c r="FC19">
        <f t="shared" si="160"/>
        <v>0.88150026212107879</v>
      </c>
      <c r="FD19">
        <f t="shared" si="161"/>
        <v>0.88298150790379648</v>
      </c>
      <c r="FE19">
        <f t="shared" si="162"/>
        <v>0.88444423811423023</v>
      </c>
      <c r="FF19">
        <f t="shared" si="163"/>
        <v>0.88588868419703348</v>
      </c>
      <c r="FG19">
        <f t="shared" si="164"/>
        <v>0.88731507470380178</v>
      </c>
      <c r="FH19">
        <f t="shared" si="165"/>
        <v>0.88872363532923537</v>
      </c>
      <c r="FI19">
        <f t="shared" si="166"/>
        <v>0.89011458894685114</v>
      </c>
      <c r="FJ19">
        <f t="shared" si="167"/>
        <v>0.89148815564424666</v>
      </c>
      <c r="FK19">
        <f t="shared" si="168"/>
        <v>0.89284455275792474</v>
      </c>
      <c r="FL19">
        <f t="shared" si="169"/>
        <v>0.89418399490768186</v>
      </c>
      <c r="FM19">
        <f t="shared" si="170"/>
        <v>0.89550669403056704</v>
      </c>
      <c r="FN19">
        <f t="shared" si="171"/>
        <v>0.89681285941441613</v>
      </c>
      <c r="FO19">
        <f t="shared" si="172"/>
        <v>0.89810269773096707</v>
      </c>
      <c r="FP19">
        <f t="shared" si="173"/>
        <v>0.8993764130685612</v>
      </c>
      <c r="FQ19">
        <f t="shared" si="174"/>
        <v>0.9006342069644353</v>
      </c>
      <c r="FR19">
        <f t="shared" si="175"/>
        <v>0.901876278436611</v>
      </c>
      <c r="FS19">
        <f t="shared" si="176"/>
        <v>0.90310282401538455</v>
      </c>
      <c r="FT19">
        <f t="shared" si="177"/>
        <v>0.90431403777442343</v>
      </c>
      <c r="FU19">
        <f t="shared" si="178"/>
        <v>0.9055101113614743</v>
      </c>
      <c r="FV19">
        <f t="shared" si="179"/>
        <v>0.90669123402868701</v>
      </c>
      <c r="FW19">
        <f t="shared" si="180"/>
        <v>0.90785759266255961</v>
      </c>
      <c r="FX19">
        <f t="shared" si="181"/>
        <v>0.90900937181350883</v>
      </c>
      <c r="FY19">
        <f t="shared" si="182"/>
        <v>0.91014675372507114</v>
      </c>
      <c r="FZ19">
        <f t="shared" si="183"/>
        <v>0.91126991836273896</v>
      </c>
      <c r="GA19">
        <f t="shared" si="184"/>
        <v>0.91237904344243592</v>
      </c>
      <c r="GB19">
        <f t="shared" si="185"/>
        <v>0.91347430445863664</v>
      </c>
      <c r="GC19">
        <f t="shared" si="186"/>
        <v>0.91455587471213484</v>
      </c>
      <c r="GD19">
        <f t="shared" si="187"/>
        <v>0.91562392533746428</v>
      </c>
      <c r="GE19">
        <f t="shared" si="188"/>
        <v>0.91667862532997713</v>
      </c>
      <c r="GF19">
        <f t="shared" si="189"/>
        <v>0.91772014157258353</v>
      </c>
      <c r="GG19">
        <f t="shared" si="190"/>
        <v>0.91874863886215741</v>
      </c>
      <c r="GH19">
        <f t="shared" si="191"/>
        <v>0.91976427993561161</v>
      </c>
      <c r="GI19">
        <f t="shared" si="192"/>
        <v>0.9207672254956476</v>
      </c>
      <c r="GJ19">
        <f t="shared" si="193"/>
        <v>0.92175763423618318</v>
      </c>
      <c r="GK19">
        <f t="shared" si="194"/>
        <v>0.922735662867462</v>
      </c>
      <c r="GL19">
        <f t="shared" si="195"/>
        <v>0.92370146614084991</v>
      </c>
      <c r="GM19">
        <f t="shared" si="196"/>
        <v>0.92465519687332043</v>
      </c>
      <c r="GN19">
        <f t="shared" si="197"/>
        <v>0.92559700597163508</v>
      </c>
      <c r="GO19">
        <f t="shared" si="198"/>
        <v>0.92652704245622086</v>
      </c>
      <c r="GP19">
        <f t="shared" si="199"/>
        <v>0.92744545348474927</v>
      </c>
      <c r="GQ19">
        <f t="shared" si="200"/>
        <v>0.92835238437542111</v>
      </c>
      <c r="GR19">
        <f t="shared" si="201"/>
        <v>0.92924797862995956</v>
      </c>
      <c r="GS19">
        <f t="shared" si="202"/>
        <v>0.9301323779563162</v>
      </c>
      <c r="GT19">
        <f t="shared" si="203"/>
        <v>0.93100572229109346</v>
      </c>
      <c r="GU19">
        <f t="shared" si="204"/>
        <v>0.93186814982168598</v>
      </c>
      <c r="GV19">
        <f t="shared" si="205"/>
        <v>0.93271979700814611</v>
      </c>
      <c r="GW19">
        <f t="shared" si="206"/>
        <v>0.93356079860477548</v>
      </c>
      <c r="GX19">
        <f t="shared" si="207"/>
        <v>0.93439128768144697</v>
      </c>
      <c r="GY19">
        <f t="shared" si="208"/>
        <v>0.93521139564466005</v>
      </c>
      <c r="GZ19">
        <f t="shared" si="209"/>
        <v>0.93602125225833299</v>
      </c>
      <c r="HA19">
        <f t="shared" si="210"/>
        <v>0.93682098566433503</v>
      </c>
      <c r="HB19">
        <f t="shared" si="211"/>
        <v>0.937610722402762</v>
      </c>
      <c r="HC19">
        <f t="shared" si="212"/>
        <v>0.93839058743195869</v>
      </c>
      <c r="HD19">
        <f t="shared" si="213"/>
        <v>0.93916070414829034</v>
      </c>
      <c r="HE19">
        <f t="shared" si="214"/>
        <v>0.9399211944056679</v>
      </c>
      <c r="HF19">
        <f t="shared" si="215"/>
        <v>0.94067217853482821</v>
      </c>
      <c r="HG19">
        <f t="shared" si="216"/>
        <v>0.94141377536237403</v>
      </c>
      <c r="HH19">
        <f t="shared" si="217"/>
        <v>0.94214610222957551</v>
      </c>
      <c r="HI19">
        <f t="shared" si="218"/>
        <v>0.94286927501093698</v>
      </c>
      <c r="HJ19">
        <f t="shared" si="219"/>
        <v>0.94358340813253139</v>
      </c>
      <c r="HK19">
        <f t="shared" si="220"/>
        <v>0.94428861459010593</v>
      </c>
      <c r="HL19">
        <f t="shared" si="221"/>
        <v>0.94498500596696078</v>
      </c>
      <c r="HM19">
        <f t="shared" si="222"/>
        <v>0.9456726924516049</v>
      </c>
      <c r="HN19">
        <f t="shared" si="223"/>
        <v>0.94635178285519106</v>
      </c>
      <c r="HO19">
        <f t="shared" si="224"/>
        <v>0.94702238462873234</v>
      </c>
      <c r="HP19">
        <f t="shared" si="225"/>
        <v>0.94768460388010434</v>
      </c>
      <c r="HQ19">
        <f t="shared" si="226"/>
        <v>0.94833854539083418</v>
      </c>
      <c r="HR19">
        <f t="shared" si="227"/>
        <v>0.9489843126326799</v>
      </c>
      <c r="HS19">
        <f t="shared" si="228"/>
        <v>0.94962200778400252</v>
      </c>
      <c r="HT19">
        <f t="shared" si="229"/>
        <v>0.95025173174593369</v>
      </c>
      <c r="HU19">
        <f t="shared" si="230"/>
        <v>0.95087358415834067</v>
      </c>
      <c r="HV19">
        <f t="shared" si="231"/>
        <v>0.95148766341559254</v>
      </c>
      <c r="HW19">
        <f t="shared" si="232"/>
        <v>0.95209406668212881</v>
      </c>
      <c r="HX19">
        <f t="shared" si="233"/>
        <v>0.95269288990783341</v>
      </c>
      <c r="HY19">
        <f t="shared" si="234"/>
        <v>0.95328422784321665</v>
      </c>
      <c r="HZ19">
        <f t="shared" si="235"/>
        <v>0.9538681740544076</v>
      </c>
      <c r="IA19">
        <f t="shared" si="236"/>
        <v>0.95444482093795868</v>
      </c>
      <c r="IB19">
        <f t="shared" si="237"/>
        <v>0.95501425973546539</v>
      </c>
      <c r="IC19">
        <f t="shared" si="238"/>
        <v>0.95557658054800321</v>
      </c>
      <c r="ID19">
        <f t="shared" si="239"/>
        <v>0.95613187235038433</v>
      </c>
      <c r="IE19">
        <f t="shared" si="240"/>
        <v>0.9566802230052357</v>
      </c>
      <c r="IF19">
        <f t="shared" si="241"/>
        <v>0.95722171927690147</v>
      </c>
      <c r="IG19">
        <f t="shared" si="242"/>
        <v>0.95775644684517136</v>
      </c>
      <c r="IH19">
        <f t="shared" si="243"/>
        <v>0.95828449031883789</v>
      </c>
      <c r="II19">
        <f t="shared" si="244"/>
        <v>0.95880593324908359</v>
      </c>
      <c r="IJ19">
        <f t="shared" si="245"/>
        <v>0.95932085814270118</v>
      </c>
      <c r="IK19">
        <f t="shared" si="246"/>
        <v>0.95982934647514861</v>
      </c>
      <c r="IL19">
        <f t="shared" si="247"/>
        <v>0.96033147870344038</v>
      </c>
      <c r="IM19">
        <f t="shared" si="248"/>
        <v>0.96082733427887856</v>
      </c>
      <c r="IN19">
        <f t="shared" si="249"/>
        <v>0.9613169916596237</v>
      </c>
      <c r="IO19">
        <f t="shared" si="250"/>
        <v>0.96180052832310958</v>
      </c>
      <c r="IP19">
        <f t="shared" si="251"/>
        <v>0.96227802077830193</v>
      </c>
      <c r="IQ19">
        <f t="shared" si="252"/>
        <v>0.96274954457780437</v>
      </c>
      <c r="IR19">
        <f t="shared" si="253"/>
        <v>0.96321517432981296</v>
      </c>
      <c r="IS19">
        <f t="shared" si="254"/>
        <v>0.96367498370992144</v>
      </c>
      <c r="IT19">
        <f t="shared" si="255"/>
        <v>0.96412904547277856</v>
      </c>
      <c r="IU19">
        <f t="shared" si="256"/>
        <v>0.96457743146359998</v>
      </c>
      <c r="IV19">
        <f t="shared" si="257"/>
        <v>0.96502021262953619</v>
      </c>
    </row>
    <row r="20" spans="1:256" x14ac:dyDescent="0.2">
      <c r="A20" t="s">
        <v>491</v>
      </c>
      <c r="B20">
        <f t="shared" ref="B20:B36" si="258">(B71-B3)/B54</f>
        <v>-9.1235047770498678E-2</v>
      </c>
      <c r="C20">
        <f t="shared" ref="C20:C36" si="259">(C71-C3)/C54</f>
        <v>7.7553596669554525E-3</v>
      </c>
      <c r="D20">
        <f t="shared" ref="D20:D36" si="260">(D71-D3)/D54</f>
        <v>7.6584176711185113E-3</v>
      </c>
      <c r="E20">
        <f t="shared" ref="E20:E36" si="261">(E71-E3)/E54</f>
        <v>7.5626874502295327E-3</v>
      </c>
      <c r="F20">
        <f t="shared" ref="F20:F36" si="262">(F71-F3)/F54</f>
        <v>7.4681538571016674E-3</v>
      </c>
      <c r="G20">
        <f t="shared" ref="G20:G36" si="263">(G71-G3)/G54</f>
        <v>7.3748019338878978E-3</v>
      </c>
      <c r="H20">
        <f t="shared" ref="H20:H36" si="264">(H71-H3)/H54</f>
        <v>7.2826169097143009E-3</v>
      </c>
      <c r="I20">
        <f t="shared" ref="I20:I36" si="265">(I71-I3)/I54</f>
        <v>7.1915841983428708E-3</v>
      </c>
      <c r="J20">
        <f t="shared" ref="J20:J36" si="266">(J71-J3)/J54</f>
        <v>7.1016893958635863E-3</v>
      </c>
      <c r="K20">
        <f t="shared" ref="K20:K36" si="267">(K71-K3)/K54</f>
        <v>7.0129182784152925E-3</v>
      </c>
      <c r="L20">
        <f t="shared" ref="L20:L36" si="268">(L71-L3)/L54</f>
        <v>6.9252567999350976E-3</v>
      </c>
      <c r="M20">
        <f t="shared" ref="M20:M36" si="269">(M71-M3)/M54</f>
        <v>6.8386910899359112E-3</v>
      </c>
      <c r="N20">
        <f t="shared" ref="N20:N36" si="270">(N71-N3)/N54</f>
        <v>6.7532074513117161E-3</v>
      </c>
      <c r="O20">
        <f t="shared" ref="O20:O36" si="271">(O71-O3)/O54</f>
        <v>6.668792358170317E-3</v>
      </c>
      <c r="P20">
        <f t="shared" ref="P20:P36" si="272">(P71-P3)/P54</f>
        <v>6.585432453693185E-3</v>
      </c>
      <c r="Q20">
        <f t="shared" ref="Q20:Q36" si="273">(Q71-Q3)/Q54</f>
        <v>6.5031145480220157E-3</v>
      </c>
      <c r="R20">
        <f t="shared" ref="R20:R36" si="274">(R71-R3)/R54</f>
        <v>6.4218256161717394E-3</v>
      </c>
      <c r="S20">
        <f t="shared" ref="S20:S36" si="275">(S71-S3)/S54</f>
        <v>6.3415527959695961E-3</v>
      </c>
      <c r="T20">
        <f t="shared" ref="T20:T36" si="276">(T71-T3)/T54</f>
        <v>6.2622833860199734E-3</v>
      </c>
      <c r="U20">
        <f t="shared" ref="U20:U36" si="277">(U71-U3)/U54</f>
        <v>6.1840048436947233E-3</v>
      </c>
      <c r="V20">
        <f t="shared" ref="V20:V36" si="278">(V71-V3)/V54</f>
        <v>6.1067047831485418E-3</v>
      </c>
      <c r="W20">
        <f t="shared" ref="W20:W36" si="279">(W71-W3)/W54</f>
        <v>6.0303709733591894E-3</v>
      </c>
      <c r="X20">
        <f t="shared" ref="X20:X36" si="280">(X71-X3)/X54</f>
        <v>5.9549913361921945E-3</v>
      </c>
      <c r="Y20">
        <f t="shared" ref="Y20:Y36" si="281">(Y71-Y3)/Y54</f>
        <v>5.8805539444897973E-3</v>
      </c>
      <c r="Z20">
        <f t="shared" ref="Z20:Z36" si="282">(Z71-Z3)/Z54</f>
        <v>-8.1315545904174585E-2</v>
      </c>
      <c r="AA20">
        <f t="shared" ref="AA20:AA36" si="283">(AA71-AA3)/AA54</f>
        <v>-8.0117040276589807E-2</v>
      </c>
      <c r="AB20">
        <f t="shared" ref="AB20:AB36" si="284">(AB71-AB3)/AB54</f>
        <v>-7.8939644941998219E-2</v>
      </c>
      <c r="AC20">
        <f t="shared" ref="AC20:AC36" si="285">(AC71-AC3)/AC54</f>
        <v>-7.7782996362021448E-2</v>
      </c>
      <c r="AD20">
        <f t="shared" ref="AD20:AD36" si="286">(AD71-AD3)/AD54</f>
        <v>-7.6646736600114562E-2</v>
      </c>
      <c r="AE20">
        <f t="shared" ref="AE20:AE36" si="287">(AE71-AE3)/AE54</f>
        <v>-7.5530513310553188E-2</v>
      </c>
      <c r="AF20">
        <f t="shared" ref="AF20:AF36" si="288">(AF71-AF3)/AF54</f>
        <v>-7.4433979687115889E-2</v>
      </c>
      <c r="AG20">
        <f t="shared" ref="AG20:AG36" si="289">(AG71-AG3)/AG54</f>
        <v>-7.3356794381149323E-2</v>
      </c>
      <c r="AH20">
        <f t="shared" ref="AH20:AH36" si="290">(AH71-AH3)/AH54</f>
        <v>1.353358766348014E-2</v>
      </c>
      <c r="AI20">
        <f t="shared" ref="AI20:AI36" si="291">(AI71-AI3)/AI54</f>
        <v>1.3364417817686635E-2</v>
      </c>
      <c r="AJ20">
        <f t="shared" ref="AJ20:AJ36" si="292">(AJ71-AJ3)/AJ54</f>
        <v>1.3197362594965557E-2</v>
      </c>
      <c r="AK20">
        <f t="shared" ref="AK20:AK36" si="293">(AK71-AK3)/AK54</f>
        <v>1.3032395562528488E-2</v>
      </c>
      <c r="AL20">
        <f t="shared" ref="AL20:AL36" si="294">(AL71-AL3)/AL54</f>
        <v>1.2869490617996882E-2</v>
      </c>
      <c r="AM20">
        <f t="shared" ref="AM20:AM36" si="295">(AM71-AM3)/AM54</f>
        <v>1.2708621985271918E-2</v>
      </c>
      <c r="AN20">
        <f t="shared" ref="AN20:AN36" si="296">(AN71-AN3)/AN54</f>
        <v>1.2549764210456015E-2</v>
      </c>
      <c r="AO20">
        <f t="shared" ref="AO20:AO36" si="297">(AO71-AO3)/AO54</f>
        <v>1.239289215782532E-2</v>
      </c>
      <c r="AP20">
        <f t="shared" ref="AP20:AP36" si="298">(AP71-AP3)/AP54</f>
        <v>1.2237981005852504E-2</v>
      </c>
      <c r="AQ20">
        <f t="shared" ref="AQ20:AQ36" si="299">(AQ71-AQ3)/AQ54</f>
        <v>1.208500624327935E-2</v>
      </c>
      <c r="AR20">
        <f t="shared" ref="AR20:AR36" si="300">(AR71-AR3)/AR54</f>
        <v>1.1933943665238356E-2</v>
      </c>
      <c r="AS20">
        <f t="shared" ref="AS20:AS36" si="301">(AS71-AS3)/AS54</f>
        <v>1.1784769369422876E-2</v>
      </c>
      <c r="AT20">
        <f t="shared" ref="AT20:AT36" si="302">(AT71-AT3)/AT54</f>
        <v>1.1637459752305091E-2</v>
      </c>
      <c r="AU20">
        <f t="shared" ref="AU20:AU36" si="303">(AU71-AU3)/AU54</f>
        <v>1.1491991505401278E-2</v>
      </c>
      <c r="AV20">
        <f t="shared" ref="AV20:AV36" si="304">(AV71-AV3)/AV54</f>
        <v>1.1348341611583757E-2</v>
      </c>
      <c r="AW20">
        <f t="shared" ref="AW20:AW36" si="305">(AW71-AW3)/AW54</f>
        <v>1.1206487341438965E-2</v>
      </c>
      <c r="AX20">
        <f t="shared" ref="AX20:AX36" si="306">(AX71-AX3)/AX54</f>
        <v>-1.4279245500730653E-2</v>
      </c>
      <c r="AY20">
        <f t="shared" ref="AY20:AY36" si="307">(AY71-AY3)/AY54</f>
        <v>-1.2845856327705773E-2</v>
      </c>
      <c r="AZ20">
        <f t="shared" ref="AZ20:AZ36" si="308">(AZ71-AZ3)/AZ54</f>
        <v>-1.1362178552502423E-2</v>
      </c>
      <c r="BA20">
        <f t="shared" ref="BA20:BA36" si="309">(BA71-BA3)/BA54</f>
        <v>-9.824378189645034E-3</v>
      </c>
      <c r="BB20">
        <f t="shared" ref="BB20:BB36" si="310">(BB71-BB3)/BB54</f>
        <v>-8.2283485567808071E-3</v>
      </c>
      <c r="BC20">
        <f t="shared" ref="BC20:BC36" si="311">(BC71-BC3)/BC54</f>
        <v>-6.5696812043379519E-3</v>
      </c>
      <c r="BD20">
        <f t="shared" ref="BD20:BD36" si="312">(BD71-BD3)/BD54</f>
        <v>-4.8436337130244199E-3</v>
      </c>
      <c r="BE20">
        <f t="shared" ref="BE20:BE36" si="313">(BE71-BE3)/BE54</f>
        <v>-3.0450939335533778E-3</v>
      </c>
      <c r="BF20">
        <f t="shared" ref="BF20:BF36" si="314">(BF71-BF3)/BF54</f>
        <v>-1.1685401793946725E-3</v>
      </c>
      <c r="BG20">
        <f t="shared" ref="BG20:BG36" si="315">(BG71-BG3)/BG54</f>
        <v>7.9200319120191769E-4</v>
      </c>
      <c r="BH20">
        <f t="shared" ref="BH20:BH36" si="316">(BH71-BH3)/BH54</f>
        <v>2.8430154552585574E-3</v>
      </c>
      <c r="BI20">
        <f t="shared" ref="BI20:BI36" si="317">(BI71-BI3)/BI54</f>
        <v>4.9736208079726894E-3</v>
      </c>
      <c r="BJ20">
        <f t="shared" ref="BJ20:BJ36" si="318">(BJ71-BJ3)/BJ54</f>
        <v>7.1512733774076855E-3</v>
      </c>
      <c r="BK20">
        <f t="shared" ref="BK20:BK36" si="319">(BK71-BK3)/BK54</f>
        <v>9.3788815196111045E-3</v>
      </c>
      <c r="BL20">
        <f t="shared" ref="BL20:BL36" si="320">(BL71-BL3)/BL54</f>
        <v>1.1654258272248785E-2</v>
      </c>
      <c r="BM20">
        <f t="shared" ref="BM20:BM36" si="321">(BM71-BM3)/BM54</f>
        <v>1.1508580043845673E-2</v>
      </c>
      <c r="BN20">
        <f t="shared" ref="BN20:BN36" si="322">(BN71-BN3)/BN54</f>
        <v>1.1364722793297598E-2</v>
      </c>
      <c r="BO20">
        <f t="shared" ref="BO20:BO36" si="323">(BO71-BO3)/BO54</f>
        <v>1.1222663758381379E-2</v>
      </c>
      <c r="BP20">
        <f t="shared" ref="BP20:BP36" si="324">(BP71-BP3)/BP54</f>
        <v>1.1082380461401609E-2</v>
      </c>
      <c r="BQ20">
        <f t="shared" ref="BQ20:BQ36" si="325">(BQ71-BQ3)/BQ54</f>
        <v>1.0943850705634084E-2</v>
      </c>
      <c r="BR20">
        <f t="shared" ref="BR20:BR36" si="326">(BR71-BR3)/BR54</f>
        <v>1.0807052571813658E-2</v>
      </c>
      <c r="BS20">
        <f t="shared" ref="BS20:BS36" si="327">(BS71-BS3)/BS54</f>
        <v>1.0671964414665992E-2</v>
      </c>
      <c r="BT20">
        <f t="shared" ref="BT20:BT36" si="328">(BT71-BT3)/BT54</f>
        <v>1.0538564859482669E-2</v>
      </c>
      <c r="BU20">
        <f t="shared" ref="BU20:BU36" si="329">(BU71-BU3)/BU54</f>
        <v>1.040683279873914E-2</v>
      </c>
      <c r="BV20">
        <f t="shared" ref="BV20:BV36" si="330">(BV71-BV3)/BV54</f>
        <v>1.0276747388754903E-2</v>
      </c>
      <c r="BW20">
        <f t="shared" ref="BW20:BW36" si="331">(BW71-BW3)/BW54</f>
        <v>1.0148288046395471E-2</v>
      </c>
      <c r="BX20">
        <f t="shared" ref="BX20:BX36" si="332">(BX71-BX3)/BX54</f>
        <v>1.0021434445815524E-2</v>
      </c>
      <c r="BY20">
        <f t="shared" ref="BY20:BY36" si="333">(BY71-BY3)/BY54</f>
        <v>9.8961665152428324E-3</v>
      </c>
      <c r="BZ20">
        <f t="shared" ref="BZ20:BZ36" si="334">(BZ71-BZ3)/BZ54</f>
        <v>9.7724644338022977E-3</v>
      </c>
      <c r="CA20">
        <f t="shared" ref="CA20:CA36" si="335">(CA71-CA3)/CA54</f>
        <v>9.6503086283797664E-3</v>
      </c>
      <c r="CB20">
        <f t="shared" ref="CB20:CB36" si="336">(CB71-CB3)/CB54</f>
        <v>9.5296797705250232E-3</v>
      </c>
      <c r="CC20">
        <f t="shared" ref="CC20:CC36" si="337">(CC71-CC3)/CC54</f>
        <v>9.4105587733934633E-3</v>
      </c>
      <c r="CD20">
        <f t="shared" ref="CD20:CD36" si="338">(CD71-CD3)/CD54</f>
        <v>9.292926788726041E-3</v>
      </c>
      <c r="CE20">
        <f t="shared" ref="CE20:CE36" si="339">(CE71-CE3)/CE54</f>
        <v>9.1767652038669649E-3</v>
      </c>
      <c r="CF20">
        <f t="shared" ref="CF20:CF36" si="340">(CF71-CF3)/CF54</f>
        <v>9.0620556388186328E-3</v>
      </c>
      <c r="CG20">
        <f t="shared" ref="CG20:CG36" si="341">(CG71-CG3)/CG54</f>
        <v>8.9487799433333962E-3</v>
      </c>
      <c r="CH20">
        <f t="shared" ref="CH20:CH36" si="342">(CH71-CH3)/CH54</f>
        <v>8.8369201940417304E-3</v>
      </c>
      <c r="CI20">
        <f t="shared" ref="CI20:CI36" si="343">(CI71-CI3)/CI54</f>
        <v>8.7264586916162117E-3</v>
      </c>
      <c r="CJ20">
        <f t="shared" ref="CJ20:CJ36" si="344">(CJ71-CJ3)/CJ54</f>
        <v>8.6173779579710071E-3</v>
      </c>
      <c r="CK20">
        <f t="shared" ref="CK20:CK36" si="345">(CK71-CK3)/CK54</f>
        <v>8.5096607334963718E-3</v>
      </c>
      <c r="CL20">
        <f t="shared" ref="CL20:CL36" si="346">(CL71-CL3)/CL54</f>
        <v>8.403289974327665E-3</v>
      </c>
      <c r="CM20">
        <f t="shared" ref="CM20:CM36" si="347">(CM71-CM3)/CM54</f>
        <v>8.2982488496485714E-3</v>
      </c>
      <c r="CN20">
        <f t="shared" ref="CN20:CN36" si="348">(CN71-CN3)/CN54</f>
        <v>8.1945207390279658E-3</v>
      </c>
      <c r="CO20">
        <f t="shared" ref="CO20:CO36" si="349">(CO71-CO3)/CO54</f>
        <v>8.0920892297901108E-3</v>
      </c>
      <c r="CP20">
        <f t="shared" ref="CP20:CP36" si="350">(CP71-CP3)/CP54</f>
        <v>7.9909381144177335E-3</v>
      </c>
      <c r="CQ20">
        <f t="shared" ref="CQ20:CQ36" si="351">(CQ71-CQ3)/CQ54</f>
        <v>7.8910513879875133E-3</v>
      </c>
      <c r="CR20">
        <f t="shared" ref="CR20:CR36" si="352">(CR71-CR3)/CR54</f>
        <v>7.7924132456376636E-3</v>
      </c>
      <c r="CS20">
        <f t="shared" ref="CS20:CS36" si="353">(CS71-CS3)/CS54</f>
        <v>7.6950080800671896E-3</v>
      </c>
      <c r="CT20">
        <f t="shared" ref="CT20:CT36" si="354">(CT71-CT3)/CT54</f>
        <v>7.5988204790663483E-3</v>
      </c>
      <c r="CU20">
        <f t="shared" ref="CU20:CU36" si="355">(CU71-CU3)/CU54</f>
        <v>7.5038352230780148E-3</v>
      </c>
      <c r="CV20">
        <f t="shared" ref="CV20:CV36" si="356">(CV71-CV3)/CV54</f>
        <v>7.4100372827895387E-3</v>
      </c>
      <c r="CW20">
        <f t="shared" ref="CW20:CW36" si="357">(CW71-CW3)/CW54</f>
        <v>7.3174118167546711E-3</v>
      </c>
      <c r="CX20">
        <f t="shared" ref="CX20:CX36" si="358">(CX71-CX3)/CX54</f>
        <v>7.2259441690452394E-3</v>
      </c>
      <c r="CY20">
        <f t="shared" ref="CY20:CY36" si="359">(CY71-CY3)/CY54</f>
        <v>7.1356198669321746E-3</v>
      </c>
      <c r="CZ20">
        <f t="shared" ref="CZ20:CZ36" si="360">(CZ71-CZ3)/CZ54</f>
        <v>7.0464246185955263E-3</v>
      </c>
      <c r="DA20">
        <f t="shared" ref="DA20:DA36" si="361">(DA71-DA3)/DA54</f>
        <v>6.9583443108630853E-3</v>
      </c>
      <c r="DB20">
        <f t="shared" ref="DB20:DB36" si="362">(DB71-DB3)/DB54</f>
        <v>6.8713650069772928E-3</v>
      </c>
      <c r="DC20">
        <f t="shared" ref="DC20:DC36" si="363">(DC71-DC3)/DC54</f>
        <v>6.7854729443900808E-3</v>
      </c>
      <c r="DD20">
        <f t="shared" ref="DD20:DD36" si="364">(DD71-DD3)/DD54</f>
        <v>6.7006545325852037E-3</v>
      </c>
      <c r="DE20">
        <f t="shared" ref="DE20:DE36" si="365">(DE71-DE3)/DE54</f>
        <v>6.6168963509278924E-3</v>
      </c>
      <c r="DF20">
        <f t="shared" ref="DF20:DF36" si="366">(DF71-DF3)/DF54</f>
        <v>6.5341851465412935E-3</v>
      </c>
      <c r="DG20">
        <f t="shared" ref="DG20:DG36" si="367">(DG71-DG3)/DG54</f>
        <v>6.452507832209531E-3</v>
      </c>
      <c r="DH20">
        <f t="shared" ref="DH20:DH36" si="368">(DH71-DH3)/DH54</f>
        <v>6.3718514843069118E-3</v>
      </c>
      <c r="DI20">
        <f t="shared" ref="DI20:DI36" si="369">(DI71-DI3)/DI54</f>
        <v>6.2922033407530773E-3</v>
      </c>
      <c r="DJ20">
        <f t="shared" ref="DJ20:DJ36" si="370">(DJ71-DJ3)/DJ54</f>
        <v>6.2135507989936611E-3</v>
      </c>
      <c r="DK20">
        <f t="shared" ref="DK20:DK36" si="371">(DK71-DK3)/DK54</f>
        <v>6.1358814140062392E-3</v>
      </c>
      <c r="DL20">
        <f t="shared" ref="DL20:DL36" si="372">(DL71-DL3)/DL54</f>
        <v>6.059182896331161E-3</v>
      </c>
      <c r="DM20">
        <f t="shared" ref="DM20:DM36" si="373">(DM71-DM3)/DM54</f>
        <v>5.9834431101270184E-3</v>
      </c>
      <c r="DN20">
        <f t="shared" ref="DN20:DN36" si="374">(DN71-DN3)/DN54</f>
        <v>5.9086500712504323E-3</v>
      </c>
      <c r="DO20">
        <f t="shared" ref="DO20:DO36" si="375">(DO71-DO3)/DO54</f>
        <v>5.8347919453597963E-3</v>
      </c>
      <c r="DP20">
        <f t="shared" ref="DP20:DP36" si="376">(DP71-DP3)/DP54</f>
        <v>5.761857046042795E-3</v>
      </c>
      <c r="DQ20">
        <f t="shared" ref="DQ20:DQ36" si="377">(DQ71-DQ3)/DQ54</f>
        <v>5.6898338329672612E-3</v>
      </c>
      <c r="DR20">
        <f t="shared" ref="DR20:DR36" si="378">(DR71-DR3)/DR54</f>
        <v>5.6187109100551691E-3</v>
      </c>
      <c r="DS20">
        <f t="shared" ref="DS20:DS36" si="379">(DS71-DS3)/DS54</f>
        <v>5.5484770236794764E-3</v>
      </c>
      <c r="DT20">
        <f t="shared" ref="DT20:DT36" si="380">(DT71-DT3)/DT54</f>
        <v>5.4791210608834849E-3</v>
      </c>
      <c r="DU20">
        <f t="shared" ref="DU20:DU36" si="381">(DU71-DU3)/DU54</f>
        <v>5.4106320476224436E-3</v>
      </c>
      <c r="DV20">
        <f t="shared" ref="DV20:DV36" si="382">(DV71-DV3)/DV54</f>
        <v>5.3429991470271606E-3</v>
      </c>
      <c r="DW20">
        <f t="shared" ref="DW20:DW36" si="383">(DW71-DW3)/DW54</f>
        <v>5.2762116576893225E-3</v>
      </c>
      <c r="DX20">
        <f t="shared" ref="DX20:DX36" si="384">(DX71-DX3)/DX54</f>
        <v>5.2102590119682103E-3</v>
      </c>
      <c r="DY20">
        <f t="shared" ref="DY20:DY36" si="385">(DY71-DY3)/DY54</f>
        <v>5.145130774318607E-3</v>
      </c>
      <c r="DZ20">
        <f t="shared" ref="DZ20:DZ36" si="386">(DZ71-DZ3)/DZ54</f>
        <v>5.0808166396396296E-3</v>
      </c>
      <c r="EA20">
        <f t="shared" ref="EA20:EA36" si="387">(EA71-EA3)/EA54</f>
        <v>5.0173064316441311E-3</v>
      </c>
      <c r="EB20">
        <f t="shared" ref="EB20:EB36" si="388">(EB71-EB3)/EB54</f>
        <v>4.954590101248579E-3</v>
      </c>
      <c r="EC20">
        <f t="shared" ref="EC20:EC36" si="389">(EC71-EC3)/EC54</f>
        <v>4.8926577249829737E-3</v>
      </c>
      <c r="ED20">
        <f t="shared" ref="ED20:ED36" si="390">(ED71-ED3)/ED54</f>
        <v>4.8314995034206883E-3</v>
      </c>
      <c r="EE20">
        <f t="shared" ref="EE20:EE36" si="391">(EE71-EE3)/EE54</f>
        <v>4.7711057596279251E-3</v>
      </c>
      <c r="EF20">
        <f t="shared" ref="EF20:EF36" si="392">(EF71-EF3)/EF54</f>
        <v>4.7114669376325802E-3</v>
      </c>
      <c r="EG20">
        <f t="shared" ref="EG20:EG36" si="393">(EG71-EG3)/EG54</f>
        <v>4.6525736009121691E-3</v>
      </c>
      <c r="EH20">
        <f t="shared" ref="EH20:EH36" si="394">(EH71-EH3)/EH54</f>
        <v>4.5944164309007721E-3</v>
      </c>
      <c r="EI20">
        <f t="shared" ref="EI20:EI36" si="395">(EI71-EI3)/EI54</f>
        <v>4.5369862255145166E-3</v>
      </c>
      <c r="EJ20">
        <f t="shared" ref="EJ20:EJ36" si="396">(EJ71-EJ3)/EJ54</f>
        <v>4.4802738976955862E-3</v>
      </c>
      <c r="EK20">
        <f t="shared" ref="EK20:EK36" si="397">(EK71-EK3)/EK54</f>
        <v>4.4242704739743902E-3</v>
      </c>
      <c r="EL20">
        <f t="shared" ref="EL20:EL36" si="398">(EL71-EL3)/EL54</f>
        <v>4.3689670930497134E-3</v>
      </c>
      <c r="EM20">
        <f t="shared" ref="EM20:EM36" si="399">(EM71-EM3)/EM54</f>
        <v>4.3143550043865941E-3</v>
      </c>
      <c r="EN20">
        <f t="shared" ref="EN20:EN36" si="400">(EN71-EN3)/EN54</f>
        <v>4.2604255668317603E-3</v>
      </c>
      <c r="EO20">
        <f t="shared" ref="EO20:EO36" si="401">(EO71-EO3)/EO54</f>
        <v>4.2071702472463611E-3</v>
      </c>
      <c r="EP20">
        <f t="shared" ref="EP20:EP36" si="402">(EP71-EP3)/EP54</f>
        <v>4.1545806191557785E-3</v>
      </c>
      <c r="EQ20">
        <f t="shared" ref="EQ20:EQ36" si="403">(EQ71-EQ3)/EQ54</f>
        <v>4.1026483614163278E-3</v>
      </c>
      <c r="ER20">
        <f t="shared" ref="ER20:ER36" si="404">(ER71-ER3)/ER54</f>
        <v>4.0513652568986199E-3</v>
      </c>
      <c r="ES20">
        <f t="shared" ref="ES20:ES36" si="405">(ES71-ES3)/ES54</f>
        <v>4.0007231911873831E-3</v>
      </c>
      <c r="ET20">
        <f t="shared" ref="ET20:ET36" si="406">(ET71-ET3)/ET54</f>
        <v>3.9507141512975406E-3</v>
      </c>
      <c r="EU20">
        <f t="shared" ref="EU20:EU36" si="407">(EU71-EU3)/EU54</f>
        <v>3.9013302244063188E-3</v>
      </c>
      <c r="EV20">
        <f t="shared" ref="EV20:EV36" si="408">(EV71-EV3)/EV54</f>
        <v>3.8525635966012439E-3</v>
      </c>
      <c r="EW20">
        <f t="shared" ref="EW20:EW36" si="409">(EW71-EW3)/EW54</f>
        <v>3.8044065516437244E-3</v>
      </c>
      <c r="EX20">
        <f t="shared" ref="EX20:EX36" si="410">(EX71-EX3)/EX54</f>
        <v>3.756851469748179E-3</v>
      </c>
      <c r="EY20">
        <f t="shared" ref="EY20:EY36" si="411">(EY71-EY3)/EY54</f>
        <v>3.7098908263763276E-3</v>
      </c>
      <c r="EZ20">
        <f t="shared" ref="EZ20:EZ36" si="412">(EZ71-EZ3)/EZ54</f>
        <v>3.663517191046628E-3</v>
      </c>
      <c r="FA20">
        <f t="shared" ref="FA20:FA36" si="413">(FA71-FA3)/FA54</f>
        <v>3.6177232261585422E-3</v>
      </c>
      <c r="FB20">
        <f t="shared" ref="FB20:FB36" si="414">(FB71-FB3)/FB54</f>
        <v>3.5725016858315639E-3</v>
      </c>
      <c r="FC20">
        <f t="shared" ref="FC20:FC36" si="415">(FC71-FC3)/FC54</f>
        <v>3.5278454147586679E-3</v>
      </c>
      <c r="FD20">
        <f t="shared" ref="FD20:FD36" si="416">(FD71-FD3)/FD54</f>
        <v>3.4837473470741842E-3</v>
      </c>
      <c r="FE20">
        <f t="shared" ref="FE20:FE36" si="417">(FE71-FE3)/FE54</f>
        <v>3.4402005052357578E-3</v>
      </c>
      <c r="FF20">
        <f t="shared" ref="FF20:FF36" si="418">(FF71-FF3)/FF54</f>
        <v>3.3971979989203096E-3</v>
      </c>
      <c r="FG20">
        <f t="shared" ref="FG20:FG36" si="419">(FG71-FG3)/FG54</f>
        <v>3.3547330239338093E-3</v>
      </c>
      <c r="FH20">
        <f t="shared" ref="FH20:FH36" si="420">(FH71-FH3)/FH54</f>
        <v>3.3127988611346359E-3</v>
      </c>
      <c r="FI20">
        <f t="shared" ref="FI20:FI36" si="421">(FI71-FI3)/FI54</f>
        <v>3.2713888753704511E-3</v>
      </c>
      <c r="FJ20">
        <f t="shared" ref="FJ20:FJ36" si="422">(FJ71-FJ3)/FJ54</f>
        <v>3.2304965144283162E-3</v>
      </c>
      <c r="FK20">
        <f t="shared" ref="FK20:FK36" si="423">(FK71-FK3)/FK54</f>
        <v>3.1901153079979651E-3</v>
      </c>
      <c r="FL20">
        <f t="shared" ref="FL20:FL36" si="424">(FL71-FL3)/FL54</f>
        <v>3.1502388666479917E-3</v>
      </c>
      <c r="FM20">
        <f t="shared" ref="FM20:FM36" si="425">(FM71-FM3)/FM54</f>
        <v>3.110860880814892E-3</v>
      </c>
      <c r="FN20">
        <f t="shared" ref="FN20:FN36" si="426">(FN71-FN3)/FN54</f>
        <v>3.0719751198047041E-3</v>
      </c>
      <c r="FO20">
        <f t="shared" ref="FO20:FO36" si="427">(FO71-FO3)/FO54</f>
        <v>3.0335754308071449E-3</v>
      </c>
      <c r="FP20">
        <f t="shared" ref="FP20:FP36" si="428">(FP71-FP3)/FP54</f>
        <v>2.995655737922054E-3</v>
      </c>
      <c r="FQ20">
        <f t="shared" ref="FQ20:FQ36" si="429">(FQ71-FQ3)/FQ54</f>
        <v>2.9582100411980282E-3</v>
      </c>
      <c r="FR20">
        <f t="shared" ref="FR20:FR36" si="430">(FR71-FR3)/FR54</f>
        <v>2.9212324156830506E-3</v>
      </c>
      <c r="FS20">
        <f t="shared" ref="FS20:FS36" si="431">(FS71-FS3)/FS54</f>
        <v>2.8847170104870147E-3</v>
      </c>
      <c r="FT20">
        <f t="shared" ref="FT20:FT36" si="432">(FT71-FT3)/FT54</f>
        <v>2.8486580478559232E-3</v>
      </c>
      <c r="FU20">
        <f t="shared" ref="FU20:FU36" si="433">(FU71-FU3)/FU54</f>
        <v>2.8130498222577295E-3</v>
      </c>
      <c r="FV20">
        <f t="shared" ref="FV20:FV36" si="434">(FV71-FV3)/FV54</f>
        <v>2.7778866994795036E-3</v>
      </c>
      <c r="FW20">
        <f t="shared" ref="FW20:FW36" si="435">(FW71-FW3)/FW54</f>
        <v>2.7431631157360135E-3</v>
      </c>
      <c r="FX20">
        <f t="shared" ref="FX20:FX36" si="436">(FX71-FX3)/FX54</f>
        <v>2.7088735767893169E-3</v>
      </c>
      <c r="FY20">
        <f t="shared" ref="FY20:FY36" si="437">(FY71-FY3)/FY54</f>
        <v>2.6750126570794452E-3</v>
      </c>
      <c r="FZ20">
        <f t="shared" ref="FZ20:FZ36" si="438">(FZ71-FZ3)/FZ54</f>
        <v>2.6415749988659477E-3</v>
      </c>
      <c r="GA20">
        <f t="shared" ref="GA20:GA36" si="439">(GA71-GA3)/GA54</f>
        <v>2.6085553113801229E-3</v>
      </c>
      <c r="GB20">
        <f t="shared" ref="GB20:GB36" si="440">(GB71-GB3)/GB54</f>
        <v>2.5759483699878682E-3</v>
      </c>
      <c r="GC20">
        <f t="shared" ref="GC20:GC36" si="441">(GC71-GC3)/GC54</f>
        <v>2.5437490153630169E-3</v>
      </c>
      <c r="GD20">
        <f t="shared" ref="GD20:GD36" si="442">(GD71-GD3)/GD54</f>
        <v>2.5119521526709822E-3</v>
      </c>
      <c r="GE20">
        <f t="shared" ref="GE20:GE36" si="443">(GE71-GE3)/GE54</f>
        <v>2.4805527507625992E-3</v>
      </c>
      <c r="GF20">
        <f t="shared" ref="GF20:GF36" si="444">(GF71-GF3)/GF54</f>
        <v>2.4495458413780645E-3</v>
      </c>
      <c r="GG20">
        <f t="shared" ref="GG20:GG36" si="445">(GG71-GG3)/GG54</f>
        <v>2.4189265183608422E-3</v>
      </c>
      <c r="GH20">
        <f t="shared" ref="GH20:GH36" si="446">(GH71-GH3)/GH54</f>
        <v>2.3886899368813276E-3</v>
      </c>
      <c r="GI20">
        <f t="shared" ref="GI20:GI36" si="447">(GI71-GI3)/GI54</f>
        <v>2.3588313126703063E-3</v>
      </c>
      <c r="GJ20">
        <f t="shared" ref="GJ20:GJ36" si="448">(GJ71-GJ3)/GJ54</f>
        <v>2.329345921261927E-3</v>
      </c>
      <c r="GK20">
        <f t="shared" ref="GK20:GK36" si="449">(GK71-GK3)/GK54</f>
        <v>2.3002290972461538E-3</v>
      </c>
      <c r="GL20">
        <f t="shared" ref="GL20:GL36" si="450">(GL71-GL3)/GL54</f>
        <v>2.2714762335305783E-3</v>
      </c>
      <c r="GM20">
        <f t="shared" ref="GM20:GM36" si="451">(GM71-GM3)/GM54</f>
        <v>2.2430827806114496E-3</v>
      </c>
      <c r="GN20">
        <f t="shared" ref="GN20:GN36" si="452">(GN71-GN3)/GN54</f>
        <v>2.2150442458538032E-3</v>
      </c>
      <c r="GO20">
        <f t="shared" ref="GO20:GO36" si="453">(GO71-GO3)/GO54</f>
        <v>2.1873561927806318E-3</v>
      </c>
      <c r="GP20">
        <f t="shared" ref="GP20:GP36" si="454">(GP71-GP3)/GP54</f>
        <v>2.1600142403708777E-3</v>
      </c>
      <c r="GQ20">
        <f t="shared" ref="GQ20:GQ36" si="455">(GQ71-GQ3)/GQ54</f>
        <v>2.1330140623662453E-3</v>
      </c>
      <c r="GR20">
        <f t="shared" ref="GR20:GR36" si="456">(GR71-GR3)/GR54</f>
        <v>2.1063513865866692E-3</v>
      </c>
      <c r="GS20">
        <f t="shared" ref="GS20:GS36" si="457">(GS71-GS3)/GS54</f>
        <v>2.080021994254333E-3</v>
      </c>
      <c r="GT20">
        <f t="shared" ref="GT20:GT36" si="458">(GT71-GT3)/GT54</f>
        <v>2.0540217193261491E-3</v>
      </c>
      <c r="GU20">
        <f t="shared" ref="GU20:GU36" si="459">(GU71-GU3)/GU54</f>
        <v>2.0283464478345727E-3</v>
      </c>
      <c r="GV20">
        <f t="shared" ref="GV20:GV36" si="460">(GV71-GV3)/GV54</f>
        <v>2.0029921172366348E-3</v>
      </c>
      <c r="GW20">
        <f t="shared" ref="GW20:GW36" si="461">(GW71-GW3)/GW54</f>
        <v>1.9779547157711798E-3</v>
      </c>
      <c r="GX20">
        <f t="shared" ref="GX20:GX36" si="462">(GX71-GX3)/GX54</f>
        <v>1.9532302818240366E-3</v>
      </c>
      <c r="GY20">
        <f t="shared" ref="GY20:GY36" si="463">(GY71-GY3)/GY54</f>
        <v>1.9288149033012346E-3</v>
      </c>
      <c r="GZ20">
        <f t="shared" ref="GZ20:GZ36" si="464">(GZ71-GZ3)/GZ54</f>
        <v>1.9047047170099641E-3</v>
      </c>
      <c r="HA20">
        <f t="shared" ref="HA20:HA36" si="465">(HA71-HA3)/HA54</f>
        <v>1.880895908047342E-3</v>
      </c>
      <c r="HB20">
        <f t="shared" ref="HB20:HB36" si="466">(HB71-HB3)/HB54</f>
        <v>1.8573847091967522E-3</v>
      </c>
      <c r="HC20">
        <f t="shared" ref="HC20:HC36" si="467">(HC71-HC3)/HC54</f>
        <v>1.8341674003317875E-3</v>
      </c>
      <c r="HD20">
        <f t="shared" ref="HD20:HD36" si="468">(HD71-HD3)/HD54</f>
        <v>1.811240307827644E-3</v>
      </c>
      <c r="HE20">
        <f t="shared" ref="HE20:HE36" si="469">(HE71-HE3)/HE54</f>
        <v>1.7885998039797956E-3</v>
      </c>
      <c r="HF20">
        <f t="shared" ref="HF20:HF36" si="470">(HF71-HF3)/HF54</f>
        <v>1.7662423064300436E-3</v>
      </c>
      <c r="HG20">
        <f t="shared" ref="HG20:HG36" si="471">(HG71-HG3)/HG54</f>
        <v>1.744164277599669E-3</v>
      </c>
      <c r="HH20">
        <f t="shared" ref="HH20:HH36" si="472">(HH71-HH3)/HH54</f>
        <v>1.72236222412967E-3</v>
      </c>
      <c r="HI20">
        <f t="shared" ref="HI20:HI36" si="473">(HI71-HI3)/HI54</f>
        <v>1.7008326963280473E-3</v>
      </c>
      <c r="HJ20">
        <f t="shared" ref="HJ20:HJ36" si="474">(HJ71-HJ3)/HJ54</f>
        <v>1.6795722876239427E-3</v>
      </c>
      <c r="HK20">
        <f t="shared" ref="HK20:HK36" si="475">(HK71-HK3)/HK54</f>
        <v>1.6585776340286463E-3</v>
      </c>
      <c r="HL20">
        <f t="shared" ref="HL20:HL36" si="476">(HL71-HL3)/HL54</f>
        <v>1.6378454136032894E-3</v>
      </c>
      <c r="HM20">
        <f t="shared" ref="HM20:HM36" si="477">(HM71-HM3)/HM54</f>
        <v>1.6173723459332434E-3</v>
      </c>
      <c r="HN20">
        <f t="shared" ref="HN20:HN36" si="478">(HN71-HN3)/HN54</f>
        <v>1.5971551916090787E-3</v>
      </c>
      <c r="HO20">
        <f t="shared" ref="HO20:HO36" si="479">(HO71-HO3)/HO54</f>
        <v>1.5771907517139639E-3</v>
      </c>
      <c r="HP20">
        <f t="shared" ref="HP20:HP36" si="480">(HP71-HP3)/HP54</f>
        <v>1.557475867317537E-3</v>
      </c>
      <c r="HQ20">
        <f t="shared" ref="HQ20:HQ36" si="481">(HQ71-HQ3)/HQ54</f>
        <v>1.5380074189760729E-3</v>
      </c>
      <c r="HR20">
        <f t="shared" ref="HR20:HR36" si="482">(HR71-HR3)/HR54</f>
        <v>1.5187823262388766E-3</v>
      </c>
      <c r="HS20">
        <f t="shared" ref="HS20:HS36" si="483">(HS71-HS3)/HS54</f>
        <v>1.499797547160886E-3</v>
      </c>
      <c r="HT20">
        <f t="shared" ref="HT20:HT36" si="484">(HT71-HT3)/HT54</f>
        <v>1.4810500778213776E-3</v>
      </c>
      <c r="HU20">
        <f t="shared" ref="HU20:HU36" si="485">(HU71-HU3)/HU54</f>
        <v>1.4625369518486142E-3</v>
      </c>
      <c r="HV20">
        <f t="shared" ref="HV20:HV36" si="486">(HV71-HV3)/HV54</f>
        <v>1.4442552399505093E-3</v>
      </c>
      <c r="HW20">
        <f t="shared" ref="HW20:HW36" si="487">(HW71-HW3)/HW54</f>
        <v>1.4262020494511308E-3</v>
      </c>
      <c r="HX20">
        <f t="shared" ref="HX20:HX36" si="488">(HX71-HX3)/HX54</f>
        <v>1.4083745238329891E-3</v>
      </c>
      <c r="HY20">
        <f t="shared" ref="HY20:HY36" si="489">(HY71-HY3)/HY54</f>
        <v>1.3907698422850779E-3</v>
      </c>
      <c r="HZ20">
        <f t="shared" ref="HZ20:HZ36" si="490">(HZ71-HZ3)/HZ54</f>
        <v>1.3733852192565176E-3</v>
      </c>
      <c r="IA20">
        <f t="shared" ref="IA20:IA36" si="491">(IA71-IA3)/IA54</f>
        <v>1.3562179040158106E-3</v>
      </c>
      <c r="IB20">
        <f t="shared" ref="IB20:IB36" si="492">(IB71-IB3)/IB54</f>
        <v>1.3392651802156097E-3</v>
      </c>
      <c r="IC20">
        <f t="shared" ref="IC20:IC36" si="493">(IC71-IC3)/IC54</f>
        <v>1.3225243654629182E-3</v>
      </c>
      <c r="ID20">
        <f t="shared" ref="ID20:ID36" si="494">(ID71-ID3)/ID54</f>
        <v>1.3059928108946294E-3</v>
      </c>
      <c r="IE20">
        <f t="shared" ref="IE20:IE36" si="495">(IE71-IE3)/IE54</f>
        <v>1.2896679007584511E-3</v>
      </c>
      <c r="IF20">
        <f t="shared" ref="IF20:IF36" si="496">(IF71-IF3)/IF54</f>
        <v>1.2735470519989688E-3</v>
      </c>
      <c r="IG20">
        <f t="shared" ref="IG20:IG36" si="497">(IG71-IG3)/IG54</f>
        <v>1.2576277138489854E-3</v>
      </c>
      <c r="IH20">
        <f t="shared" ref="IH20:IH36" si="498">(IH71-IH3)/IH54</f>
        <v>1.2419073674258762E-3</v>
      </c>
      <c r="II20">
        <f t="shared" ref="II20:II36" si="499">(II71-II3)/II54</f>
        <v>1.2263835253330524E-3</v>
      </c>
      <c r="IJ20">
        <f t="shared" ref="IJ20:IJ36" si="500">(IJ71-IJ3)/IJ54</f>
        <v>1.2110537312663872E-3</v>
      </c>
      <c r="IK20">
        <f t="shared" ref="IK20:IK36" si="501">(IK71-IK3)/IK54</f>
        <v>1.19591555962556E-3</v>
      </c>
      <c r="IL20">
        <f t="shared" ref="IL20:IL36" si="502">(IL71-IL3)/IL54</f>
        <v>1.1809666151302411E-3</v>
      </c>
      <c r="IM20">
        <f t="shared" ref="IM20:IM36" si="503">(IM71-IM3)/IM54</f>
        <v>1.1662045324411173E-3</v>
      </c>
      <c r="IN20">
        <f t="shared" ref="IN20:IN36" si="504">(IN71-IN3)/IN54</f>
        <v>1.1516269757856023E-3</v>
      </c>
      <c r="IO20">
        <f t="shared" ref="IO20:IO36" si="505">(IO71-IO3)/IO54</f>
        <v>1.1372316385882876E-3</v>
      </c>
      <c r="IP20">
        <f t="shared" ref="IP20:IP36" si="506">(IP71-IP3)/IP54</f>
        <v>1.1230162431059344E-3</v>
      </c>
      <c r="IQ20">
        <f t="shared" ref="IQ20:IQ36" si="507">(IQ71-IQ3)/IQ54</f>
        <v>1.108978540067107E-3</v>
      </c>
      <c r="IR20">
        <f t="shared" ref="IR20:IR36" si="508">(IR71-IR3)/IR54</f>
        <v>1.0951163083162685E-3</v>
      </c>
      <c r="IS20">
        <f t="shared" ref="IS20:IS36" si="509">(IS71-IS3)/IS54</f>
        <v>1.0814273544623165E-3</v>
      </c>
      <c r="IT20">
        <f t="shared" ref="IT20:IT36" si="510">(IT71-IT3)/IT54</f>
        <v>1.0679095125315397E-3</v>
      </c>
      <c r="IU20">
        <f t="shared" ref="IU20:IU36" si="511">(IU71-IU3)/IU54</f>
        <v>1.0545606436248912E-3</v>
      </c>
      <c r="IV20">
        <f t="shared" ref="IV20:IV36" si="512">(IV71-IV3)/IV54</f>
        <v>1.0413786355795817E-3</v>
      </c>
    </row>
    <row r="21" spans="1:256" x14ac:dyDescent="0.2">
      <c r="A21" t="s">
        <v>492</v>
      </c>
      <c r="B21">
        <f t="shared" si="258"/>
        <v>2.2041125886305156E-2</v>
      </c>
      <c r="C21">
        <f t="shared" si="259"/>
        <v>2.7440303171106534E-2</v>
      </c>
      <c r="D21">
        <f t="shared" si="260"/>
        <v>2.6697536388034356E-2</v>
      </c>
      <c r="E21">
        <f t="shared" si="261"/>
        <v>2.597932908647993E-2</v>
      </c>
      <c r="F21">
        <f t="shared" si="262"/>
        <v>2.5284271589162161E-2</v>
      </c>
      <c r="G21">
        <f t="shared" si="263"/>
        <v>2.4611087674603384E-2</v>
      </c>
      <c r="H21">
        <f t="shared" si="264"/>
        <v>2.3958618724389397E-2</v>
      </c>
      <c r="I21">
        <f t="shared" si="265"/>
        <v>2.3325810134995177E-2</v>
      </c>
      <c r="J21">
        <f t="shared" si="266"/>
        <v>4.1835278632114822E-2</v>
      </c>
      <c r="K21">
        <f t="shared" si="267"/>
        <v>4.0215584333991874E-2</v>
      </c>
      <c r="L21">
        <f t="shared" si="268"/>
        <v>3.8635901637711113E-2</v>
      </c>
      <c r="M21">
        <f t="shared" si="269"/>
        <v>3.7095283787440918E-2</v>
      </c>
      <c r="N21">
        <f t="shared" si="270"/>
        <v>3.5592808739006263E-2</v>
      </c>
      <c r="O21">
        <f t="shared" si="271"/>
        <v>3.4127578390050747E-2</v>
      </c>
      <c r="P21">
        <f t="shared" si="272"/>
        <v>3.2698717839525403E-2</v>
      </c>
      <c r="Q21">
        <f t="shared" si="273"/>
        <v>3.1305374675161833E-2</v>
      </c>
      <c r="R21">
        <f t="shared" si="274"/>
        <v>2.7637062363816155E-2</v>
      </c>
      <c r="S21">
        <f t="shared" si="275"/>
        <v>2.6371252322750578E-2</v>
      </c>
      <c r="T21">
        <f t="shared" si="276"/>
        <v>2.5137270097193902E-2</v>
      </c>
      <c r="U21">
        <f t="shared" si="277"/>
        <v>2.3934373634621964E-2</v>
      </c>
      <c r="V21">
        <f t="shared" si="278"/>
        <v>2.276183954167162E-2</v>
      </c>
      <c r="W21">
        <f t="shared" si="279"/>
        <v>2.161896253348549E-2</v>
      </c>
      <c r="X21">
        <f t="shared" si="280"/>
        <v>2.0505054902774888E-2</v>
      </c>
      <c r="Y21">
        <f t="shared" si="281"/>
        <v>1.9419446007752372E-2</v>
      </c>
      <c r="Z21">
        <f t="shared" si="282"/>
        <v>5.4670102520454032E-2</v>
      </c>
      <c r="AA21">
        <f t="shared" si="283"/>
        <v>5.398672623894836E-2</v>
      </c>
      <c r="AB21">
        <f t="shared" si="284"/>
        <v>5.3311892160961508E-2</v>
      </c>
      <c r="AC21">
        <f t="shared" si="285"/>
        <v>5.2645493508949495E-2</v>
      </c>
      <c r="AD21">
        <f t="shared" si="286"/>
        <v>5.1987424840087629E-2</v>
      </c>
      <c r="AE21">
        <f t="shared" si="287"/>
        <v>5.1337582029586527E-2</v>
      </c>
      <c r="AF21">
        <f t="shared" si="288"/>
        <v>5.0695862254216698E-2</v>
      </c>
      <c r="AG21">
        <f t="shared" si="289"/>
        <v>5.0062163976038986E-2</v>
      </c>
      <c r="AH21">
        <f t="shared" si="290"/>
        <v>-2.4374509678080969E-2</v>
      </c>
      <c r="AI21">
        <f t="shared" si="291"/>
        <v>-2.3806721342318399E-2</v>
      </c>
      <c r="AJ21">
        <f t="shared" si="292"/>
        <v>-2.3247728171134192E-2</v>
      </c>
      <c r="AK21">
        <f t="shared" si="293"/>
        <v>-2.2697477290294133E-2</v>
      </c>
      <c r="AL21">
        <f t="shared" si="294"/>
        <v>-2.2155913316713439E-2</v>
      </c>
      <c r="AM21">
        <f t="shared" si="295"/>
        <v>-2.1622978288118287E-2</v>
      </c>
      <c r="AN21">
        <f t="shared" si="296"/>
        <v>-2.1098611603546868E-2</v>
      </c>
      <c r="AO21">
        <f t="shared" si="297"/>
        <v>-2.0582749974860044E-2</v>
      </c>
      <c r="AP21">
        <f t="shared" si="298"/>
        <v>8.1681246741366013E-3</v>
      </c>
      <c r="AQ21">
        <f t="shared" si="299"/>
        <v>8.0720029329540751E-3</v>
      </c>
      <c r="AR21">
        <f t="shared" si="300"/>
        <v>7.9985173283926188E-3</v>
      </c>
      <c r="AS21">
        <f t="shared" si="301"/>
        <v>7.9460507220988682E-3</v>
      </c>
      <c r="AT21">
        <f t="shared" si="302"/>
        <v>7.9131404605203674E-3</v>
      </c>
      <c r="AU21">
        <f t="shared" si="303"/>
        <v>7.8984604059930911E-3</v>
      </c>
      <c r="AV21">
        <f t="shared" si="304"/>
        <v>7.9008054514822061E-3</v>
      </c>
      <c r="AW21">
        <f t="shared" si="305"/>
        <v>7.919078124358641E-3</v>
      </c>
      <c r="AX21">
        <f t="shared" si="306"/>
        <v>1.7046212776220288E-2</v>
      </c>
      <c r="AY21">
        <f t="shared" si="307"/>
        <v>1.8220815438882015E-2</v>
      </c>
      <c r="AZ21">
        <f t="shared" si="308"/>
        <v>1.9398608761831877E-2</v>
      </c>
      <c r="BA21">
        <f t="shared" si="309"/>
        <v>2.0579782258548524E-2</v>
      </c>
      <c r="BB21">
        <f t="shared" si="310"/>
        <v>2.1764528723066133E-2</v>
      </c>
      <c r="BC21">
        <f t="shared" si="311"/>
        <v>2.2953043914583839E-2</v>
      </c>
      <c r="BD21">
        <f t="shared" si="312"/>
        <v>2.4145526283816377E-2</v>
      </c>
      <c r="BE21">
        <f t="shared" si="313"/>
        <v>2.5342176734202859E-2</v>
      </c>
      <c r="BF21">
        <f t="shared" si="314"/>
        <v>2.654319841237639E-2</v>
      </c>
      <c r="BG21">
        <f t="shared" si="315"/>
        <v>2.7748796523317798E-2</v>
      </c>
      <c r="BH21">
        <f t="shared" si="316"/>
        <v>2.8959178166434129E-2</v>
      </c>
      <c r="BI21">
        <f t="shared" si="317"/>
        <v>3.0174552189457238E-2</v>
      </c>
      <c r="BJ21">
        <f t="shared" si="318"/>
        <v>3.1395129057587581E-2</v>
      </c>
      <c r="BK21">
        <f t="shared" si="319"/>
        <v>3.2621120477987632E-2</v>
      </c>
      <c r="BL21">
        <f t="shared" si="320"/>
        <v>3.3852738755228443E-2</v>
      </c>
      <c r="BM21">
        <f t="shared" si="321"/>
        <v>3.5090196706509515E-2</v>
      </c>
      <c r="BN21">
        <f t="shared" si="322"/>
        <v>3.6333707589390696E-2</v>
      </c>
      <c r="BO21">
        <f t="shared" si="323"/>
        <v>3.7583468781470251E-2</v>
      </c>
      <c r="BP21">
        <f t="shared" si="324"/>
        <v>3.8839657722408175E-2</v>
      </c>
      <c r="BQ21">
        <f t="shared" si="325"/>
        <v>4.0102453831449537E-2</v>
      </c>
      <c r="BR21">
        <f t="shared" si="326"/>
        <v>4.1372038804376177E-2</v>
      </c>
      <c r="BS21">
        <f t="shared" si="327"/>
        <v>4.2648596590855667E-2</v>
      </c>
      <c r="BT21">
        <f t="shared" si="328"/>
        <v>4.27245741896526E-2</v>
      </c>
      <c r="BU21">
        <f t="shared" si="329"/>
        <v>4.2190517012281936E-2</v>
      </c>
      <c r="BV21">
        <f t="shared" si="330"/>
        <v>4.1663135549628416E-2</v>
      </c>
      <c r="BW21">
        <f t="shared" si="331"/>
        <v>4.1142346355258062E-2</v>
      </c>
      <c r="BX21">
        <f t="shared" si="332"/>
        <v>4.0628067025817338E-2</v>
      </c>
      <c r="BY21">
        <f t="shared" si="333"/>
        <v>4.012021618799462E-2</v>
      </c>
      <c r="BZ21">
        <f t="shared" si="334"/>
        <v>3.9618713485644684E-2</v>
      </c>
      <c r="CA21">
        <f t="shared" si="335"/>
        <v>3.9123479567074126E-2</v>
      </c>
      <c r="CB21">
        <f t="shared" si="336"/>
        <v>3.8634436072485699E-2</v>
      </c>
      <c r="CC21">
        <f t="shared" si="337"/>
        <v>3.815150562157963E-2</v>
      </c>
      <c r="CD21">
        <f t="shared" si="338"/>
        <v>3.767461180130989E-2</v>
      </c>
      <c r="CE21">
        <f t="shared" si="339"/>
        <v>3.7203679153793509E-2</v>
      </c>
      <c r="CF21">
        <f t="shared" si="340"/>
        <v>3.6738633164371093E-2</v>
      </c>
      <c r="CG21">
        <f t="shared" si="341"/>
        <v>3.6279400249816449E-2</v>
      </c>
      <c r="CH21">
        <f t="shared" si="342"/>
        <v>3.5825907746693739E-2</v>
      </c>
      <c r="CI21">
        <f t="shared" si="343"/>
        <v>3.5378083899860066E-2</v>
      </c>
      <c r="CJ21">
        <f t="shared" si="344"/>
        <v>3.4935857851111821E-2</v>
      </c>
      <c r="CK21">
        <f t="shared" si="345"/>
        <v>3.4499159627972918E-2</v>
      </c>
      <c r="CL21">
        <f t="shared" si="346"/>
        <v>3.4067920132623254E-2</v>
      </c>
      <c r="CM21">
        <f t="shared" si="347"/>
        <v>3.364207113096547E-2</v>
      </c>
      <c r="CN21">
        <f t="shared" si="348"/>
        <v>3.3221545241828396E-2</v>
      </c>
      <c r="CO21">
        <f t="shared" si="349"/>
        <v>3.2806275926305542E-2</v>
      </c>
      <c r="CP21">
        <f t="shared" si="350"/>
        <v>3.2396197477226718E-2</v>
      </c>
      <c r="CQ21">
        <f t="shared" si="351"/>
        <v>3.1991245008761382E-2</v>
      </c>
      <c r="CR21">
        <f t="shared" si="352"/>
        <v>3.1591354446151867E-2</v>
      </c>
      <c r="CS21">
        <f t="shared" si="353"/>
        <v>3.1196462515574962E-2</v>
      </c>
      <c r="CT21">
        <f t="shared" si="354"/>
        <v>3.0806506734130278E-2</v>
      </c>
      <c r="CU21">
        <f t="shared" si="355"/>
        <v>3.0421425399953649E-2</v>
      </c>
      <c r="CV21">
        <f t="shared" si="356"/>
        <v>3.0041157582454226E-2</v>
      </c>
      <c r="CW21">
        <f t="shared" si="357"/>
        <v>2.9665643112673546E-2</v>
      </c>
      <c r="CX21">
        <f t="shared" si="358"/>
        <v>2.9294822573765124E-2</v>
      </c>
      <c r="CY21">
        <f t="shared" si="359"/>
        <v>2.8928637291593062E-2</v>
      </c>
      <c r="CZ21">
        <f t="shared" si="360"/>
        <v>2.8567029325448145E-2</v>
      </c>
      <c r="DA21">
        <f t="shared" si="361"/>
        <v>2.820994145888004E-2</v>
      </c>
      <c r="DB21">
        <f t="shared" si="362"/>
        <v>2.7857317190644038E-2</v>
      </c>
      <c r="DC21">
        <f t="shared" si="363"/>
        <v>2.7509100725760981E-2</v>
      </c>
      <c r="DD21">
        <f t="shared" si="364"/>
        <v>2.7165236966688967E-2</v>
      </c>
      <c r="DE21">
        <f t="shared" si="365"/>
        <v>2.6825671504605353E-2</v>
      </c>
      <c r="DF21">
        <f t="shared" si="366"/>
        <v>2.6490350610797787E-2</v>
      </c>
      <c r="DG21">
        <f t="shared" si="367"/>
        <v>2.6159221228162811E-2</v>
      </c>
      <c r="DH21">
        <f t="shared" si="368"/>
        <v>2.5832230962810777E-2</v>
      </c>
      <c r="DI21">
        <f t="shared" si="369"/>
        <v>2.550932807577564E-2</v>
      </c>
      <c r="DJ21">
        <f t="shared" si="370"/>
        <v>2.5190461474828441E-2</v>
      </c>
      <c r="DK21">
        <f t="shared" si="371"/>
        <v>2.4875580706393084E-2</v>
      </c>
      <c r="DL21">
        <f t="shared" si="372"/>
        <v>2.4564635947563175E-2</v>
      </c>
      <c r="DM21">
        <f t="shared" si="373"/>
        <v>2.4257577998218639E-2</v>
      </c>
      <c r="DN21">
        <f t="shared" si="374"/>
        <v>2.3954358273240904E-2</v>
      </c>
      <c r="DO21">
        <f t="shared" si="375"/>
        <v>2.3654928794825392E-2</v>
      </c>
      <c r="DP21">
        <f t="shared" si="376"/>
        <v>2.3359242184890071E-2</v>
      </c>
      <c r="DQ21">
        <f t="shared" si="377"/>
        <v>2.3067251657578947E-2</v>
      </c>
      <c r="DR21">
        <f t="shared" si="378"/>
        <v>2.2778911011859204E-2</v>
      </c>
      <c r="DS21">
        <f t="shared" si="379"/>
        <v>2.2494174624210959E-2</v>
      </c>
      <c r="DT21">
        <f t="shared" si="380"/>
        <v>2.2212997441408321E-2</v>
      </c>
      <c r="DU21">
        <f t="shared" si="381"/>
        <v>2.1935334973390719E-2</v>
      </c>
      <c r="DV21">
        <f t="shared" si="382"/>
        <v>2.1661143286223337E-2</v>
      </c>
      <c r="DW21">
        <f t="shared" si="383"/>
        <v>2.1390378995145544E-2</v>
      </c>
      <c r="DX21">
        <f t="shared" si="384"/>
        <v>2.1122999257706221E-2</v>
      </c>
      <c r="DY21">
        <f t="shared" si="385"/>
        <v>2.0858961766984895E-2</v>
      </c>
      <c r="DZ21">
        <f t="shared" si="386"/>
        <v>2.0598224744897586E-2</v>
      </c>
      <c r="EA21">
        <f t="shared" si="387"/>
        <v>2.0340746935586362E-2</v>
      </c>
      <c r="EB21">
        <f t="shared" si="388"/>
        <v>2.0086487598891534E-2</v>
      </c>
      <c r="EC21">
        <f t="shared" si="389"/>
        <v>1.9835406503905383E-2</v>
      </c>
      <c r="ED21">
        <f t="shared" si="390"/>
        <v>1.9587463922606563E-2</v>
      </c>
      <c r="EE21">
        <f t="shared" si="391"/>
        <v>1.9342620623573982E-2</v>
      </c>
      <c r="EF21">
        <f t="shared" si="392"/>
        <v>1.9100837865779308E-2</v>
      </c>
      <c r="EG21">
        <f t="shared" si="393"/>
        <v>1.8862077392457065E-2</v>
      </c>
      <c r="EH21">
        <f t="shared" si="394"/>
        <v>1.862630142505135E-2</v>
      </c>
      <c r="EI21">
        <f t="shared" si="395"/>
        <v>1.8393472657238209E-2</v>
      </c>
      <c r="EJ21">
        <f t="shared" si="396"/>
        <v>1.8163554249022728E-2</v>
      </c>
      <c r="EK21">
        <f t="shared" si="397"/>
        <v>1.7936509820909941E-2</v>
      </c>
      <c r="EL21">
        <f t="shared" si="398"/>
        <v>1.7712303448148569E-2</v>
      </c>
      <c r="EM21">
        <f t="shared" si="399"/>
        <v>1.7490899655046709E-2</v>
      </c>
      <c r="EN21">
        <f t="shared" si="400"/>
        <v>1.7272263409358623E-2</v>
      </c>
      <c r="EO21">
        <f t="shared" si="401"/>
        <v>1.7056360116741644E-2</v>
      </c>
      <c r="EP21">
        <f t="shared" si="402"/>
        <v>1.6843155615282369E-2</v>
      </c>
      <c r="EQ21">
        <f t="shared" si="403"/>
        <v>1.663261617009134E-2</v>
      </c>
      <c r="ER21">
        <f t="shared" si="404"/>
        <v>1.6424708467965198E-2</v>
      </c>
      <c r="ES21">
        <f t="shared" si="405"/>
        <v>1.6219399612115638E-2</v>
      </c>
      <c r="ET21">
        <f t="shared" si="406"/>
        <v>1.6016657116964195E-2</v>
      </c>
      <c r="EU21">
        <f t="shared" si="407"/>
        <v>1.5816448903002146E-2</v>
      </c>
      <c r="EV21">
        <f t="shared" si="408"/>
        <v>1.561874329171462E-2</v>
      </c>
      <c r="EW21">
        <f t="shared" si="409"/>
        <v>1.5423509000568192E-2</v>
      </c>
      <c r="EX21">
        <f t="shared" si="410"/>
        <v>1.5230715138061091E-2</v>
      </c>
      <c r="EY21">
        <f t="shared" si="411"/>
        <v>1.5040331198835322E-2</v>
      </c>
      <c r="EZ21">
        <f t="shared" si="412"/>
        <v>1.4852327058849878E-2</v>
      </c>
      <c r="FA21">
        <f t="shared" si="413"/>
        <v>1.4666672970614258E-2</v>
      </c>
      <c r="FB21">
        <f t="shared" si="414"/>
        <v>1.4483339558481578E-2</v>
      </c>
      <c r="FC21">
        <f t="shared" si="415"/>
        <v>1.4302297814000563E-2</v>
      </c>
      <c r="FD21">
        <f t="shared" si="416"/>
        <v>1.4123519091325554E-2</v>
      </c>
      <c r="FE21">
        <f t="shared" si="417"/>
        <v>1.394697510268399E-2</v>
      </c>
      <c r="FF21">
        <f t="shared" si="418"/>
        <v>1.3772637913900442E-2</v>
      </c>
      <c r="FG21">
        <f t="shared" si="419"/>
        <v>1.3600479939976684E-2</v>
      </c>
      <c r="FH21">
        <f t="shared" si="420"/>
        <v>1.3430473940726972E-2</v>
      </c>
      <c r="FI21">
        <f t="shared" si="421"/>
        <v>1.3262593016467882E-2</v>
      </c>
      <c r="FJ21">
        <f t="shared" si="422"/>
        <v>1.3096810603762032E-2</v>
      </c>
      <c r="FK21">
        <f t="shared" si="423"/>
        <v>1.2933100471215009E-2</v>
      </c>
      <c r="FL21">
        <f t="shared" si="424"/>
        <v>1.2771436715324824E-2</v>
      </c>
      <c r="FM21">
        <f t="shared" si="425"/>
        <v>1.2611793756383261E-2</v>
      </c>
      <c r="FN21">
        <f t="shared" si="426"/>
        <v>1.2454146334428474E-2</v>
      </c>
      <c r="FO21">
        <f t="shared" si="427"/>
        <v>1.2298469505248122E-2</v>
      </c>
      <c r="FP21">
        <f t="shared" si="428"/>
        <v>1.2144738636432516E-2</v>
      </c>
      <c r="FQ21">
        <f t="shared" si="429"/>
        <v>1.1992929403477116E-2</v>
      </c>
      <c r="FR21">
        <f t="shared" si="430"/>
        <v>1.1843017785933652E-2</v>
      </c>
      <c r="FS21">
        <f t="shared" si="431"/>
        <v>1.1694980063609483E-2</v>
      </c>
      <c r="FT21">
        <f t="shared" si="432"/>
        <v>1.1548792812814368E-2</v>
      </c>
      <c r="FU21">
        <f t="shared" si="433"/>
        <v>1.1404432902654194E-2</v>
      </c>
      <c r="FV21">
        <f t="shared" si="434"/>
        <v>1.126187749137102E-2</v>
      </c>
      <c r="FW21">
        <f t="shared" si="435"/>
        <v>1.1121104022728878E-2</v>
      </c>
      <c r="FX21">
        <f t="shared" si="436"/>
        <v>1.0982090222444762E-2</v>
      </c>
      <c r="FY21">
        <f t="shared" si="437"/>
        <v>1.0844814094664201E-2</v>
      </c>
      <c r="FZ21">
        <f t="shared" si="438"/>
        <v>1.0709253918480899E-2</v>
      </c>
      <c r="GA21">
        <f t="shared" si="439"/>
        <v>1.0575388244499884E-2</v>
      </c>
      <c r="GB21">
        <f t="shared" si="440"/>
        <v>1.0443195891443635E-2</v>
      </c>
      <c r="GC21">
        <f t="shared" si="441"/>
        <v>1.0312655942800586E-2</v>
      </c>
      <c r="GD21">
        <f t="shared" si="442"/>
        <v>1.0183747743515581E-2</v>
      </c>
      <c r="GE21">
        <f t="shared" si="443"/>
        <v>1.0056450896721636E-2</v>
      </c>
      <c r="GF21">
        <f t="shared" si="444"/>
        <v>9.9307452605126197E-3</v>
      </c>
      <c r="GG21">
        <f t="shared" si="445"/>
        <v>9.8066109447562111E-3</v>
      </c>
      <c r="GH21">
        <f t="shared" si="446"/>
        <v>9.6840283079467574E-3</v>
      </c>
      <c r="GI21">
        <f t="shared" si="447"/>
        <v>9.5629779540974177E-3</v>
      </c>
      <c r="GJ21">
        <f t="shared" si="448"/>
        <v>9.4434407296712045E-3</v>
      </c>
      <c r="GK21">
        <f t="shared" si="449"/>
        <v>9.3253977205503095E-3</v>
      </c>
      <c r="GL21">
        <f t="shared" si="450"/>
        <v>9.2088302490434312E-3</v>
      </c>
      <c r="GM21">
        <f t="shared" si="451"/>
        <v>9.0937198709303835E-3</v>
      </c>
      <c r="GN21">
        <f t="shared" si="452"/>
        <v>8.9800483725437589E-3</v>
      </c>
      <c r="GO21">
        <f t="shared" si="453"/>
        <v>8.8677977678869643E-3</v>
      </c>
      <c r="GP21">
        <f t="shared" si="454"/>
        <v>8.7569502957883794E-3</v>
      </c>
      <c r="GQ21">
        <f t="shared" si="455"/>
        <v>8.6474884170910198E-3</v>
      </c>
      <c r="GR21">
        <f t="shared" si="456"/>
        <v>8.539394811877387E-3</v>
      </c>
      <c r="GS21">
        <f t="shared" si="457"/>
        <v>8.4326523767289212E-3</v>
      </c>
      <c r="GT21">
        <f t="shared" si="458"/>
        <v>8.3272442220198133E-3</v>
      </c>
      <c r="GU21">
        <f t="shared" si="459"/>
        <v>8.2231536692445647E-3</v>
      </c>
      <c r="GV21">
        <f t="shared" si="460"/>
        <v>8.120364248379008E-3</v>
      </c>
      <c r="GW21">
        <f t="shared" si="461"/>
        <v>8.0188596952742719E-3</v>
      </c>
      <c r="GX21">
        <f t="shared" si="462"/>
        <v>7.918623949083348E-3</v>
      </c>
      <c r="GY21">
        <f t="shared" si="463"/>
        <v>7.819641149719803E-3</v>
      </c>
      <c r="GZ21">
        <f t="shared" si="464"/>
        <v>7.7218956353483081E-3</v>
      </c>
      <c r="HA21">
        <f t="shared" si="465"/>
        <v>7.6253719399064553E-3</v>
      </c>
      <c r="HB21">
        <f t="shared" si="466"/>
        <v>7.5300547906576257E-3</v>
      </c>
      <c r="HC21">
        <f t="shared" si="467"/>
        <v>7.4359291057744083E-3</v>
      </c>
      <c r="HD21">
        <f t="shared" si="468"/>
        <v>7.3429799919522256E-3</v>
      </c>
      <c r="HE21">
        <f t="shared" si="469"/>
        <v>7.2511927420528255E-3</v>
      </c>
      <c r="HF21">
        <f t="shared" si="470"/>
        <v>7.1605528327771673E-3</v>
      </c>
      <c r="HG21">
        <f t="shared" si="471"/>
        <v>7.0710459223674469E-3</v>
      </c>
      <c r="HH21">
        <f t="shared" si="472"/>
        <v>6.9826578483378589E-3</v>
      </c>
      <c r="HI21">
        <f t="shared" si="473"/>
        <v>6.8953746252336297E-3</v>
      </c>
      <c r="HJ21">
        <f t="shared" si="474"/>
        <v>6.8091824424182049E-3</v>
      </c>
      <c r="HK21">
        <f t="shared" si="475"/>
        <v>6.7240676618879778E-3</v>
      </c>
      <c r="HL21">
        <f t="shared" si="476"/>
        <v>6.6400168161143804E-3</v>
      </c>
      <c r="HM21">
        <f t="shared" si="477"/>
        <v>6.5570166059129463E-3</v>
      </c>
      <c r="HN21">
        <f t="shared" si="478"/>
        <v>6.4750538983390339E-3</v>
      </c>
      <c r="HO21">
        <f t="shared" si="479"/>
        <v>6.3941157246097946E-3</v>
      </c>
      <c r="HP21">
        <f t="shared" si="480"/>
        <v>6.3141892780521737E-3</v>
      </c>
      <c r="HQ21">
        <f t="shared" si="481"/>
        <v>6.2352619120765174E-3</v>
      </c>
      <c r="HR21">
        <f t="shared" si="482"/>
        <v>6.1573211381755642E-3</v>
      </c>
      <c r="HS21">
        <f t="shared" si="483"/>
        <v>6.08035462394837E-3</v>
      </c>
      <c r="HT21">
        <f t="shared" si="484"/>
        <v>6.0043501911490101E-3</v>
      </c>
      <c r="HU21">
        <f t="shared" si="485"/>
        <v>5.9292958137596493E-3</v>
      </c>
      <c r="HV21">
        <f t="shared" si="486"/>
        <v>5.8551796160876577E-3</v>
      </c>
      <c r="HW21">
        <f t="shared" si="487"/>
        <v>5.7819898708865612E-3</v>
      </c>
      <c r="HX21">
        <f t="shared" si="488"/>
        <v>5.7097149975004809E-3</v>
      </c>
      <c r="HY21">
        <f t="shared" si="489"/>
        <v>5.638343560031722E-3</v>
      </c>
      <c r="HZ21">
        <f t="shared" si="490"/>
        <v>5.5678642655313301E-3</v>
      </c>
      <c r="IA21">
        <f t="shared" si="491"/>
        <v>5.4982659622121897E-3</v>
      </c>
      <c r="IB21">
        <f t="shared" si="492"/>
        <v>5.4295376376845336E-3</v>
      </c>
      <c r="IC21">
        <f t="shared" si="493"/>
        <v>5.3616684172134721E-3</v>
      </c>
      <c r="ID21">
        <f t="shared" si="494"/>
        <v>5.2946475619982999E-3</v>
      </c>
      <c r="IE21">
        <f t="shared" si="495"/>
        <v>5.228464467473326E-3</v>
      </c>
      <c r="IF21">
        <f t="shared" si="496"/>
        <v>5.1631086616299119E-3</v>
      </c>
      <c r="IG21">
        <f t="shared" si="497"/>
        <v>5.0985698033595428E-3</v>
      </c>
      <c r="IH21">
        <f t="shared" si="498"/>
        <v>5.0348376808175502E-3</v>
      </c>
      <c r="II21">
        <f t="shared" si="499"/>
        <v>4.9719022098073332E-3</v>
      </c>
      <c r="IJ21">
        <f t="shared" si="500"/>
        <v>4.9097534321847379E-3</v>
      </c>
      <c r="IK21">
        <f t="shared" si="501"/>
        <v>4.8483815142824297E-3</v>
      </c>
      <c r="IL21">
        <f t="shared" si="502"/>
        <v>4.7877767453538998E-3</v>
      </c>
      <c r="IM21">
        <f t="shared" si="503"/>
        <v>4.7279295360369792E-3</v>
      </c>
      <c r="IN21">
        <f t="shared" si="504"/>
        <v>4.6688304168365112E-3</v>
      </c>
      <c r="IO21">
        <f t="shared" si="505"/>
        <v>4.6104700366260574E-3</v>
      </c>
      <c r="IP21">
        <f t="shared" si="506"/>
        <v>4.5528391611682319E-3</v>
      </c>
      <c r="IQ21">
        <f t="shared" si="507"/>
        <v>4.4959286716536265E-3</v>
      </c>
      <c r="IR21">
        <f t="shared" si="508"/>
        <v>4.4397295632579549E-3</v>
      </c>
      <c r="IS21">
        <f t="shared" si="509"/>
        <v>4.384232943717226E-3</v>
      </c>
      <c r="IT21">
        <f t="shared" si="510"/>
        <v>4.3294300319207555E-3</v>
      </c>
      <c r="IU21">
        <f t="shared" si="511"/>
        <v>4.2753121565217485E-3</v>
      </c>
      <c r="IV21">
        <f t="shared" si="512"/>
        <v>4.2218707545652271E-3</v>
      </c>
    </row>
    <row r="22" spans="1:256" x14ac:dyDescent="0.2">
      <c r="A22" t="s">
        <v>493</v>
      </c>
      <c r="B22">
        <f t="shared" si="258"/>
        <v>-4.305852192661732E-2</v>
      </c>
      <c r="C22">
        <f t="shared" si="259"/>
        <v>4.5324516924473347E-2</v>
      </c>
      <c r="D22">
        <f t="shared" si="260"/>
        <v>4.4757960462917433E-2</v>
      </c>
      <c r="E22">
        <f t="shared" si="261"/>
        <v>4.419848595713096E-2</v>
      </c>
      <c r="F22">
        <f t="shared" si="262"/>
        <v>4.3646004882666824E-2</v>
      </c>
      <c r="G22">
        <f t="shared" si="263"/>
        <v>4.3100429821633493E-2</v>
      </c>
      <c r="H22">
        <f t="shared" si="264"/>
        <v>4.2561674448863072E-2</v>
      </c>
      <c r="I22">
        <f t="shared" si="265"/>
        <v>4.2029653518252288E-2</v>
      </c>
      <c r="J22">
        <f t="shared" si="266"/>
        <v>-1.5903097394827314E-3</v>
      </c>
      <c r="K22">
        <f t="shared" si="267"/>
        <v>-5.4323093651834629E-4</v>
      </c>
      <c r="L22">
        <f t="shared" si="268"/>
        <v>4.4081829629675216E-4</v>
      </c>
      <c r="M22">
        <f t="shared" si="269"/>
        <v>1.3631102026309793E-3</v>
      </c>
      <c r="N22">
        <f t="shared" si="270"/>
        <v>2.2249839644510995E-3</v>
      </c>
      <c r="O22">
        <f t="shared" si="271"/>
        <v>3.0278357990219384E-3</v>
      </c>
      <c r="P22">
        <f t="shared" si="272"/>
        <v>3.7731098779115292E-3</v>
      </c>
      <c r="Q22">
        <f t="shared" si="273"/>
        <v>4.462290008399805E-3</v>
      </c>
      <c r="R22">
        <f t="shared" si="274"/>
        <v>-2.9842436601043042E-2</v>
      </c>
      <c r="S22">
        <f t="shared" si="275"/>
        <v>-2.9300968831001854E-2</v>
      </c>
      <c r="T22">
        <f t="shared" si="276"/>
        <v>-2.8794664034851924E-2</v>
      </c>
      <c r="U22">
        <f t="shared" si="277"/>
        <v>-2.8322005334745548E-2</v>
      </c>
      <c r="V22">
        <f t="shared" si="278"/>
        <v>-2.788149948698888E-2</v>
      </c>
      <c r="W22">
        <f t="shared" si="279"/>
        <v>-2.7471679993141911E-2</v>
      </c>
      <c r="X22">
        <f t="shared" si="280"/>
        <v>-2.7091109728866979E-2</v>
      </c>
      <c r="Y22">
        <f t="shared" si="281"/>
        <v>-2.6738383141697623E-2</v>
      </c>
      <c r="Z22">
        <f t="shared" si="282"/>
        <v>3.0179092768880754E-3</v>
      </c>
      <c r="AA22">
        <f t="shared" si="283"/>
        <v>3.8117063278494401E-3</v>
      </c>
      <c r="AB22">
        <f t="shared" si="284"/>
        <v>4.5643458620129636E-3</v>
      </c>
      <c r="AC22">
        <f t="shared" si="285"/>
        <v>5.2769116528606271E-3</v>
      </c>
      <c r="AD22">
        <f t="shared" si="286"/>
        <v>5.9504869934707714E-3</v>
      </c>
      <c r="AE22">
        <f t="shared" si="287"/>
        <v>6.5861517155278212E-3</v>
      </c>
      <c r="AF22">
        <f t="shared" si="288"/>
        <v>7.1849795677143783E-3</v>
      </c>
      <c r="AG22">
        <f t="shared" si="289"/>
        <v>7.7480359192091284E-3</v>
      </c>
      <c r="AH22">
        <f t="shared" si="290"/>
        <v>2.6687304559800239E-2</v>
      </c>
      <c r="AI22">
        <f t="shared" si="291"/>
        <v>2.6159349879259785E-2</v>
      </c>
      <c r="AJ22">
        <f t="shared" si="292"/>
        <v>2.5642232145604571E-2</v>
      </c>
      <c r="AK22">
        <f t="shared" si="293"/>
        <v>2.5135885012320024E-2</v>
      </c>
      <c r="AL22">
        <f t="shared" si="294"/>
        <v>2.4640241255937601E-2</v>
      </c>
      <c r="AM22">
        <f t="shared" si="295"/>
        <v>2.4155232958463269E-2</v>
      </c>
      <c r="AN22">
        <f t="shared" si="296"/>
        <v>2.3680791676869685E-2</v>
      </c>
      <c r="AO22">
        <f t="shared" si="297"/>
        <v>2.3216848600148398E-2</v>
      </c>
      <c r="AP22">
        <f t="shared" si="298"/>
        <v>4.1114604427720247E-2</v>
      </c>
      <c r="AQ22">
        <f t="shared" si="299"/>
        <v>4.0600671872373741E-2</v>
      </c>
      <c r="AR22">
        <f t="shared" si="300"/>
        <v>4.009316347396906E-2</v>
      </c>
      <c r="AS22">
        <f t="shared" si="301"/>
        <v>3.959199893054445E-2</v>
      </c>
      <c r="AT22">
        <f t="shared" si="302"/>
        <v>3.9097098943912646E-2</v>
      </c>
      <c r="AU22">
        <f t="shared" si="303"/>
        <v>3.8608385207113738E-2</v>
      </c>
      <c r="AV22">
        <f t="shared" si="304"/>
        <v>3.8125780392024813E-2</v>
      </c>
      <c r="AW22">
        <f t="shared" si="305"/>
        <v>3.7649208137124503E-2</v>
      </c>
      <c r="AX22">
        <f t="shared" si="306"/>
        <v>1.2137999777341469E-2</v>
      </c>
      <c r="AY22">
        <f t="shared" si="307"/>
        <v>1.4169850581200405E-2</v>
      </c>
      <c r="AZ22">
        <f t="shared" si="308"/>
        <v>1.6258900916929931E-2</v>
      </c>
      <c r="BA22">
        <f t="shared" si="309"/>
        <v>1.8408268387466654E-2</v>
      </c>
      <c r="BB22">
        <f t="shared" si="310"/>
        <v>2.0621229025901855E-2</v>
      </c>
      <c r="BC22">
        <f t="shared" si="311"/>
        <v>2.2901227219858444E-2</v>
      </c>
      <c r="BD22">
        <f t="shared" si="312"/>
        <v>2.5251886411621183E-2</v>
      </c>
      <c r="BE22">
        <f t="shared" si="313"/>
        <v>2.7677020624810089E-2</v>
      </c>
      <c r="BF22">
        <f t="shared" si="314"/>
        <v>3.0180646874553508E-2</v>
      </c>
      <c r="BG22">
        <f t="shared" si="315"/>
        <v>3.2766998524435563E-2</v>
      </c>
      <c r="BH22">
        <f t="shared" si="316"/>
        <v>3.4423917681108959E-2</v>
      </c>
      <c r="BI22">
        <f t="shared" si="317"/>
        <v>3.3993618710095097E-2</v>
      </c>
      <c r="BJ22">
        <f t="shared" si="318"/>
        <v>3.3568698476218906E-2</v>
      </c>
      <c r="BK22">
        <f t="shared" si="319"/>
        <v>3.3149089745266168E-2</v>
      </c>
      <c r="BL22">
        <f t="shared" si="320"/>
        <v>3.2734726123450339E-2</v>
      </c>
      <c r="BM22">
        <f t="shared" si="321"/>
        <v>3.2325542046907206E-2</v>
      </c>
      <c r="BN22">
        <f t="shared" si="322"/>
        <v>3.1921472771320868E-2</v>
      </c>
      <c r="BO22">
        <f t="shared" si="323"/>
        <v>3.1522454361679351E-2</v>
      </c>
      <c r="BP22">
        <f t="shared" si="324"/>
        <v>3.1128423682158356E-2</v>
      </c>
      <c r="BQ22">
        <f t="shared" si="325"/>
        <v>3.0739318386131375E-2</v>
      </c>
      <c r="BR22">
        <f t="shared" si="326"/>
        <v>3.0355076906304734E-2</v>
      </c>
      <c r="BS22">
        <f t="shared" si="327"/>
        <v>2.9975638444975927E-2</v>
      </c>
      <c r="BT22">
        <f t="shared" si="328"/>
        <v>2.9600942964413724E-2</v>
      </c>
      <c r="BU22">
        <f t="shared" si="329"/>
        <v>2.9230931177358553E-2</v>
      </c>
      <c r="BV22">
        <f t="shared" si="330"/>
        <v>2.8865544537641574E-2</v>
      </c>
      <c r="BW22">
        <f t="shared" si="331"/>
        <v>2.8504725230921058E-2</v>
      </c>
      <c r="BX22">
        <f t="shared" si="332"/>
        <v>2.814841616553454E-2</v>
      </c>
      <c r="BY22">
        <f t="shared" si="333"/>
        <v>2.7796560963465354E-2</v>
      </c>
      <c r="BZ22">
        <f t="shared" si="334"/>
        <v>2.7449103951422037E-2</v>
      </c>
      <c r="CA22">
        <f t="shared" si="335"/>
        <v>2.7105990152029257E-2</v>
      </c>
      <c r="CB22">
        <f t="shared" si="336"/>
        <v>2.6767165275128891E-2</v>
      </c>
      <c r="CC22">
        <f t="shared" si="337"/>
        <v>2.6432575709189776E-2</v>
      </c>
      <c r="CD22">
        <f t="shared" si="338"/>
        <v>2.610216851282491E-2</v>
      </c>
      <c r="CE22">
        <f t="shared" si="339"/>
        <v>2.5775891406414599E-2</v>
      </c>
      <c r="CF22">
        <f t="shared" si="340"/>
        <v>2.5453692763834412E-2</v>
      </c>
      <c r="CG22">
        <f t="shared" si="341"/>
        <v>2.5135521604286483E-2</v>
      </c>
      <c r="CH22">
        <f t="shared" si="342"/>
        <v>2.4821327584232899E-2</v>
      </c>
      <c r="CI22">
        <f t="shared" si="343"/>
        <v>2.4511060989429991E-2</v>
      </c>
      <c r="CJ22">
        <f t="shared" si="344"/>
        <v>2.4204672727062115E-2</v>
      </c>
      <c r="CK22">
        <f t="shared" si="345"/>
        <v>2.3902114317973844E-2</v>
      </c>
      <c r="CL22">
        <f t="shared" si="346"/>
        <v>2.3603337888999175E-2</v>
      </c>
      <c r="CM22">
        <f t="shared" si="347"/>
        <v>2.330829616538669E-2</v>
      </c>
      <c r="CN22">
        <f t="shared" si="348"/>
        <v>2.3016942463319357E-2</v>
      </c>
      <c r="CO22">
        <f t="shared" si="349"/>
        <v>2.2729230682527867E-2</v>
      </c>
      <c r="CP22">
        <f t="shared" si="350"/>
        <v>2.2445115298996267E-2</v>
      </c>
      <c r="CQ22">
        <f t="shared" si="351"/>
        <v>2.216455135775881E-2</v>
      </c>
      <c r="CR22">
        <f t="shared" si="352"/>
        <v>2.1887494465786826E-2</v>
      </c>
      <c r="CS22">
        <f t="shared" si="353"/>
        <v>2.1613900784964491E-2</v>
      </c>
      <c r="CT22">
        <f t="shared" si="354"/>
        <v>2.1343727025152436E-2</v>
      </c>
      <c r="CU22">
        <f t="shared" si="355"/>
        <v>2.1076930437338028E-2</v>
      </c>
      <c r="CV22">
        <f t="shared" si="356"/>
        <v>2.0813468806871304E-2</v>
      </c>
      <c r="CW22">
        <f t="shared" si="357"/>
        <v>2.0553300446785418E-2</v>
      </c>
      <c r="CX22">
        <f t="shared" si="358"/>
        <v>2.0296384191200601E-2</v>
      </c>
      <c r="CY22">
        <f t="shared" si="359"/>
        <v>2.0042679388810592E-2</v>
      </c>
      <c r="CZ22">
        <f t="shared" si="360"/>
        <v>1.9792145896450463E-2</v>
      </c>
      <c r="DA22">
        <f t="shared" si="361"/>
        <v>1.9544744072744834E-2</v>
      </c>
      <c r="DB22">
        <f t="shared" si="362"/>
        <v>1.9300434771835528E-2</v>
      </c>
      <c r="DC22">
        <f t="shared" si="363"/>
        <v>1.9059179337187582E-2</v>
      </c>
      <c r="DD22">
        <f t="shared" si="364"/>
        <v>1.8820939595472742E-2</v>
      </c>
      <c r="DE22">
        <f t="shared" si="365"/>
        <v>1.8585677850529336E-2</v>
      </c>
      <c r="DF22">
        <f t="shared" si="366"/>
        <v>1.8353356877397718E-2</v>
      </c>
      <c r="DG22">
        <f t="shared" si="367"/>
        <v>1.8123939916430243E-2</v>
      </c>
      <c r="DH22">
        <f t="shared" si="368"/>
        <v>1.7897390667474866E-2</v>
      </c>
      <c r="DI22">
        <f t="shared" si="369"/>
        <v>1.7673673284131431E-2</v>
      </c>
      <c r="DJ22">
        <f t="shared" si="370"/>
        <v>1.7452752368079784E-2</v>
      </c>
      <c r="DK22">
        <f t="shared" si="371"/>
        <v>1.723459296347879E-2</v>
      </c>
      <c r="DL22">
        <f t="shared" si="372"/>
        <v>1.7019160551435309E-2</v>
      </c>
      <c r="DM22">
        <f t="shared" si="373"/>
        <v>1.6806421044542365E-2</v>
      </c>
      <c r="DN22">
        <f t="shared" si="374"/>
        <v>1.6596340781485586E-2</v>
      </c>
      <c r="DO22">
        <f t="shared" si="375"/>
        <v>1.6388886521717015E-2</v>
      </c>
      <c r="DP22">
        <f t="shared" si="376"/>
        <v>1.6184025440195548E-2</v>
      </c>
      <c r="DQ22">
        <f t="shared" si="377"/>
        <v>1.5981725122193102E-2</v>
      </c>
      <c r="DR22">
        <f t="shared" si="378"/>
        <v>1.5781953558165685E-2</v>
      </c>
      <c r="DS22">
        <f t="shared" si="379"/>
        <v>1.5584679138688617E-2</v>
      </c>
      <c r="DT22">
        <f t="shared" si="380"/>
        <v>1.5389870649455007E-2</v>
      </c>
      <c r="DU22">
        <f t="shared" si="381"/>
        <v>1.5197497266336823E-2</v>
      </c>
      <c r="DV22">
        <f t="shared" si="382"/>
        <v>1.5007528550507609E-2</v>
      </c>
      <c r="DW22">
        <f t="shared" si="383"/>
        <v>1.4819934443626259E-2</v>
      </c>
      <c r="DX22">
        <f t="shared" si="384"/>
        <v>1.4634685263080927E-2</v>
      </c>
      <c r="DY22">
        <f t="shared" si="385"/>
        <v>1.4451751697292414E-2</v>
      </c>
      <c r="DZ22">
        <f t="shared" si="386"/>
        <v>1.4271104801076262E-2</v>
      </c>
      <c r="EA22">
        <f t="shared" si="387"/>
        <v>1.409271599106281E-2</v>
      </c>
      <c r="EB22">
        <f t="shared" si="388"/>
        <v>1.3916557041174527E-2</v>
      </c>
      <c r="EC22">
        <f t="shared" si="389"/>
        <v>1.3742600078159851E-2</v>
      </c>
      <c r="ED22">
        <f t="shared" si="390"/>
        <v>1.3570817577182847E-2</v>
      </c>
      <c r="EE22">
        <f t="shared" si="391"/>
        <v>1.3401182357468067E-2</v>
      </c>
      <c r="EF22">
        <f t="shared" si="392"/>
        <v>1.3233667577999719E-2</v>
      </c>
      <c r="EG22">
        <f t="shared" si="393"/>
        <v>1.3068246733274724E-2</v>
      </c>
      <c r="EH22">
        <f t="shared" si="394"/>
        <v>1.2904893649108795E-2</v>
      </c>
      <c r="EI22">
        <f t="shared" si="395"/>
        <v>1.2743582478494931E-2</v>
      </c>
      <c r="EJ22">
        <f t="shared" si="396"/>
        <v>1.2584287697513741E-2</v>
      </c>
      <c r="EK22">
        <f t="shared" si="397"/>
        <v>1.2426984101294813E-2</v>
      </c>
      <c r="EL22">
        <f t="shared" si="398"/>
        <v>1.2271646800028624E-2</v>
      </c>
      <c r="EM22">
        <f t="shared" si="399"/>
        <v>1.2118251215028264E-2</v>
      </c>
      <c r="EN22">
        <f t="shared" si="400"/>
        <v>1.1966773074840408E-2</v>
      </c>
      <c r="EO22">
        <f t="shared" si="401"/>
        <v>1.1817188411404899E-2</v>
      </c>
      <c r="EP22">
        <f t="shared" si="402"/>
        <v>1.1669473556262333E-2</v>
      </c>
      <c r="EQ22">
        <f t="shared" si="403"/>
        <v>1.1523605136809056E-2</v>
      </c>
      <c r="ER22">
        <f t="shared" si="404"/>
        <v>1.1379560072598948E-2</v>
      </c>
      <c r="ES22">
        <f t="shared" si="405"/>
        <v>1.1237315571691464E-2</v>
      </c>
      <c r="ET22">
        <f t="shared" si="406"/>
        <v>1.1096849127045316E-2</v>
      </c>
      <c r="EU22">
        <f t="shared" si="407"/>
        <v>1.0958138512957249E-2</v>
      </c>
      <c r="EV22">
        <f t="shared" si="408"/>
        <v>1.0821161781545286E-2</v>
      </c>
      <c r="EW22">
        <f t="shared" si="409"/>
        <v>1.0685897259275967E-2</v>
      </c>
      <c r="EX22">
        <f t="shared" si="410"/>
        <v>1.0552323543535014E-2</v>
      </c>
      <c r="EY22">
        <f t="shared" si="411"/>
        <v>1.0420419499240829E-2</v>
      </c>
      <c r="EZ22">
        <f t="shared" si="412"/>
        <v>1.0290164255500323E-2</v>
      </c>
      <c r="FA22">
        <f t="shared" si="413"/>
        <v>1.0161537202306569E-2</v>
      </c>
      <c r="FB22">
        <f t="shared" si="414"/>
        <v>1.0034517987277735E-2</v>
      </c>
      <c r="FC22">
        <f t="shared" si="415"/>
        <v>9.9090865124367607E-3</v>
      </c>
      <c r="FD22">
        <f t="shared" si="416"/>
        <v>9.7852229310313003E-3</v>
      </c>
      <c r="FE22">
        <f t="shared" si="417"/>
        <v>9.6629076443934155E-3</v>
      </c>
      <c r="FF22">
        <f t="shared" si="418"/>
        <v>9.5421212988385015E-3</v>
      </c>
      <c r="FG22">
        <f t="shared" si="419"/>
        <v>9.4228447826030237E-3</v>
      </c>
      <c r="FH22">
        <f t="shared" si="420"/>
        <v>9.3050592228204887E-3</v>
      </c>
      <c r="FI22">
        <f t="shared" si="421"/>
        <v>9.1887459825352284E-3</v>
      </c>
      <c r="FJ22">
        <f t="shared" si="422"/>
        <v>9.0738866577535389E-3</v>
      </c>
      <c r="FK22">
        <f t="shared" si="423"/>
        <v>8.9604630745316223E-3</v>
      </c>
      <c r="FL22">
        <f t="shared" si="424"/>
        <v>8.8484572860999759E-3</v>
      </c>
      <c r="FM22">
        <f t="shared" si="425"/>
        <v>8.737851570023724E-3</v>
      </c>
      <c r="FN22">
        <f t="shared" si="426"/>
        <v>8.6286284253984328E-3</v>
      </c>
      <c r="FO22">
        <f t="shared" si="427"/>
        <v>8.5207705700809482E-3</v>
      </c>
      <c r="FP22">
        <f t="shared" si="428"/>
        <v>8.4142609379549323E-3</v>
      </c>
      <c r="FQ22">
        <f t="shared" si="429"/>
        <v>8.3090826762304941E-3</v>
      </c>
      <c r="FR22">
        <f t="shared" si="430"/>
        <v>8.2052191427776089E-3</v>
      </c>
      <c r="FS22">
        <f t="shared" si="431"/>
        <v>8.1026539034928843E-3</v>
      </c>
      <c r="FT22">
        <f t="shared" si="432"/>
        <v>8.0013707296992202E-3</v>
      </c>
      <c r="FU22">
        <f t="shared" si="433"/>
        <v>7.9013535955779757E-3</v>
      </c>
      <c r="FV22">
        <f t="shared" si="434"/>
        <v>7.8025866756332492E-3</v>
      </c>
      <c r="FW22">
        <f t="shared" si="435"/>
        <v>7.7050543421878339E-3</v>
      </c>
      <c r="FX22">
        <f t="shared" si="436"/>
        <v>7.6087411629104816E-3</v>
      </c>
      <c r="FY22">
        <f t="shared" si="437"/>
        <v>7.5136318983740954E-3</v>
      </c>
      <c r="FZ22">
        <f t="shared" si="438"/>
        <v>7.4197114996444212E-3</v>
      </c>
      <c r="GA22">
        <f t="shared" si="439"/>
        <v>7.3269651058988639E-3</v>
      </c>
      <c r="GB22">
        <f t="shared" si="440"/>
        <v>7.2353780420751244E-3</v>
      </c>
      <c r="GC22">
        <f t="shared" si="441"/>
        <v>7.1449358165491805E-3</v>
      </c>
      <c r="GD22">
        <f t="shared" si="442"/>
        <v>7.0556241188423187E-3</v>
      </c>
      <c r="GE22">
        <f t="shared" si="443"/>
        <v>6.9674288173567911E-3</v>
      </c>
      <c r="GF22">
        <f t="shared" si="444"/>
        <v>6.880335957139827E-3</v>
      </c>
      <c r="GG22">
        <f t="shared" si="445"/>
        <v>6.7943317576755757E-3</v>
      </c>
      <c r="GH22">
        <f t="shared" si="446"/>
        <v>6.709402610704629E-3</v>
      </c>
      <c r="GI22">
        <f t="shared" si="447"/>
        <v>6.6255350780708207E-3</v>
      </c>
      <c r="GJ22">
        <f t="shared" si="448"/>
        <v>6.5427158895949413E-3</v>
      </c>
      <c r="GK22">
        <f t="shared" si="449"/>
        <v>6.4609319409750007E-3</v>
      </c>
      <c r="GL22">
        <f t="shared" si="450"/>
        <v>6.3801702917128163E-3</v>
      </c>
      <c r="GM22">
        <f t="shared" si="451"/>
        <v>6.300418163066401E-3</v>
      </c>
      <c r="GN22">
        <f t="shared" si="452"/>
        <v>6.2216629360280721E-3</v>
      </c>
      <c r="GO22">
        <f t="shared" si="453"/>
        <v>6.1438921493277236E-3</v>
      </c>
      <c r="GP22">
        <f t="shared" si="454"/>
        <v>6.0670934974611287E-3</v>
      </c>
      <c r="GQ22">
        <f t="shared" si="455"/>
        <v>5.9912548287428648E-3</v>
      </c>
      <c r="GR22">
        <f t="shared" si="456"/>
        <v>5.9163641433835788E-3</v>
      </c>
      <c r="GS22">
        <f t="shared" si="457"/>
        <v>5.8424095915912801E-3</v>
      </c>
      <c r="GT22">
        <f t="shared" si="458"/>
        <v>5.7693794716963901E-3</v>
      </c>
      <c r="GU22">
        <f t="shared" si="459"/>
        <v>5.6972622283001815E-3</v>
      </c>
      <c r="GV22">
        <f t="shared" si="460"/>
        <v>5.626046450446431E-3</v>
      </c>
      <c r="GW22">
        <f t="shared" si="461"/>
        <v>5.5557208698158497E-3</v>
      </c>
      <c r="GX22">
        <f t="shared" si="462"/>
        <v>5.4862743589431549E-3</v>
      </c>
      <c r="GY22">
        <f t="shared" si="463"/>
        <v>5.4176959294563679E-3</v>
      </c>
      <c r="GZ22">
        <f t="shared" si="464"/>
        <v>5.3499747303381584E-3</v>
      </c>
      <c r="HA22">
        <f t="shared" si="465"/>
        <v>5.2831000462089332E-3</v>
      </c>
      <c r="HB22">
        <f t="shared" si="466"/>
        <v>5.21706129563132E-3</v>
      </c>
      <c r="HC22">
        <f t="shared" si="467"/>
        <v>5.1518480294359239E-3</v>
      </c>
      <c r="HD22">
        <f t="shared" si="468"/>
        <v>5.0874499290679779E-3</v>
      </c>
      <c r="HE22">
        <f t="shared" si="469"/>
        <v>5.0238568049546291E-3</v>
      </c>
      <c r="HF22">
        <f t="shared" si="470"/>
        <v>4.9610585948926976E-3</v>
      </c>
      <c r="HG22">
        <f t="shared" si="471"/>
        <v>4.8990453624565443E-3</v>
      </c>
      <c r="HH22">
        <f t="shared" si="472"/>
        <v>4.8378072954258335E-3</v>
      </c>
      <c r="HI22">
        <f t="shared" si="473"/>
        <v>4.7773347042330046E-3</v>
      </c>
      <c r="HJ22">
        <f t="shared" si="474"/>
        <v>4.7176180204300923E-3</v>
      </c>
      <c r="HK22">
        <f t="shared" si="475"/>
        <v>4.6586477951747196E-3</v>
      </c>
      <c r="HL22">
        <f t="shared" si="476"/>
        <v>4.6004146977350335E-3</v>
      </c>
      <c r="HM22">
        <f t="shared" si="477"/>
        <v>4.5429095140133487E-3</v>
      </c>
      <c r="HN22">
        <f t="shared" si="478"/>
        <v>4.4861231450881835E-3</v>
      </c>
      <c r="HO22">
        <f t="shared" si="479"/>
        <v>4.430046605774585E-3</v>
      </c>
      <c r="HP22">
        <f t="shared" si="480"/>
        <v>4.3746710232024037E-3</v>
      </c>
      <c r="HQ22">
        <f t="shared" si="481"/>
        <v>4.3199876354123702E-3</v>
      </c>
      <c r="HR22">
        <f t="shared" si="482"/>
        <v>4.2659877899697161E-3</v>
      </c>
      <c r="HS22">
        <f t="shared" si="483"/>
        <v>4.2126629425950912E-3</v>
      </c>
      <c r="HT22">
        <f t="shared" si="484"/>
        <v>4.1600046558126543E-3</v>
      </c>
      <c r="HU22">
        <f t="shared" si="485"/>
        <v>4.1080045976150002E-3</v>
      </c>
      <c r="HV22">
        <f t="shared" si="486"/>
        <v>4.0566545401448106E-3</v>
      </c>
      <c r="HW22">
        <f t="shared" si="487"/>
        <v>4.0059463583929974E-3</v>
      </c>
      <c r="HX22">
        <f t="shared" si="488"/>
        <v>3.9558720289130881E-3</v>
      </c>
      <c r="HY22">
        <f t="shared" si="489"/>
        <v>3.9064236285516699E-3</v>
      </c>
      <c r="HZ22">
        <f t="shared" si="490"/>
        <v>3.8575933331947755E-3</v>
      </c>
      <c r="IA22">
        <f t="shared" si="491"/>
        <v>3.8093734165298375E-3</v>
      </c>
      <c r="IB22">
        <f t="shared" si="492"/>
        <v>3.7617562488232114E-3</v>
      </c>
      <c r="IC22">
        <f t="shared" si="493"/>
        <v>3.714734295712918E-3</v>
      </c>
      <c r="ID22">
        <f t="shared" si="494"/>
        <v>3.6683001170165095E-3</v>
      </c>
      <c r="IE22">
        <f t="shared" si="495"/>
        <v>3.6224463655537996E-3</v>
      </c>
      <c r="IF22">
        <f t="shared" si="496"/>
        <v>3.577165785984382E-3</v>
      </c>
      <c r="IG22">
        <f t="shared" si="497"/>
        <v>3.532451213659582E-3</v>
      </c>
      <c r="IH22">
        <f t="shared" si="498"/>
        <v>3.4882955734888421E-3</v>
      </c>
      <c r="II22">
        <f t="shared" si="499"/>
        <v>3.4446918788202273E-3</v>
      </c>
      <c r="IJ22">
        <f t="shared" si="500"/>
        <v>3.401633230334977E-3</v>
      </c>
      <c r="IK22">
        <f t="shared" si="501"/>
        <v>3.3591128149557891E-3</v>
      </c>
      <c r="IL22">
        <f t="shared" si="502"/>
        <v>3.3171239047688371E-3</v>
      </c>
      <c r="IM22">
        <f t="shared" si="503"/>
        <v>3.275659855959223E-3</v>
      </c>
      <c r="IN22">
        <f t="shared" si="504"/>
        <v>3.2347141077597287E-3</v>
      </c>
      <c r="IO22">
        <f t="shared" si="505"/>
        <v>3.1942801814127341E-3</v>
      </c>
      <c r="IP22">
        <f t="shared" si="506"/>
        <v>3.1543516791450732E-3</v>
      </c>
      <c r="IQ22">
        <f t="shared" si="507"/>
        <v>3.1149222831557632E-3</v>
      </c>
      <c r="IR22">
        <f t="shared" si="508"/>
        <v>3.0759857546163172E-3</v>
      </c>
      <c r="IS22">
        <f t="shared" si="509"/>
        <v>3.0375359326836105E-3</v>
      </c>
      <c r="IT22">
        <f t="shared" si="510"/>
        <v>2.999566733525061E-3</v>
      </c>
      <c r="IU22">
        <f t="shared" si="511"/>
        <v>2.9620721493559985E-3</v>
      </c>
      <c r="IV22">
        <f t="shared" si="512"/>
        <v>2.9250462474890494E-3</v>
      </c>
    </row>
    <row r="23" spans="1:256" x14ac:dyDescent="0.2">
      <c r="A23" t="s">
        <v>494</v>
      </c>
      <c r="B23">
        <f t="shared" si="258"/>
        <v>-5.1229894234621785E-2</v>
      </c>
      <c r="C23">
        <f t="shared" si="259"/>
        <v>-3.6472051178264241E-3</v>
      </c>
      <c r="D23">
        <f t="shared" si="260"/>
        <v>-2.0877874196013834E-3</v>
      </c>
      <c r="E23">
        <f t="shared" si="261"/>
        <v>-5.1579648559525455E-4</v>
      </c>
      <c r="F23">
        <f t="shared" si="262"/>
        <v>1.0683581753874738E-3</v>
      </c>
      <c r="G23">
        <f t="shared" si="263"/>
        <v>2.664327838906111E-3</v>
      </c>
      <c r="H23">
        <f t="shared" si="264"/>
        <v>4.2718211225073353E-3</v>
      </c>
      <c r="I23">
        <f t="shared" si="265"/>
        <v>5.8906011138593617E-3</v>
      </c>
      <c r="J23">
        <f t="shared" si="266"/>
        <v>3.5244450424891993E-2</v>
      </c>
      <c r="K23">
        <f t="shared" si="267"/>
        <v>3.4803894794580847E-2</v>
      </c>
      <c r="L23">
        <f t="shared" si="268"/>
        <v>3.436884610964859E-2</v>
      </c>
      <c r="M23">
        <f t="shared" si="269"/>
        <v>3.3939235533277975E-2</v>
      </c>
      <c r="N23">
        <f t="shared" si="270"/>
        <v>3.3514995089112001E-2</v>
      </c>
      <c r="O23">
        <f t="shared" si="271"/>
        <v>3.3096057650498098E-2</v>
      </c>
      <c r="P23">
        <f t="shared" si="272"/>
        <v>3.2682356929866874E-2</v>
      </c>
      <c r="Q23">
        <f t="shared" si="273"/>
        <v>3.2273827468243546E-2</v>
      </c>
      <c r="R23">
        <f t="shared" si="274"/>
        <v>3.1870404624890505E-2</v>
      </c>
      <c r="S23">
        <f t="shared" si="275"/>
        <v>3.1472024567079371E-2</v>
      </c>
      <c r="T23">
        <f t="shared" si="276"/>
        <v>3.1078624259990882E-2</v>
      </c>
      <c r="U23">
        <f t="shared" si="277"/>
        <v>3.0690141456740993E-2</v>
      </c>
      <c r="V23">
        <f t="shared" si="278"/>
        <v>3.0306514688531728E-2</v>
      </c>
      <c r="W23">
        <f t="shared" si="279"/>
        <v>2.9927683254925085E-2</v>
      </c>
      <c r="X23">
        <f t="shared" si="280"/>
        <v>2.9553587214238519E-2</v>
      </c>
      <c r="Y23">
        <f t="shared" si="281"/>
        <v>2.9184167374060533E-2</v>
      </c>
      <c r="Z23">
        <f t="shared" si="282"/>
        <v>2.8819365281884779E-2</v>
      </c>
      <c r="AA23">
        <f t="shared" si="283"/>
        <v>2.8459123215861214E-2</v>
      </c>
      <c r="AB23">
        <f t="shared" si="284"/>
        <v>2.8103384175662948E-2</v>
      </c>
      <c r="AC23">
        <f t="shared" si="285"/>
        <v>2.7752091873467166E-2</v>
      </c>
      <c r="AD23">
        <f t="shared" si="286"/>
        <v>2.7405190725048822E-2</v>
      </c>
      <c r="AE23">
        <f t="shared" si="287"/>
        <v>2.7062625840985712E-2</v>
      </c>
      <c r="AF23">
        <f t="shared" si="288"/>
        <v>2.6724343017973384E-2</v>
      </c>
      <c r="AG23">
        <f t="shared" si="289"/>
        <v>2.6390288730248714E-2</v>
      </c>
      <c r="AH23">
        <f t="shared" si="290"/>
        <v>-1.558291850484308E-2</v>
      </c>
      <c r="AI23">
        <f t="shared" si="291"/>
        <v>-1.4553310069415992E-2</v>
      </c>
      <c r="AJ23">
        <f t="shared" si="292"/>
        <v>-1.3538566158990916E-2</v>
      </c>
      <c r="AK23">
        <f t="shared" si="293"/>
        <v>-1.253859880122753E-2</v>
      </c>
      <c r="AL23">
        <f t="shared" si="294"/>
        <v>-1.1553307087071706E-2</v>
      </c>
      <c r="AM23">
        <f t="shared" si="295"/>
        <v>-1.058257706170127E-2</v>
      </c>
      <c r="AN23">
        <f t="shared" si="296"/>
        <v>-9.6262816520540136E-3</v>
      </c>
      <c r="AO23">
        <f t="shared" si="297"/>
        <v>-8.6842806299234129E-3</v>
      </c>
      <c r="AP23">
        <f t="shared" si="298"/>
        <v>2.7268658120685942E-2</v>
      </c>
      <c r="AQ23">
        <f t="shared" si="299"/>
        <v>2.6927799894177363E-2</v>
      </c>
      <c r="AR23">
        <f t="shared" si="300"/>
        <v>2.6591202395500148E-2</v>
      </c>
      <c r="AS23">
        <f t="shared" si="301"/>
        <v>2.6258812365556394E-2</v>
      </c>
      <c r="AT23">
        <f t="shared" si="302"/>
        <v>2.593057721098694E-2</v>
      </c>
      <c r="AU23">
        <f t="shared" si="303"/>
        <v>2.5606444995849596E-2</v>
      </c>
      <c r="AV23">
        <f t="shared" si="304"/>
        <v>2.5286364433401477E-2</v>
      </c>
      <c r="AW23">
        <f t="shared" si="305"/>
        <v>2.4970284877983962E-2</v>
      </c>
      <c r="AX23">
        <f t="shared" si="306"/>
        <v>-9.7858934288778451E-3</v>
      </c>
      <c r="AY23">
        <f t="shared" si="307"/>
        <v>-8.0381245912523498E-3</v>
      </c>
      <c r="AZ23">
        <f t="shared" si="308"/>
        <v>-6.2400249834092423E-3</v>
      </c>
      <c r="BA23">
        <f t="shared" si="309"/>
        <v>-4.3868255062085252E-3</v>
      </c>
      <c r="BB23">
        <f t="shared" si="310"/>
        <v>-2.4733838589216517E-3</v>
      </c>
      <c r="BC23">
        <f t="shared" si="311"/>
        <v>-4.9414551764118684E-4</v>
      </c>
      <c r="BD23">
        <f t="shared" si="312"/>
        <v>1.5569001167492602E-3</v>
      </c>
      <c r="BE23">
        <f t="shared" si="313"/>
        <v>3.6862690611649818E-3</v>
      </c>
      <c r="BF23">
        <f t="shared" si="314"/>
        <v>5.9010383515603728E-3</v>
      </c>
      <c r="BG23">
        <f t="shared" si="315"/>
        <v>8.2089087975251267E-3</v>
      </c>
      <c r="BH23">
        <f t="shared" si="316"/>
        <v>1.061827593400232E-2</v>
      </c>
      <c r="BI23">
        <f t="shared" si="317"/>
        <v>1.3121282648033273E-2</v>
      </c>
      <c r="BJ23">
        <f t="shared" si="318"/>
        <v>1.5689126885765459E-2</v>
      </c>
      <c r="BK23">
        <f t="shared" si="319"/>
        <v>1.8326377168986975E-2</v>
      </c>
      <c r="BL23">
        <f t="shared" si="320"/>
        <v>2.1037938785688538E-2</v>
      </c>
      <c r="BM23">
        <f t="shared" si="321"/>
        <v>2.3824059818719601E-2</v>
      </c>
      <c r="BN23">
        <f t="shared" si="322"/>
        <v>2.35262590709856E-2</v>
      </c>
      <c r="BO23">
        <f t="shared" si="323"/>
        <v>2.323218083259828E-2</v>
      </c>
      <c r="BP23">
        <f t="shared" si="324"/>
        <v>2.2941778572190808E-2</v>
      </c>
      <c r="BQ23">
        <f t="shared" si="325"/>
        <v>2.2655006340038419E-2</v>
      </c>
      <c r="BR23">
        <f t="shared" si="326"/>
        <v>2.2371818760787941E-2</v>
      </c>
      <c r="BS23">
        <f t="shared" si="327"/>
        <v>2.2092171026278095E-2</v>
      </c>
      <c r="BT23">
        <f t="shared" si="328"/>
        <v>2.1816018888449619E-2</v>
      </c>
      <c r="BU23">
        <f t="shared" si="329"/>
        <v>2.1543318652344001E-2</v>
      </c>
      <c r="BV23">
        <f t="shared" si="330"/>
        <v>2.1274027169189701E-2</v>
      </c>
      <c r="BW23">
        <f t="shared" si="331"/>
        <v>2.1008101829574834E-2</v>
      </c>
      <c r="BX23">
        <f t="shared" si="332"/>
        <v>2.0745500556705144E-2</v>
      </c>
      <c r="BY23">
        <f t="shared" si="333"/>
        <v>2.0486181799746327E-2</v>
      </c>
      <c r="BZ23">
        <f t="shared" si="334"/>
        <v>2.0230104527249503E-2</v>
      </c>
      <c r="CA23">
        <f t="shared" si="335"/>
        <v>1.9977228220658883E-2</v>
      </c>
      <c r="CB23">
        <f t="shared" si="336"/>
        <v>1.9727512867900643E-2</v>
      </c>
      <c r="CC23">
        <f t="shared" si="337"/>
        <v>1.9480918957051886E-2</v>
      </c>
      <c r="CD23">
        <f t="shared" si="338"/>
        <v>1.923740747008874E-2</v>
      </c>
      <c r="CE23">
        <f t="shared" si="339"/>
        <v>1.8996939876712627E-2</v>
      </c>
      <c r="CF23">
        <f t="shared" si="340"/>
        <v>1.8759478128253716E-2</v>
      </c>
      <c r="CG23">
        <f t="shared" si="341"/>
        <v>1.8524984651650544E-2</v>
      </c>
      <c r="CH23">
        <f t="shared" si="342"/>
        <v>1.8293422343504916E-2</v>
      </c>
      <c r="CI23">
        <f t="shared" si="343"/>
        <v>1.8064754564211104E-2</v>
      </c>
      <c r="CJ23">
        <f t="shared" si="344"/>
        <v>1.7838945132158467E-2</v>
      </c>
      <c r="CK23">
        <f t="shared" si="345"/>
        <v>1.7615958318006487E-2</v>
      </c>
      <c r="CL23">
        <f t="shared" si="346"/>
        <v>1.7395758839031404E-2</v>
      </c>
      <c r="CM23">
        <f t="shared" si="347"/>
        <v>1.7178311853543515E-2</v>
      </c>
      <c r="CN23">
        <f t="shared" si="348"/>
        <v>1.6963582955374222E-2</v>
      </c>
      <c r="CO23">
        <f t="shared" si="349"/>
        <v>1.6751538168432046E-2</v>
      </c>
      <c r="CP23">
        <f t="shared" si="350"/>
        <v>1.6542143941326647E-2</v>
      </c>
      <c r="CQ23">
        <f t="shared" si="351"/>
        <v>1.6335367142060065E-2</v>
      </c>
      <c r="CR23">
        <f t="shared" si="352"/>
        <v>1.613117505278432E-2</v>
      </c>
      <c r="CS23">
        <f t="shared" si="353"/>
        <v>1.5929535364624513E-2</v>
      </c>
      <c r="CT23">
        <f t="shared" si="354"/>
        <v>1.5730416172566708E-2</v>
      </c>
      <c r="CU23">
        <f t="shared" si="355"/>
        <v>1.5533785970409619E-2</v>
      </c>
      <c r="CV23">
        <f t="shared" si="356"/>
        <v>1.5339613645779505E-2</v>
      </c>
      <c r="CW23">
        <f t="shared" si="357"/>
        <v>1.5147868475207261E-2</v>
      </c>
      <c r="CX23">
        <f t="shared" si="358"/>
        <v>1.4958520119267172E-2</v>
      </c>
      <c r="CY23">
        <f t="shared" si="359"/>
        <v>1.4771538617776336E-2</v>
      </c>
      <c r="CZ23">
        <f t="shared" si="360"/>
        <v>1.4586894385054127E-2</v>
      </c>
      <c r="DA23">
        <f t="shared" si="361"/>
        <v>1.4404558205240947E-2</v>
      </c>
      <c r="DB23">
        <f t="shared" si="362"/>
        <v>1.4224501227675435E-2</v>
      </c>
      <c r="DC23">
        <f t="shared" si="363"/>
        <v>1.4046694962329487E-2</v>
      </c>
      <c r="DD23">
        <f t="shared" si="364"/>
        <v>1.3871111275300363E-2</v>
      </c>
      <c r="DE23">
        <f t="shared" si="365"/>
        <v>1.3697722384359113E-2</v>
      </c>
      <c r="DF23">
        <f t="shared" si="366"/>
        <v>1.3526500854554624E-2</v>
      </c>
      <c r="DG23">
        <f t="shared" si="367"/>
        <v>1.3357419593872688E-2</v>
      </c>
      <c r="DH23">
        <f t="shared" si="368"/>
        <v>1.3190451848949281E-2</v>
      </c>
      <c r="DI23">
        <f t="shared" si="369"/>
        <v>1.3025571200837416E-2</v>
      </c>
      <c r="DJ23">
        <f t="shared" si="370"/>
        <v>1.2862751560826946E-2</v>
      </c>
      <c r="DK23">
        <f t="shared" si="371"/>
        <v>1.2701967166316608E-2</v>
      </c>
      <c r="DL23">
        <f t="shared" si="372"/>
        <v>1.2543192576737649E-2</v>
      </c>
      <c r="DM23">
        <f t="shared" si="373"/>
        <v>1.2386402669528429E-2</v>
      </c>
      <c r="DN23">
        <f t="shared" si="374"/>
        <v>1.2231572636159326E-2</v>
      </c>
      <c r="DO23">
        <f t="shared" si="375"/>
        <v>1.2078677978207331E-2</v>
      </c>
      <c r="DP23">
        <f t="shared" si="376"/>
        <v>1.1927694503479736E-2</v>
      </c>
      <c r="DQ23">
        <f t="shared" si="377"/>
        <v>1.1778598322186241E-2</v>
      </c>
      <c r="DR23">
        <f t="shared" si="378"/>
        <v>1.1631365843158914E-2</v>
      </c>
      <c r="DS23">
        <f t="shared" si="379"/>
        <v>1.1485973770119428E-2</v>
      </c>
      <c r="DT23">
        <f t="shared" si="380"/>
        <v>1.134239909799294E-2</v>
      </c>
      <c r="DU23">
        <f t="shared" si="381"/>
        <v>1.1200619109268029E-2</v>
      </c>
      <c r="DV23">
        <f t="shared" si="382"/>
        <v>1.1060611370402174E-2</v>
      </c>
      <c r="DW23">
        <f t="shared" si="383"/>
        <v>1.092235372827215E-2</v>
      </c>
      <c r="DX23">
        <f t="shared" si="384"/>
        <v>1.0785824306668745E-2</v>
      </c>
      <c r="DY23">
        <f t="shared" si="385"/>
        <v>1.0651001502835388E-2</v>
      </c>
      <c r="DZ23">
        <f t="shared" si="386"/>
        <v>1.0517863984049946E-2</v>
      </c>
      <c r="EA23">
        <f t="shared" si="387"/>
        <v>1.0386390684249324E-2</v>
      </c>
      <c r="EB23">
        <f t="shared" si="388"/>
        <v>1.0256560800696212E-2</v>
      </c>
      <c r="EC23">
        <f t="shared" si="389"/>
        <v>1.0128353790687505E-2</v>
      </c>
      <c r="ED23">
        <f t="shared" si="390"/>
        <v>1.0001749368303914E-2</v>
      </c>
      <c r="EE23">
        <f t="shared" si="391"/>
        <v>9.876727501200111E-3</v>
      </c>
      <c r="EF23">
        <f t="shared" si="392"/>
        <v>9.7532684074351124E-3</v>
      </c>
      <c r="EG23">
        <f t="shared" si="393"/>
        <v>9.6313525523421765E-3</v>
      </c>
      <c r="EH23">
        <f t="shared" si="394"/>
        <v>9.510960645437893E-3</v>
      </c>
      <c r="EI23">
        <f t="shared" si="395"/>
        <v>9.392073637369925E-3</v>
      </c>
      <c r="EJ23">
        <f t="shared" si="396"/>
        <v>9.2746727169027987E-3</v>
      </c>
      <c r="EK23">
        <f t="shared" si="397"/>
        <v>9.1587393079415099E-3</v>
      </c>
      <c r="EL23">
        <f t="shared" si="398"/>
        <v>9.0442550665922432E-3</v>
      </c>
      <c r="EM23">
        <f t="shared" si="399"/>
        <v>8.931201878259843E-3</v>
      </c>
      <c r="EN23">
        <f t="shared" si="400"/>
        <v>8.8195618547815997E-3</v>
      </c>
      <c r="EO23">
        <f t="shared" si="401"/>
        <v>8.7093173315968327E-3</v>
      </c>
      <c r="EP23">
        <f t="shared" si="402"/>
        <v>8.6004508649518696E-3</v>
      </c>
      <c r="EQ23">
        <f t="shared" si="403"/>
        <v>8.4929452291399692E-3</v>
      </c>
      <c r="ER23">
        <f t="shared" si="404"/>
        <v>8.3867834137757221E-3</v>
      </c>
      <c r="ES23">
        <f t="shared" si="405"/>
        <v>8.2819486211035305E-3</v>
      </c>
      <c r="ET23">
        <f t="shared" si="406"/>
        <v>8.1784242633397338E-3</v>
      </c>
      <c r="EU23">
        <f t="shared" si="407"/>
        <v>8.0761939600479844E-3</v>
      </c>
      <c r="EV23">
        <f t="shared" si="408"/>
        <v>7.9752415355473835E-3</v>
      </c>
      <c r="EW23">
        <f t="shared" si="409"/>
        <v>7.8755510163530437E-3</v>
      </c>
      <c r="EX23">
        <f t="shared" si="410"/>
        <v>7.7771066286486338E-3</v>
      </c>
      <c r="EY23">
        <f t="shared" si="411"/>
        <v>7.6798927957905218E-3</v>
      </c>
      <c r="EZ23">
        <f t="shared" si="412"/>
        <v>7.5838941358431387E-3</v>
      </c>
      <c r="FA23">
        <f t="shared" si="413"/>
        <v>7.4890954591451007E-3</v>
      </c>
      <c r="FB23">
        <f t="shared" si="414"/>
        <v>7.3954817659057873E-3</v>
      </c>
      <c r="FC23">
        <f t="shared" si="415"/>
        <v>7.3030382438319611E-3</v>
      </c>
      <c r="FD23">
        <f t="shared" si="416"/>
        <v>7.2117502657840556E-3</v>
      </c>
      <c r="FE23">
        <f t="shared" si="417"/>
        <v>7.12160338746175E-3</v>
      </c>
      <c r="FF23">
        <f t="shared" si="418"/>
        <v>7.0325833451184818E-3</v>
      </c>
      <c r="FG23">
        <f t="shared" si="419"/>
        <v>6.9446760533044992E-3</v>
      </c>
      <c r="FH23">
        <f t="shared" si="420"/>
        <v>6.8578676026381903E-3</v>
      </c>
      <c r="FI23">
        <f t="shared" si="421"/>
        <v>6.7721442576052174E-3</v>
      </c>
      <c r="FJ23">
        <f t="shared" si="422"/>
        <v>6.6874924543851464E-3</v>
      </c>
      <c r="FK23">
        <f t="shared" si="423"/>
        <v>6.6038987987053323E-3</v>
      </c>
      <c r="FL23">
        <f t="shared" si="424"/>
        <v>6.5213500637215207E-3</v>
      </c>
      <c r="FM23">
        <f t="shared" si="425"/>
        <v>6.4398331879250035E-3</v>
      </c>
      <c r="FN23">
        <f t="shared" si="426"/>
        <v>6.3593352730759393E-3</v>
      </c>
      <c r="FO23">
        <f t="shared" si="427"/>
        <v>6.2798435821624921E-3</v>
      </c>
      <c r="FP23">
        <f t="shared" si="428"/>
        <v>6.2013455373854613E-3</v>
      </c>
      <c r="FQ23">
        <f t="shared" si="429"/>
        <v>6.1238287181681452E-3</v>
      </c>
      <c r="FR23">
        <f t="shared" si="430"/>
        <v>6.0472808591910399E-3</v>
      </c>
      <c r="FS23">
        <f t="shared" si="431"/>
        <v>5.9716898484511562E-3</v>
      </c>
      <c r="FT23">
        <f t="shared" si="432"/>
        <v>5.8970437253455191E-3</v>
      </c>
      <c r="FU23">
        <f t="shared" si="433"/>
        <v>5.8233306787787041E-3</v>
      </c>
      <c r="FV23">
        <f t="shared" si="434"/>
        <v>5.7505390452939672E-3</v>
      </c>
      <c r="FW23">
        <f t="shared" si="435"/>
        <v>5.6786573072277972E-3</v>
      </c>
      <c r="FX23">
        <f t="shared" si="436"/>
        <v>5.6076740908874486E-3</v>
      </c>
      <c r="FY23">
        <f t="shared" si="437"/>
        <v>5.5375781647513554E-3</v>
      </c>
      <c r="FZ23">
        <f t="shared" si="438"/>
        <v>5.4683584376919673E-3</v>
      </c>
      <c r="GA23">
        <f t="shared" si="439"/>
        <v>5.4000039572208221E-3</v>
      </c>
      <c r="GB23">
        <f t="shared" si="440"/>
        <v>5.3325039077555588E-3</v>
      </c>
      <c r="GC23">
        <f t="shared" si="441"/>
        <v>5.2658476089086134E-3</v>
      </c>
      <c r="GD23">
        <f t="shared" si="442"/>
        <v>5.2000245137972523E-3</v>
      </c>
      <c r="GE23">
        <f t="shared" si="443"/>
        <v>5.1350242073747833E-3</v>
      </c>
      <c r="GF23">
        <f t="shared" si="444"/>
        <v>5.0708364047825968E-3</v>
      </c>
      <c r="GG23">
        <f t="shared" si="445"/>
        <v>5.0074509497228135E-3</v>
      </c>
      <c r="GH23">
        <f t="shared" si="446"/>
        <v>4.944857812851278E-3</v>
      </c>
      <c r="GI23">
        <f t="shared" si="447"/>
        <v>4.8830470901906394E-3</v>
      </c>
      <c r="GJ23">
        <f t="shared" si="448"/>
        <v>4.8220090015632542E-3</v>
      </c>
      <c r="GK23">
        <f t="shared" si="449"/>
        <v>4.7617338890437177E-3</v>
      </c>
      <c r="GL23">
        <f t="shared" si="450"/>
        <v>4.702212215430668E-3</v>
      </c>
      <c r="GM23">
        <f t="shared" si="451"/>
        <v>4.6434345627377801E-3</v>
      </c>
      <c r="GN23">
        <f t="shared" si="452"/>
        <v>4.5853916307035617E-3</v>
      </c>
      <c r="GO23">
        <f t="shared" si="453"/>
        <v>4.528074235319768E-3</v>
      </c>
      <c r="GP23">
        <f t="shared" si="454"/>
        <v>4.4714733073782705E-3</v>
      </c>
      <c r="GQ23">
        <f t="shared" si="455"/>
        <v>4.4155798910360481E-3</v>
      </c>
      <c r="GR23">
        <f t="shared" si="456"/>
        <v>4.3603851423980929E-3</v>
      </c>
      <c r="GS23">
        <f t="shared" si="457"/>
        <v>4.3058803281181167E-3</v>
      </c>
      <c r="GT23">
        <f t="shared" si="458"/>
        <v>4.2520568240166368E-3</v>
      </c>
      <c r="GU23">
        <f t="shared" si="459"/>
        <v>4.1989061137164274E-3</v>
      </c>
      <c r="GV23">
        <f t="shared" si="460"/>
        <v>4.146419787294975E-3</v>
      </c>
      <c r="GW23">
        <f t="shared" si="461"/>
        <v>4.0945895399537857E-3</v>
      </c>
      <c r="GX23">
        <f t="shared" si="462"/>
        <v>4.043407170704361E-3</v>
      </c>
      <c r="GY23">
        <f t="shared" si="463"/>
        <v>3.9928645810705541E-3</v>
      </c>
      <c r="GZ23">
        <f t="shared" si="464"/>
        <v>3.9429537738071676E-3</v>
      </c>
      <c r="HA23">
        <f t="shared" si="465"/>
        <v>3.8936668516345806E-3</v>
      </c>
      <c r="HB23">
        <f t="shared" si="466"/>
        <v>3.8449960159891439E-3</v>
      </c>
      <c r="HC23">
        <f t="shared" si="467"/>
        <v>3.7969335657892845E-3</v>
      </c>
      <c r="HD23">
        <f t="shared" si="468"/>
        <v>3.7494718962169161E-3</v>
      </c>
      <c r="HE23">
        <f t="shared" si="469"/>
        <v>3.7026034975142009E-3</v>
      </c>
      <c r="HF23">
        <f t="shared" si="470"/>
        <v>3.6563209537952778E-3</v>
      </c>
      <c r="HG23">
        <f t="shared" si="471"/>
        <v>3.610616941872835E-3</v>
      </c>
      <c r="HH23">
        <f t="shared" si="472"/>
        <v>3.565484230099425E-3</v>
      </c>
      <c r="HI23">
        <f t="shared" si="473"/>
        <v>3.5209156772231798E-3</v>
      </c>
      <c r="HJ23">
        <f t="shared" si="474"/>
        <v>3.4769042312578933E-3</v>
      </c>
      <c r="HK23">
        <f t="shared" si="475"/>
        <v>3.4334429283671697E-3</v>
      </c>
      <c r="HL23">
        <f t="shared" si="476"/>
        <v>3.3905248917625807E-3</v>
      </c>
      <c r="HM23">
        <f t="shared" si="477"/>
        <v>3.3481433306155493E-3</v>
      </c>
      <c r="HN23">
        <f t="shared" si="478"/>
        <v>3.306291538982853E-3</v>
      </c>
      <c r="HO23">
        <f t="shared" si="479"/>
        <v>3.2649628947455712E-3</v>
      </c>
      <c r="HP23">
        <f t="shared" si="480"/>
        <v>3.2241508585612475E-3</v>
      </c>
      <c r="HQ23">
        <f t="shared" si="481"/>
        <v>3.1838489728292286E-3</v>
      </c>
      <c r="HR23">
        <f t="shared" si="482"/>
        <v>3.1440508606688676E-3</v>
      </c>
      <c r="HS23">
        <f t="shared" si="483"/>
        <v>3.104750224910502E-3</v>
      </c>
      <c r="HT23">
        <f t="shared" si="484"/>
        <v>3.0659408470991244E-3</v>
      </c>
      <c r="HU23">
        <f t="shared" si="485"/>
        <v>3.0276165865103844E-3</v>
      </c>
      <c r="HV23">
        <f t="shared" si="486"/>
        <v>2.9897713791790072E-3</v>
      </c>
      <c r="HW23">
        <f t="shared" si="487"/>
        <v>2.9523992369392738E-3</v>
      </c>
      <c r="HX23">
        <f t="shared" si="488"/>
        <v>2.9154942464775348E-3</v>
      </c>
      <c r="HY23">
        <f t="shared" si="489"/>
        <v>2.8790505683965683E-3</v>
      </c>
      <c r="HZ23">
        <f t="shared" si="490"/>
        <v>2.84306243629161E-3</v>
      </c>
      <c r="IA23">
        <f t="shared" si="491"/>
        <v>2.8075241558379706E-3</v>
      </c>
      <c r="IB23">
        <f t="shared" si="492"/>
        <v>2.7724301038900001E-3</v>
      </c>
      <c r="IC23">
        <f t="shared" si="493"/>
        <v>2.7377747275913801E-3</v>
      </c>
      <c r="ID23">
        <f t="shared" si="494"/>
        <v>2.7035525434964901E-3</v>
      </c>
      <c r="IE23">
        <f t="shared" si="495"/>
        <v>2.6697581367027823E-3</v>
      </c>
      <c r="IF23">
        <f t="shared" si="496"/>
        <v>2.6363861599939973E-3</v>
      </c>
      <c r="IG23">
        <f t="shared" si="497"/>
        <v>2.6034313329940774E-3</v>
      </c>
      <c r="IH23">
        <f t="shared" si="498"/>
        <v>2.5708884413316534E-3</v>
      </c>
      <c r="II23">
        <f t="shared" si="499"/>
        <v>2.5387523358150086E-3</v>
      </c>
      <c r="IJ23">
        <f t="shared" si="500"/>
        <v>2.507017931617317E-3</v>
      </c>
      <c r="IK23">
        <f t="shared" si="501"/>
        <v>2.4756802074720973E-3</v>
      </c>
      <c r="IL23">
        <f t="shared" si="502"/>
        <v>2.4447342048786957E-3</v>
      </c>
      <c r="IM23">
        <f t="shared" si="503"/>
        <v>2.4141750273177108E-3</v>
      </c>
      <c r="IN23">
        <f t="shared" si="504"/>
        <v>2.3839978394762373E-3</v>
      </c>
      <c r="IO23">
        <f t="shared" si="505"/>
        <v>2.354197866482788E-3</v>
      </c>
      <c r="IP23">
        <f t="shared" si="506"/>
        <v>2.3247703931517536E-3</v>
      </c>
      <c r="IQ23">
        <f t="shared" si="507"/>
        <v>2.2957107632373573E-3</v>
      </c>
      <c r="IR23">
        <f t="shared" si="508"/>
        <v>2.2670143786968854E-3</v>
      </c>
      <c r="IS23">
        <f t="shared" si="509"/>
        <v>2.2386766989631714E-3</v>
      </c>
      <c r="IT23">
        <f t="shared" si="510"/>
        <v>2.210693240226136E-3</v>
      </c>
      <c r="IU23">
        <f t="shared" si="511"/>
        <v>2.1830595747233117E-3</v>
      </c>
      <c r="IV23">
        <f t="shared" si="512"/>
        <v>2.1557713300392688E-3</v>
      </c>
    </row>
    <row r="24" spans="1:256" x14ac:dyDescent="0.2">
      <c r="A24" t="s">
        <v>495</v>
      </c>
      <c r="B24">
        <f t="shared" si="258"/>
        <v>-2.6634189314701497E-2</v>
      </c>
      <c r="C24">
        <f t="shared" si="259"/>
        <v>3.7710193361374773E-2</v>
      </c>
      <c r="D24">
        <f t="shared" si="260"/>
        <v>3.8209201474685699E-2</v>
      </c>
      <c r="E24">
        <f t="shared" si="261"/>
        <v>3.8698244815700056E-2</v>
      </c>
      <c r="F24">
        <f t="shared" si="262"/>
        <v>3.9178889249007219E-2</v>
      </c>
      <c r="G24">
        <f t="shared" si="263"/>
        <v>3.9652640328413466E-2</v>
      </c>
      <c r="H24">
        <f t="shared" si="264"/>
        <v>4.0120945509280366E-2</v>
      </c>
      <c r="I24">
        <f t="shared" si="265"/>
        <v>4.0585196252584506E-2</v>
      </c>
      <c r="J24">
        <f t="shared" si="266"/>
        <v>-2.5769537358535176E-2</v>
      </c>
      <c r="K24">
        <f t="shared" si="267"/>
        <v>-2.5342538562375332E-2</v>
      </c>
      <c r="L24">
        <f t="shared" si="268"/>
        <v>-2.4926045019802424E-2</v>
      </c>
      <c r="M24">
        <f t="shared" si="269"/>
        <v>-2.4519810212963834E-2</v>
      </c>
      <c r="N24">
        <f t="shared" si="270"/>
        <v>-2.4123602537087275E-2</v>
      </c>
      <c r="O24">
        <f t="shared" si="271"/>
        <v>-2.3737203784866497E-2</v>
      </c>
      <c r="P24">
        <f t="shared" si="272"/>
        <v>-2.336040772444363E-2</v>
      </c>
      <c r="Q24">
        <f t="shared" si="273"/>
        <v>-2.2993018771102356E-2</v>
      </c>
      <c r="R24">
        <f t="shared" si="274"/>
        <v>-2.2634850751957085E-2</v>
      </c>
      <c r="S24">
        <f t="shared" si="275"/>
        <v>-2.2377974306770399E-2</v>
      </c>
      <c r="T24">
        <f t="shared" si="276"/>
        <v>-2.2129281594157075E-2</v>
      </c>
      <c r="U24">
        <f t="shared" si="277"/>
        <v>-2.1888459180851721E-2</v>
      </c>
      <c r="V24">
        <f t="shared" si="278"/>
        <v>-2.1655205139631865E-2</v>
      </c>
      <c r="W24">
        <f t="shared" si="279"/>
        <v>-2.1429228392741279E-2</v>
      </c>
      <c r="X24">
        <f t="shared" si="280"/>
        <v>-2.1210248107554241E-2</v>
      </c>
      <c r="Y24">
        <f t="shared" si="281"/>
        <v>-2.0997993141334197E-2</v>
      </c>
      <c r="Z24">
        <f t="shared" si="282"/>
        <v>-9.8033423119383463E-3</v>
      </c>
      <c r="AA24">
        <f t="shared" si="283"/>
        <v>-9.647286231758789E-3</v>
      </c>
      <c r="AB24">
        <f t="shared" si="284"/>
        <v>-9.4983203905433522E-3</v>
      </c>
      <c r="AC24">
        <f t="shared" si="285"/>
        <v>-9.3561827856484293E-3</v>
      </c>
      <c r="AD24">
        <f t="shared" si="286"/>
        <v>-9.2206288851321896E-3</v>
      </c>
      <c r="AE24">
        <f t="shared" si="287"/>
        <v>-9.0914299015280343E-3</v>
      </c>
      <c r="AF24">
        <f t="shared" si="288"/>
        <v>-8.9683712145576279E-3</v>
      </c>
      <c r="AG24">
        <f t="shared" si="289"/>
        <v>-8.8512509329711966E-3</v>
      </c>
      <c r="AH24">
        <f t="shared" si="290"/>
        <v>5.9645688590200582E-3</v>
      </c>
      <c r="AI24">
        <f t="shared" si="291"/>
        <v>6.0107645569442703E-3</v>
      </c>
      <c r="AJ24">
        <f t="shared" si="292"/>
        <v>6.0577842705084265E-3</v>
      </c>
      <c r="AK24">
        <f t="shared" si="293"/>
        <v>6.105822661617427E-3</v>
      </c>
      <c r="AL24">
        <f t="shared" si="294"/>
        <v>6.1550622014634347E-3</v>
      </c>
      <c r="AM24">
        <f t="shared" si="295"/>
        <v>6.2056737417171045E-3</v>
      </c>
      <c r="AN24">
        <f t="shared" si="296"/>
        <v>6.2578170811360689E-3</v>
      </c>
      <c r="AO24">
        <f t="shared" si="297"/>
        <v>6.3116415264926062E-3</v>
      </c>
      <c r="AP24">
        <f t="shared" si="298"/>
        <v>4.4198537673683307E-2</v>
      </c>
      <c r="AQ24">
        <f t="shared" si="299"/>
        <v>4.5139977886422072E-2</v>
      </c>
      <c r="AR24">
        <f t="shared" si="300"/>
        <v>4.6071585843124353E-2</v>
      </c>
      <c r="AS24">
        <f t="shared" si="301"/>
        <v>4.6993586101687919E-2</v>
      </c>
      <c r="AT24">
        <f t="shared" si="302"/>
        <v>4.7906202556827662E-2</v>
      </c>
      <c r="AU24">
        <f t="shared" si="303"/>
        <v>4.8809658890635453E-2</v>
      </c>
      <c r="AV24">
        <f t="shared" si="304"/>
        <v>4.9704178928710825E-2</v>
      </c>
      <c r="AW24">
        <f t="shared" si="305"/>
        <v>5.0589986917166888E-2</v>
      </c>
      <c r="AX24">
        <f t="shared" si="306"/>
        <v>2.9832082476869304E-2</v>
      </c>
      <c r="AY24">
        <f t="shared" si="307"/>
        <v>3.0258456263285532E-2</v>
      </c>
      <c r="AZ24">
        <f t="shared" si="308"/>
        <v>3.0754930016258203E-2</v>
      </c>
      <c r="BA24">
        <f t="shared" si="309"/>
        <v>3.1325260108155104E-2</v>
      </c>
      <c r="BB24">
        <f t="shared" si="310"/>
        <v>3.1973584830853864E-2</v>
      </c>
      <c r="BC24">
        <f t="shared" si="311"/>
        <v>3.2704468391027051E-2</v>
      </c>
      <c r="BD24">
        <f t="shared" si="312"/>
        <v>3.352295035070578E-2</v>
      </c>
      <c r="BE24">
        <f t="shared" si="313"/>
        <v>3.4434601352993428E-2</v>
      </c>
      <c r="BF24">
        <f t="shared" si="314"/>
        <v>3.544558611061531E-2</v>
      </c>
      <c r="BG24">
        <f t="shared" si="315"/>
        <v>3.6562734798929748E-2</v>
      </c>
      <c r="BH24">
        <f t="shared" si="316"/>
        <v>3.7793624190453914E-2</v>
      </c>
      <c r="BI24">
        <f t="shared" si="317"/>
        <v>3.9131288340621781E-2</v>
      </c>
      <c r="BJ24">
        <f t="shared" si="318"/>
        <v>4.0550498848370364E-2</v>
      </c>
      <c r="BK24">
        <f t="shared" si="319"/>
        <v>4.2056637962251377E-2</v>
      </c>
      <c r="BL24">
        <f t="shared" si="320"/>
        <v>4.3655493166961233E-2</v>
      </c>
      <c r="BM24">
        <f t="shared" si="321"/>
        <v>4.535323132936156E-2</v>
      </c>
      <c r="BN24">
        <f t="shared" si="322"/>
        <v>4.7124868716283783E-2</v>
      </c>
      <c r="BO24">
        <f t="shared" si="323"/>
        <v>4.8926944639437524E-2</v>
      </c>
      <c r="BP24">
        <f t="shared" si="324"/>
        <v>5.0760246256977393E-2</v>
      </c>
      <c r="BQ24">
        <f t="shared" si="325"/>
        <v>5.2625559814982535E-2</v>
      </c>
      <c r="BR24">
        <f t="shared" si="326"/>
        <v>5.4108450685436862E-2</v>
      </c>
      <c r="BS24">
        <f t="shared" si="327"/>
        <v>5.3432095051868897E-2</v>
      </c>
      <c r="BT24">
        <f t="shared" si="328"/>
        <v>5.2764193863720533E-2</v>
      </c>
      <c r="BU24">
        <f t="shared" si="329"/>
        <v>5.2104641440424038E-2</v>
      </c>
      <c r="BV24">
        <f t="shared" si="330"/>
        <v>5.1453333422418736E-2</v>
      </c>
      <c r="BW24">
        <f t="shared" si="331"/>
        <v>5.0810166754638494E-2</v>
      </c>
      <c r="BX24">
        <f t="shared" si="332"/>
        <v>5.0175039670205521E-2</v>
      </c>
      <c r="BY24">
        <f t="shared" si="333"/>
        <v>4.9547851674327958E-2</v>
      </c>
      <c r="BZ24">
        <f t="shared" si="334"/>
        <v>4.8928503528398858E-2</v>
      </c>
      <c r="CA24">
        <f t="shared" si="335"/>
        <v>4.8316897234293874E-2</v>
      </c>
      <c r="CB24">
        <f t="shared" si="336"/>
        <v>4.7712936018865205E-2</v>
      </c>
      <c r="CC24">
        <f t="shared" si="337"/>
        <v>4.7116524318629394E-2</v>
      </c>
      <c r="CD24">
        <f t="shared" si="338"/>
        <v>4.6527567764646525E-2</v>
      </c>
      <c r="CE24">
        <f t="shared" si="339"/>
        <v>4.5945973167588451E-2</v>
      </c>
      <c r="CF24">
        <f t="shared" si="340"/>
        <v>4.5371648502993592E-2</v>
      </c>
      <c r="CG24">
        <f t="shared" si="341"/>
        <v>4.4804502896706164E-2</v>
      </c>
      <c r="CH24">
        <f t="shared" si="342"/>
        <v>4.4244446610497333E-2</v>
      </c>
      <c r="CI24">
        <f t="shared" si="343"/>
        <v>4.3691391027866122E-2</v>
      </c>
      <c r="CJ24">
        <f t="shared" si="344"/>
        <v>4.31452486400178E-2</v>
      </c>
      <c r="CK24">
        <f t="shared" si="345"/>
        <v>4.2605933032017575E-2</v>
      </c>
      <c r="CL24">
        <f t="shared" si="346"/>
        <v>4.2073358869117353E-2</v>
      </c>
      <c r="CM24">
        <f t="shared" si="347"/>
        <v>4.1547441883253378E-2</v>
      </c>
      <c r="CN24">
        <f t="shared" si="348"/>
        <v>4.1028098859712717E-2</v>
      </c>
      <c r="CO24">
        <f t="shared" si="349"/>
        <v>4.05152476239663E-2</v>
      </c>
      <c r="CP24">
        <f t="shared" si="350"/>
        <v>4.0008807028666715E-2</v>
      </c>
      <c r="CQ24">
        <f t="shared" si="351"/>
        <v>3.9508696940808385E-2</v>
      </c>
      <c r="CR24">
        <f t="shared" si="352"/>
        <v>3.9014838229048276E-2</v>
      </c>
      <c r="CS24">
        <f t="shared" si="353"/>
        <v>3.8527152751185165E-2</v>
      </c>
      <c r="CT24">
        <f t="shared" si="354"/>
        <v>3.8045563341795353E-2</v>
      </c>
      <c r="CU24">
        <f t="shared" si="355"/>
        <v>3.7569993800022905E-2</v>
      </c>
      <c r="CV24">
        <f t="shared" si="356"/>
        <v>3.7100368877522619E-2</v>
      </c>
      <c r="CW24">
        <f t="shared" si="357"/>
        <v>3.6636614266553583E-2</v>
      </c>
      <c r="CX24">
        <f t="shared" si="358"/>
        <v>3.6178656588221655E-2</v>
      </c>
      <c r="CY24">
        <f t="shared" si="359"/>
        <v>3.5726423380868885E-2</v>
      </c>
      <c r="CZ24">
        <f t="shared" si="360"/>
        <v>3.5279843088608029E-2</v>
      </c>
      <c r="DA24">
        <f t="shared" si="361"/>
        <v>3.4838845050000435E-2</v>
      </c>
      <c r="DB24">
        <f t="shared" si="362"/>
        <v>3.440335948687543E-2</v>
      </c>
      <c r="DC24">
        <f t="shared" si="363"/>
        <v>3.3973317493289489E-2</v>
      </c>
      <c r="DD24">
        <f t="shared" si="364"/>
        <v>3.3548651024623365E-2</v>
      </c>
      <c r="DE24">
        <f t="shared" si="365"/>
        <v>3.3129292886815577E-2</v>
      </c>
      <c r="DF24">
        <f t="shared" si="366"/>
        <v>3.2715176725730377E-2</v>
      </c>
      <c r="DG24">
        <f t="shared" si="367"/>
        <v>3.2306237016658745E-2</v>
      </c>
      <c r="DH24">
        <f t="shared" si="368"/>
        <v>3.190240905395051E-2</v>
      </c>
      <c r="DI24">
        <f t="shared" si="369"/>
        <v>3.1503628940776129E-2</v>
      </c>
      <c r="DJ24">
        <f t="shared" si="370"/>
        <v>3.1109833579016432E-2</v>
      </c>
      <c r="DK24">
        <f t="shared" si="371"/>
        <v>3.0720960659278727E-2</v>
      </c>
      <c r="DL24">
        <f t="shared" si="372"/>
        <v>3.0336948651037744E-2</v>
      </c>
      <c r="DM24">
        <f t="shared" si="373"/>
        <v>2.9957736792899769E-2</v>
      </c>
      <c r="DN24">
        <f t="shared" si="374"/>
        <v>2.958326508298852E-2</v>
      </c>
      <c r="DO24">
        <f t="shared" si="375"/>
        <v>2.9213474269451166E-2</v>
      </c>
      <c r="DP24">
        <f t="shared" si="376"/>
        <v>2.8848305841083034E-2</v>
      </c>
      <c r="DQ24">
        <f t="shared" si="377"/>
        <v>2.8487702018069494E-2</v>
      </c>
      <c r="DR24">
        <f t="shared" si="378"/>
        <v>2.8131605742843624E-2</v>
      </c>
      <c r="DS24">
        <f t="shared" si="379"/>
        <v>2.777996067105808E-2</v>
      </c>
      <c r="DT24">
        <f t="shared" si="380"/>
        <v>2.7432711162669855E-2</v>
      </c>
      <c r="DU24">
        <f t="shared" si="381"/>
        <v>2.7089802273136475E-2</v>
      </c>
      <c r="DV24">
        <f t="shared" si="382"/>
        <v>2.6751179744722277E-2</v>
      </c>
      <c r="DW24">
        <f t="shared" si="383"/>
        <v>2.6416789997913248E-2</v>
      </c>
      <c r="DX24">
        <f t="shared" si="384"/>
        <v>2.608658012293933E-2</v>
      </c>
      <c r="DY24">
        <f t="shared" si="385"/>
        <v>2.5760497871402589E-2</v>
      </c>
      <c r="DZ24">
        <f t="shared" si="386"/>
        <v>2.5438491648010052E-2</v>
      </c>
      <c r="EA24">
        <f t="shared" si="387"/>
        <v>2.5120510502409932E-2</v>
      </c>
      <c r="EB24">
        <f t="shared" si="388"/>
        <v>2.4806504121129815E-2</v>
      </c>
      <c r="EC24">
        <f t="shared" si="389"/>
        <v>2.4496422819615692E-2</v>
      </c>
      <c r="ED24">
        <f t="shared" si="390"/>
        <v>2.4190217534370496E-2</v>
      </c>
      <c r="EE24">
        <f t="shared" si="391"/>
        <v>2.388783981519086E-2</v>
      </c>
      <c r="EF24">
        <f t="shared" si="392"/>
        <v>2.3589241817500974E-2</v>
      </c>
      <c r="EG24">
        <f t="shared" si="393"/>
        <v>2.3294376294782215E-2</v>
      </c>
      <c r="EH24">
        <f t="shared" si="394"/>
        <v>2.3003196591097442E-2</v>
      </c>
      <c r="EI24">
        <f t="shared" si="395"/>
        <v>2.2715656633708725E-2</v>
      </c>
      <c r="EJ24">
        <f t="shared" si="396"/>
        <v>2.2431710925787364E-2</v>
      </c>
      <c r="EK24">
        <f t="shared" si="397"/>
        <v>2.2151314539215018E-2</v>
      </c>
      <c r="EL24">
        <f t="shared" si="398"/>
        <v>2.1874423107474828E-2</v>
      </c>
      <c r="EM24">
        <f t="shared" si="399"/>
        <v>2.1600992818631391E-2</v>
      </c>
      <c r="EN24">
        <f t="shared" si="400"/>
        <v>2.1330980408398502E-2</v>
      </c>
      <c r="EO24">
        <f t="shared" si="401"/>
        <v>2.106434315329352E-2</v>
      </c>
      <c r="EP24">
        <f t="shared" si="402"/>
        <v>2.0801038863877352E-2</v>
      </c>
      <c r="EQ24">
        <f t="shared" si="403"/>
        <v>2.0541025878078888E-2</v>
      </c>
      <c r="ER24">
        <f t="shared" si="404"/>
        <v>2.0284263054602902E-2</v>
      </c>
      <c r="ES24">
        <f t="shared" si="405"/>
        <v>2.0030709766420362E-2</v>
      </c>
      <c r="ET24">
        <f t="shared" si="406"/>
        <v>1.978032589434011E-2</v>
      </c>
      <c r="EU24">
        <f t="shared" si="407"/>
        <v>1.9533071820660865E-2</v>
      </c>
      <c r="EV24">
        <f t="shared" si="408"/>
        <v>1.9288908422902606E-2</v>
      </c>
      <c r="EW24">
        <f t="shared" si="409"/>
        <v>1.9047797067616324E-2</v>
      </c>
      <c r="EX24">
        <f t="shared" si="410"/>
        <v>1.8809699604271125E-2</v>
      </c>
      <c r="EY24">
        <f t="shared" si="411"/>
        <v>1.857457835921773E-2</v>
      </c>
      <c r="EZ24">
        <f t="shared" si="412"/>
        <v>1.834239612972751E-2</v>
      </c>
      <c r="FA24">
        <f t="shared" si="413"/>
        <v>1.8113116178105914E-2</v>
      </c>
      <c r="FB24">
        <f t="shared" si="414"/>
        <v>1.788670222587959E-2</v>
      </c>
      <c r="FC24">
        <f t="shared" si="415"/>
        <v>1.7663118448056091E-2</v>
      </c>
      <c r="FD24">
        <f t="shared" si="416"/>
        <v>1.7442329467455386E-2</v>
      </c>
      <c r="FE24">
        <f t="shared" si="417"/>
        <v>1.7224300349112199E-2</v>
      </c>
      <c r="FF24">
        <f t="shared" si="418"/>
        <v>1.7008996594748294E-2</v>
      </c>
      <c r="FG24">
        <f t="shared" si="419"/>
        <v>1.6796384137313936E-2</v>
      </c>
      <c r="FH24">
        <f t="shared" si="420"/>
        <v>1.6586429335597508E-2</v>
      </c>
      <c r="FI24">
        <f t="shared" si="421"/>
        <v>1.637909896890254E-2</v>
      </c>
      <c r="FJ24">
        <f t="shared" si="422"/>
        <v>1.6174360231791262E-2</v>
      </c>
      <c r="FK24">
        <f t="shared" si="423"/>
        <v>1.5972180728893871E-2</v>
      </c>
      <c r="FL24">
        <f t="shared" si="424"/>
        <v>1.57725284697827E-2</v>
      </c>
      <c r="FM24">
        <f t="shared" si="425"/>
        <v>1.5575371863910415E-2</v>
      </c>
      <c r="FN24">
        <f t="shared" si="426"/>
        <v>1.5380679715611533E-2</v>
      </c>
      <c r="FO24">
        <f t="shared" si="427"/>
        <v>1.5188421219166392E-2</v>
      </c>
      <c r="FP24">
        <f t="shared" si="428"/>
        <v>1.4998565953926813E-2</v>
      </c>
      <c r="FQ24">
        <f t="shared" si="429"/>
        <v>1.4811083879502729E-2</v>
      </c>
      <c r="FR24">
        <f t="shared" si="430"/>
        <v>1.4625945331008949E-2</v>
      </c>
      <c r="FS24">
        <f t="shared" si="431"/>
        <v>1.4443121014371341E-2</v>
      </c>
      <c r="FT24">
        <f t="shared" si="432"/>
        <v>1.4262582001691703E-2</v>
      </c>
      <c r="FU24">
        <f t="shared" si="433"/>
        <v>1.4084299726670557E-2</v>
      </c>
      <c r="FV24">
        <f t="shared" si="434"/>
        <v>1.3908245980087174E-2</v>
      </c>
      <c r="FW24">
        <f t="shared" si="435"/>
        <v>1.3734392905336091E-2</v>
      </c>
      <c r="FX24">
        <f t="shared" si="436"/>
        <v>1.3562712994019389E-2</v>
      </c>
      <c r="FY24">
        <f t="shared" si="437"/>
        <v>1.3393179081594143E-2</v>
      </c>
      <c r="FZ24">
        <f t="shared" si="438"/>
        <v>1.3225764343074219E-2</v>
      </c>
      <c r="GA24">
        <f t="shared" si="439"/>
        <v>1.3060442288785789E-2</v>
      </c>
      <c r="GB24">
        <f t="shared" si="440"/>
        <v>1.2897186760175972E-2</v>
      </c>
      <c r="GC24">
        <f t="shared" si="441"/>
        <v>1.2735971925673772E-2</v>
      </c>
      <c r="GD24">
        <f t="shared" si="442"/>
        <v>1.2576772276602855E-2</v>
      </c>
      <c r="GE24">
        <f t="shared" si="443"/>
        <v>1.2419562623145319E-2</v>
      </c>
      <c r="GF24">
        <f t="shared" si="444"/>
        <v>1.2264318090356007E-2</v>
      </c>
      <c r="GG24">
        <f t="shared" si="445"/>
        <v>1.2111014114226559E-2</v>
      </c>
      <c r="GH24">
        <f t="shared" si="446"/>
        <v>1.1959626437798732E-2</v>
      </c>
      <c r="GI24">
        <f t="shared" si="447"/>
        <v>1.181013110732625E-2</v>
      </c>
      <c r="GJ24">
        <f t="shared" si="448"/>
        <v>1.1662504468484668E-2</v>
      </c>
      <c r="GK24">
        <f t="shared" si="449"/>
        <v>1.1516723162628606E-2</v>
      </c>
      <c r="GL24">
        <f t="shared" si="450"/>
        <v>1.1372764123095746E-2</v>
      </c>
      <c r="GM24">
        <f t="shared" si="451"/>
        <v>1.1230604571557046E-2</v>
      </c>
      <c r="GN24">
        <f t="shared" si="452"/>
        <v>1.1090222014412588E-2</v>
      </c>
      <c r="GO24">
        <f t="shared" si="453"/>
        <v>1.0951594239232431E-2</v>
      </c>
      <c r="GP24">
        <f t="shared" si="454"/>
        <v>1.0814699311242026E-2</v>
      </c>
      <c r="GQ24">
        <f t="shared" si="455"/>
        <v>1.0679515569851505E-2</v>
      </c>
      <c r="GR24">
        <f t="shared" si="456"/>
        <v>1.0546021625228363E-2</v>
      </c>
      <c r="GS24">
        <f t="shared" si="457"/>
        <v>1.0414196354913008E-2</v>
      </c>
      <c r="GT24">
        <f t="shared" si="458"/>
        <v>1.0284018900476598E-2</v>
      </c>
      <c r="GU24">
        <f t="shared" si="459"/>
        <v>1.0155468664220646E-2</v>
      </c>
      <c r="GV24">
        <f t="shared" si="460"/>
        <v>1.002852530591789E-2</v>
      </c>
      <c r="GW24">
        <f t="shared" si="461"/>
        <v>9.9031687395939143E-3</v>
      </c>
      <c r="GX24">
        <f t="shared" si="462"/>
        <v>9.7793791303489863E-3</v>
      </c>
      <c r="GY24">
        <f t="shared" si="463"/>
        <v>9.6571368912196191E-3</v>
      </c>
      <c r="GZ24">
        <f t="shared" si="464"/>
        <v>9.5364226800793706E-3</v>
      </c>
      <c r="HA24">
        <f t="shared" si="465"/>
        <v>9.4172173965783815E-3</v>
      </c>
      <c r="HB24">
        <f t="shared" si="466"/>
        <v>9.2995021791211548E-3</v>
      </c>
      <c r="HC24">
        <f t="shared" si="467"/>
        <v>9.1832584018821436E-3</v>
      </c>
      <c r="HD24">
        <f t="shared" si="468"/>
        <v>9.0684676718586158E-3</v>
      </c>
      <c r="HE24">
        <f t="shared" si="469"/>
        <v>8.9551118259603817E-3</v>
      </c>
      <c r="HF24">
        <f t="shared" si="470"/>
        <v>8.8431729281358788E-3</v>
      </c>
      <c r="HG24">
        <f t="shared" si="471"/>
        <v>8.7326332665341837E-3</v>
      </c>
      <c r="HH24">
        <f t="shared" si="472"/>
        <v>8.6234753507025037E-3</v>
      </c>
      <c r="HI24">
        <f t="shared" si="473"/>
        <v>8.5156819088187171E-3</v>
      </c>
      <c r="HJ24">
        <f t="shared" si="474"/>
        <v>8.4092358849584877E-3</v>
      </c>
      <c r="HK24">
        <f t="shared" si="475"/>
        <v>8.3041204363965108E-3</v>
      </c>
      <c r="HL24">
        <f t="shared" si="476"/>
        <v>8.2003189309415529E-3</v>
      </c>
      <c r="HM24">
        <f t="shared" si="477"/>
        <v>8.097814944304782E-3</v>
      </c>
      <c r="HN24">
        <f t="shared" si="478"/>
        <v>7.996592257500967E-3</v>
      </c>
      <c r="HO24">
        <f t="shared" si="479"/>
        <v>7.8966348542822036E-3</v>
      </c>
      <c r="HP24">
        <f t="shared" si="480"/>
        <v>7.7979269186036707E-3</v>
      </c>
      <c r="HQ24">
        <f t="shared" si="481"/>
        <v>7.7004528321211298E-3</v>
      </c>
      <c r="HR24">
        <f t="shared" si="482"/>
        <v>7.6041971717196177E-3</v>
      </c>
      <c r="HS24">
        <f t="shared" si="483"/>
        <v>7.5091447070731229E-3</v>
      </c>
      <c r="HT24">
        <f t="shared" si="484"/>
        <v>7.4152803982347141E-3</v>
      </c>
      <c r="HU24">
        <f t="shared" si="485"/>
        <v>7.3225893932567839E-3</v>
      </c>
      <c r="HV24">
        <f t="shared" si="486"/>
        <v>7.2310570258410697E-3</v>
      </c>
      <c r="HW24">
        <f t="shared" si="487"/>
        <v>7.1406688130180584E-3</v>
      </c>
      <c r="HX24">
        <f t="shared" si="488"/>
        <v>7.0514104528553332E-3</v>
      </c>
      <c r="HY24">
        <f t="shared" si="489"/>
        <v>6.9632678221946409E-3</v>
      </c>
      <c r="HZ24">
        <f t="shared" si="490"/>
        <v>6.8762269744172102E-3</v>
      </c>
      <c r="IA24">
        <f t="shared" si="491"/>
        <v>6.7902741372369959E-3</v>
      </c>
      <c r="IB24">
        <f t="shared" si="492"/>
        <v>6.7053957105215334E-3</v>
      </c>
      <c r="IC24">
        <f t="shared" si="493"/>
        <v>6.6215782641400158E-3</v>
      </c>
      <c r="ID24">
        <f t="shared" si="494"/>
        <v>6.5388085358382697E-3</v>
      </c>
      <c r="IE24">
        <f t="shared" si="495"/>
        <v>6.4570734291402917E-3</v>
      </c>
      <c r="IF24">
        <f t="shared" si="496"/>
        <v>6.3763600112760385E-3</v>
      </c>
      <c r="IG24">
        <f t="shared" si="497"/>
        <v>6.2966555111350856E-3</v>
      </c>
      <c r="IH24">
        <f t="shared" si="498"/>
        <v>6.2179473172458977E-3</v>
      </c>
      <c r="II24">
        <f t="shared" si="499"/>
        <v>6.1402229757803184E-3</v>
      </c>
      <c r="IJ24">
        <f t="shared" si="500"/>
        <v>6.0634701885830646E-3</v>
      </c>
      <c r="IK24">
        <f t="shared" si="501"/>
        <v>5.9876768112257731E-3</v>
      </c>
      <c r="IL24">
        <f t="shared" si="502"/>
        <v>5.9128308510854486E-3</v>
      </c>
      <c r="IM24">
        <f t="shared" si="503"/>
        <v>5.8389204654468842E-3</v>
      </c>
      <c r="IN24">
        <f t="shared" si="504"/>
        <v>5.7659339596287992E-3</v>
      </c>
      <c r="IO24">
        <f t="shared" si="505"/>
        <v>5.6938597851334373E-3</v>
      </c>
      <c r="IP24">
        <f t="shared" si="506"/>
        <v>5.6226865378192657E-3</v>
      </c>
      <c r="IQ24">
        <f t="shared" si="507"/>
        <v>5.5524029560965246E-3</v>
      </c>
      <c r="IR24">
        <f t="shared" si="508"/>
        <v>5.4829979191453162E-3</v>
      </c>
      <c r="IS24">
        <f t="shared" si="509"/>
        <v>5.414460445156E-3</v>
      </c>
      <c r="IT24">
        <f t="shared" si="510"/>
        <v>5.3467796895915517E-3</v>
      </c>
      <c r="IU24">
        <f t="shared" si="511"/>
        <v>5.2799449434716593E-3</v>
      </c>
      <c r="IV24">
        <f t="shared" si="512"/>
        <v>5.2139456316782629E-3</v>
      </c>
    </row>
    <row r="25" spans="1:256" x14ac:dyDescent="0.2">
      <c r="A25" t="s">
        <v>496</v>
      </c>
      <c r="B25">
        <f t="shared" si="258"/>
        <v>-3.6762528139891851E-2</v>
      </c>
      <c r="C25">
        <f t="shared" si="259"/>
        <v>-3.6302996538143201E-2</v>
      </c>
      <c r="D25">
        <f t="shared" si="260"/>
        <v>-3.5849209081416408E-2</v>
      </c>
      <c r="E25">
        <f t="shared" si="261"/>
        <v>-3.5401093967898707E-2</v>
      </c>
      <c r="F25">
        <f t="shared" si="262"/>
        <v>-3.4958580293299971E-2</v>
      </c>
      <c r="G25">
        <f t="shared" si="263"/>
        <v>-3.452159803963372E-2</v>
      </c>
      <c r="H25">
        <f t="shared" si="264"/>
        <v>-3.4090078064138302E-2</v>
      </c>
      <c r="I25">
        <f t="shared" si="265"/>
        <v>-3.3663952088336571E-2</v>
      </c>
      <c r="J25">
        <f t="shared" si="266"/>
        <v>-6.0196971288063159E-2</v>
      </c>
      <c r="K25">
        <f t="shared" si="267"/>
        <v>-5.9444509146962379E-2</v>
      </c>
      <c r="L25">
        <f t="shared" si="268"/>
        <v>-5.8701452782625355E-2</v>
      </c>
      <c r="M25">
        <f t="shared" si="269"/>
        <v>-5.796768462284254E-2</v>
      </c>
      <c r="N25">
        <f t="shared" si="270"/>
        <v>-5.7243088565056999E-2</v>
      </c>
      <c r="O25">
        <f t="shared" si="271"/>
        <v>-5.6527549957993785E-2</v>
      </c>
      <c r="P25">
        <f t="shared" si="272"/>
        <v>-5.5820955583518871E-2</v>
      </c>
      <c r="Q25">
        <f t="shared" si="273"/>
        <v>-5.5123193638724886E-2</v>
      </c>
      <c r="R25">
        <f t="shared" si="274"/>
        <v>-5.4434153718240827E-2</v>
      </c>
      <c r="S25">
        <f t="shared" si="275"/>
        <v>-5.3753726796762824E-2</v>
      </c>
      <c r="T25">
        <f t="shared" si="276"/>
        <v>-5.3081805211803293E-2</v>
      </c>
      <c r="U25">
        <f t="shared" si="277"/>
        <v>-5.2418282646655746E-2</v>
      </c>
      <c r="V25">
        <f t="shared" si="278"/>
        <v>-5.176305411357255E-2</v>
      </c>
      <c r="W25">
        <f t="shared" si="279"/>
        <v>-5.1116015937152891E-2</v>
      </c>
      <c r="X25">
        <f t="shared" si="280"/>
        <v>-5.0477065737938476E-2</v>
      </c>
      <c r="Y25">
        <f t="shared" si="281"/>
        <v>-4.9846102416214247E-2</v>
      </c>
      <c r="Z25">
        <f t="shared" si="282"/>
        <v>-3.9223026136011557E-2</v>
      </c>
      <c r="AA25">
        <f t="shared" si="283"/>
        <v>-3.8732738309311412E-2</v>
      </c>
      <c r="AB25">
        <f t="shared" si="284"/>
        <v>-3.824857908044503E-2</v>
      </c>
      <c r="AC25">
        <f t="shared" si="285"/>
        <v>-3.7770471841939462E-2</v>
      </c>
      <c r="AD25">
        <f t="shared" si="286"/>
        <v>-3.7298340943915216E-2</v>
      </c>
      <c r="AE25">
        <f t="shared" si="287"/>
        <v>-3.6832111682116267E-2</v>
      </c>
      <c r="AF25">
        <f t="shared" si="288"/>
        <v>-3.6371710286089813E-2</v>
      </c>
      <c r="AG25">
        <f t="shared" si="289"/>
        <v>-3.5917063907513695E-2</v>
      </c>
      <c r="AH25">
        <f t="shared" si="290"/>
        <v>1.8248246132052882E-2</v>
      </c>
      <c r="AI25">
        <f t="shared" si="291"/>
        <v>1.8020143055402216E-2</v>
      </c>
      <c r="AJ25">
        <f t="shared" si="292"/>
        <v>1.7794891267209689E-2</v>
      </c>
      <c r="AK25">
        <f t="shared" si="293"/>
        <v>1.7572455126369568E-2</v>
      </c>
      <c r="AL25">
        <f t="shared" si="294"/>
        <v>1.7352799437289946E-2</v>
      </c>
      <c r="AM25">
        <f t="shared" si="295"/>
        <v>1.7135889444323826E-2</v>
      </c>
      <c r="AN25">
        <f t="shared" si="296"/>
        <v>1.6921690826269774E-2</v>
      </c>
      <c r="AO25">
        <f t="shared" si="297"/>
        <v>1.6710169690941402E-2</v>
      </c>
      <c r="AP25">
        <f t="shared" si="298"/>
        <v>1.0697300843579205E-2</v>
      </c>
      <c r="AQ25">
        <f t="shared" si="299"/>
        <v>1.0563584583034469E-2</v>
      </c>
      <c r="AR25">
        <f t="shared" si="300"/>
        <v>1.0431539775746535E-2</v>
      </c>
      <c r="AS25">
        <f t="shared" si="301"/>
        <v>1.0301145528549705E-2</v>
      </c>
      <c r="AT25">
        <f t="shared" si="302"/>
        <v>1.0172381209442838E-2</v>
      </c>
      <c r="AU25">
        <f t="shared" si="303"/>
        <v>1.0045226444324807E-2</v>
      </c>
      <c r="AV25">
        <f t="shared" si="304"/>
        <v>9.9196611137707495E-3</v>
      </c>
      <c r="AW25">
        <f t="shared" si="305"/>
        <v>9.7956653498486139E-3</v>
      </c>
      <c r="AX25">
        <f t="shared" si="306"/>
        <v>4.1760861934319146E-2</v>
      </c>
      <c r="AY25">
        <f t="shared" si="307"/>
        <v>4.1238851160140158E-2</v>
      </c>
      <c r="AZ25">
        <f t="shared" si="308"/>
        <v>4.0723365520638398E-2</v>
      </c>
      <c r="BA25">
        <f t="shared" si="309"/>
        <v>4.0214323451630417E-2</v>
      </c>
      <c r="BB25">
        <f t="shared" si="310"/>
        <v>3.9711644408485035E-2</v>
      </c>
      <c r="BC25">
        <f t="shared" si="311"/>
        <v>3.9215248853378973E-2</v>
      </c>
      <c r="BD25">
        <f t="shared" si="312"/>
        <v>3.8725058242711732E-2</v>
      </c>
      <c r="BE25">
        <f t="shared" si="313"/>
        <v>3.8240995014677835E-2</v>
      </c>
      <c r="BF25">
        <f t="shared" si="314"/>
        <v>3.7762982576994363E-2</v>
      </c>
      <c r="BG25">
        <f t="shared" si="315"/>
        <v>3.7290945294781927E-2</v>
      </c>
      <c r="BH25">
        <f t="shared" si="316"/>
        <v>3.6824808478597162E-2</v>
      </c>
      <c r="BI25">
        <f t="shared" si="317"/>
        <v>3.6364498372614698E-2</v>
      </c>
      <c r="BJ25">
        <f t="shared" si="318"/>
        <v>3.5909942142957008E-2</v>
      </c>
      <c r="BK25">
        <f t="shared" si="319"/>
        <v>3.5461067866170051E-2</v>
      </c>
      <c r="BL25">
        <f t="shared" si="320"/>
        <v>3.5017804517842921E-2</v>
      </c>
      <c r="BM25">
        <f t="shared" si="321"/>
        <v>3.4580081961369878E-2</v>
      </c>
      <c r="BN25">
        <f t="shared" si="322"/>
        <v>3.4147830936852752E-2</v>
      </c>
      <c r="BO25">
        <f t="shared" si="323"/>
        <v>3.3720983050142095E-2</v>
      </c>
      <c r="BP25">
        <f t="shared" si="324"/>
        <v>3.3299470762015317E-2</v>
      </c>
      <c r="BQ25">
        <f t="shared" si="325"/>
        <v>3.2883227377490123E-2</v>
      </c>
      <c r="BR25">
        <f t="shared" si="326"/>
        <v>3.2472187035271494E-2</v>
      </c>
      <c r="BS25">
        <f t="shared" si="327"/>
        <v>3.2066284697330603E-2</v>
      </c>
      <c r="BT25">
        <f t="shared" si="328"/>
        <v>3.1665456138613969E-2</v>
      </c>
      <c r="BU25">
        <f t="shared" si="329"/>
        <v>3.1269637936881291E-2</v>
      </c>
      <c r="BV25">
        <f t="shared" si="330"/>
        <v>3.0878767462670275E-2</v>
      </c>
      <c r="BW25">
        <f t="shared" si="331"/>
        <v>3.0492782869386892E-2</v>
      </c>
      <c r="BX25">
        <f t="shared" si="332"/>
        <v>3.0111623083519556E-2</v>
      </c>
      <c r="BY25">
        <f t="shared" si="333"/>
        <v>2.9735227794975561E-2</v>
      </c>
      <c r="BZ25">
        <f t="shared" si="334"/>
        <v>2.936353744753837E-2</v>
      </c>
      <c r="CA25">
        <f t="shared" si="335"/>
        <v>2.8996493229444142E-2</v>
      </c>
      <c r="CB25">
        <f t="shared" si="336"/>
        <v>2.8634037064076089E-2</v>
      </c>
      <c r="CC25">
        <f t="shared" si="337"/>
        <v>2.8276111600775134E-2</v>
      </c>
      <c r="CD25">
        <f t="shared" si="338"/>
        <v>2.7922660205765448E-2</v>
      </c>
      <c r="CE25">
        <f t="shared" si="339"/>
        <v>2.7573626953193375E-2</v>
      </c>
      <c r="CF25">
        <f t="shared" si="340"/>
        <v>2.7228956616278454E-2</v>
      </c>
      <c r="CG25">
        <f t="shared" si="341"/>
        <v>2.6888594658574971E-2</v>
      </c>
      <c r="CH25">
        <f t="shared" si="342"/>
        <v>2.6552487225342779E-2</v>
      </c>
      <c r="CI25">
        <f t="shared" si="343"/>
        <v>2.6220581135026001E-2</v>
      </c>
      <c r="CJ25">
        <f t="shared" si="344"/>
        <v>2.5892823870838178E-2</v>
      </c>
      <c r="CK25">
        <f t="shared" si="345"/>
        <v>2.5569163572452702E-2</v>
      </c>
      <c r="CL25">
        <f t="shared" si="346"/>
        <v>2.5249549027797046E-2</v>
      </c>
      <c r="CM25">
        <f t="shared" si="347"/>
        <v>2.4933929664949582E-2</v>
      </c>
      <c r="CN25">
        <f t="shared" si="348"/>
        <v>2.4622255544137717E-2</v>
      </c>
      <c r="CO25">
        <f t="shared" si="349"/>
        <v>2.4314477349835995E-2</v>
      </c>
      <c r="CP25">
        <f t="shared" si="350"/>
        <v>2.4010546382963051E-2</v>
      </c>
      <c r="CQ25">
        <f t="shared" si="351"/>
        <v>2.3710414553176008E-2</v>
      </c>
      <c r="CR25">
        <f t="shared" si="352"/>
        <v>2.3414034371261307E-2</v>
      </c>
      <c r="CS25">
        <f t="shared" si="353"/>
        <v>2.312135894162054E-2</v>
      </c>
      <c r="CT25">
        <f t="shared" si="354"/>
        <v>2.2832341954850288E-2</v>
      </c>
      <c r="CU25">
        <f t="shared" si="355"/>
        <v>2.2546937680414658E-2</v>
      </c>
      <c r="CV25">
        <f t="shared" si="356"/>
        <v>2.2265100959409478E-2</v>
      </c>
      <c r="CW25">
        <f t="shared" si="357"/>
        <v>2.1986787197416858E-2</v>
      </c>
      <c r="CX25">
        <f t="shared" si="358"/>
        <v>2.171195235744915E-2</v>
      </c>
      <c r="CY25">
        <f t="shared" si="359"/>
        <v>2.1440552952981039E-2</v>
      </c>
      <c r="CZ25">
        <f t="shared" si="360"/>
        <v>2.1172546041068774E-2</v>
      </c>
      <c r="DA25">
        <f t="shared" si="361"/>
        <v>2.090788921555542E-2</v>
      </c>
      <c r="DB25">
        <f t="shared" si="362"/>
        <v>2.0646540600360974E-2</v>
      </c>
      <c r="DC25">
        <f t="shared" si="363"/>
        <v>2.038845884285646E-2</v>
      </c>
      <c r="DD25">
        <f t="shared" si="364"/>
        <v>2.0133603107320753E-2</v>
      </c>
      <c r="DE25">
        <f t="shared" si="365"/>
        <v>1.9881933068479241E-2</v>
      </c>
      <c r="DF25">
        <f t="shared" si="366"/>
        <v>1.9633408905123252E-2</v>
      </c>
      <c r="DG25">
        <f t="shared" si="367"/>
        <v>1.9387991293809213E-2</v>
      </c>
      <c r="DH25">
        <f t="shared" si="368"/>
        <v>1.9145641402636603E-2</v>
      </c>
      <c r="DI25">
        <f t="shared" si="369"/>
        <v>1.8906320885103644E-2</v>
      </c>
      <c r="DJ25">
        <f t="shared" si="370"/>
        <v>1.8669991874039848E-2</v>
      </c>
      <c r="DK25">
        <f t="shared" si="371"/>
        <v>1.8436616975614349E-2</v>
      </c>
      <c r="DL25">
        <f t="shared" si="372"/>
        <v>1.8206159263419175E-2</v>
      </c>
      <c r="DM25">
        <f t="shared" si="373"/>
        <v>1.7978582272626432E-2</v>
      </c>
      <c r="DN25">
        <f t="shared" si="374"/>
        <v>1.7753849994218595E-2</v>
      </c>
      <c r="DO25">
        <f t="shared" si="375"/>
        <v>1.7531926869290858E-2</v>
      </c>
      <c r="DP25">
        <f t="shared" si="376"/>
        <v>1.7312777783424726E-2</v>
      </c>
      <c r="DQ25">
        <f t="shared" si="377"/>
        <v>1.7096368061131916E-2</v>
      </c>
      <c r="DR25">
        <f t="shared" si="378"/>
        <v>1.6882663460367764E-2</v>
      </c>
      <c r="DS25">
        <f t="shared" si="379"/>
        <v>1.667163016711317E-2</v>
      </c>
      <c r="DT25">
        <f t="shared" si="380"/>
        <v>1.6463234790024261E-2</v>
      </c>
      <c r="DU25">
        <f t="shared" si="381"/>
        <v>1.6257444355148955E-2</v>
      </c>
      <c r="DV25">
        <f t="shared" si="382"/>
        <v>1.6054226300709594E-2</v>
      </c>
      <c r="DW25">
        <f t="shared" si="383"/>
        <v>1.5853548471950731E-2</v>
      </c>
      <c r="DX25">
        <f t="shared" si="384"/>
        <v>1.565537911605135E-2</v>
      </c>
      <c r="DY25">
        <f t="shared" si="385"/>
        <v>1.5459686877100708E-2</v>
      </c>
      <c r="DZ25">
        <f t="shared" si="386"/>
        <v>1.5266440791136949E-2</v>
      </c>
      <c r="EA25">
        <f t="shared" si="387"/>
        <v>1.5075610281247731E-2</v>
      </c>
      <c r="EB25">
        <f t="shared" si="388"/>
        <v>1.488716515273213E-2</v>
      </c>
      <c r="EC25">
        <f t="shared" si="389"/>
        <v>1.4701075588322976E-2</v>
      </c>
      <c r="ED25">
        <f t="shared" si="390"/>
        <v>1.4517312143468941E-2</v>
      </c>
      <c r="EE25">
        <f t="shared" si="391"/>
        <v>1.4335845741675578E-2</v>
      </c>
      <c r="EF25">
        <f t="shared" si="392"/>
        <v>1.4156647669904631E-2</v>
      </c>
      <c r="EG25">
        <f t="shared" si="393"/>
        <v>1.397968957403083E-2</v>
      </c>
      <c r="EH25">
        <f t="shared" si="394"/>
        <v>1.3804943454355446E-2</v>
      </c>
      <c r="EI25">
        <f t="shared" si="395"/>
        <v>1.3632381661176007E-2</v>
      </c>
      <c r="EJ25">
        <f t="shared" si="396"/>
        <v>1.3461976890411309E-2</v>
      </c>
      <c r="EK25">
        <f t="shared" si="397"/>
        <v>1.3293702179281164E-2</v>
      </c>
      <c r="EL25">
        <f t="shared" si="398"/>
        <v>1.3127530902040153E-2</v>
      </c>
      <c r="EM25">
        <f t="shared" si="399"/>
        <v>1.2963436765764646E-2</v>
      </c>
      <c r="EN25">
        <f t="shared" si="400"/>
        <v>1.2801393806192584E-2</v>
      </c>
      <c r="EO25">
        <f t="shared" si="401"/>
        <v>1.2641376383615177E-2</v>
      </c>
      <c r="EP25">
        <f t="shared" si="402"/>
        <v>1.2483359178819986E-2</v>
      </c>
      <c r="EQ25">
        <f t="shared" si="403"/>
        <v>1.2327317189084742E-2</v>
      </c>
      <c r="ER25">
        <f t="shared" si="404"/>
        <v>1.2173225724221182E-2</v>
      </c>
      <c r="ES25">
        <f t="shared" si="405"/>
        <v>1.2021060402668416E-2</v>
      </c>
      <c r="ET25">
        <f t="shared" si="406"/>
        <v>1.1870797147635059E-2</v>
      </c>
      <c r="EU25">
        <f t="shared" si="407"/>
        <v>1.1722412183289621E-2</v>
      </c>
      <c r="EV25">
        <f t="shared" si="408"/>
        <v>1.1575882030998496E-2</v>
      </c>
      <c r="EW25">
        <f t="shared" si="409"/>
        <v>1.1431183505611019E-2</v>
      </c>
      <c r="EX25">
        <f t="shared" si="410"/>
        <v>1.1288293711790886E-2</v>
      </c>
      <c r="EY25">
        <f t="shared" si="411"/>
        <v>1.1147190040393495E-2</v>
      </c>
      <c r="EZ25">
        <f t="shared" si="412"/>
        <v>1.1007850164888578E-2</v>
      </c>
      <c r="FA25">
        <f t="shared" si="413"/>
        <v>1.0870252037827466E-2</v>
      </c>
      <c r="FB25">
        <f t="shared" si="414"/>
        <v>1.0734373887354621E-2</v>
      </c>
      <c r="FC25">
        <f t="shared" si="415"/>
        <v>1.0600194213762692E-2</v>
      </c>
      <c r="FD25">
        <f t="shared" si="416"/>
        <v>1.0467691786090661E-2</v>
      </c>
      <c r="FE25">
        <f t="shared" si="417"/>
        <v>1.0336845638764525E-2</v>
      </c>
      <c r="FF25">
        <f t="shared" si="418"/>
        <v>1.0207635068279963E-2</v>
      </c>
      <c r="FG25">
        <f t="shared" si="419"/>
        <v>1.0080039629926462E-2</v>
      </c>
      <c r="FH25">
        <f t="shared" si="420"/>
        <v>9.9540391345523845E-3</v>
      </c>
      <c r="FI25">
        <f t="shared" si="421"/>
        <v>9.8296136453704837E-3</v>
      </c>
      <c r="FJ25">
        <f t="shared" si="422"/>
        <v>9.706743474803348E-3</v>
      </c>
      <c r="FK25">
        <f t="shared" si="423"/>
        <v>9.5854091813683089E-3</v>
      </c>
      <c r="FL25">
        <f t="shared" si="424"/>
        <v>9.4655915666012058E-3</v>
      </c>
      <c r="FM25">
        <f t="shared" si="425"/>
        <v>9.3472716720186862E-3</v>
      </c>
      <c r="FN25">
        <f t="shared" si="426"/>
        <v>9.2304307761184486E-3</v>
      </c>
      <c r="FO25">
        <f t="shared" si="427"/>
        <v>9.1150503914169678E-3</v>
      </c>
      <c r="FP25">
        <f t="shared" si="428"/>
        <v>9.0011122615242575E-3</v>
      </c>
      <c r="FQ25">
        <f t="shared" si="429"/>
        <v>8.888598358255206E-3</v>
      </c>
      <c r="FR25">
        <f t="shared" si="430"/>
        <v>8.7774908787770171E-3</v>
      </c>
      <c r="FS25">
        <f t="shared" si="431"/>
        <v>8.6677722427923043E-3</v>
      </c>
      <c r="FT25">
        <f t="shared" si="432"/>
        <v>8.5594250897574001E-3</v>
      </c>
      <c r="FU25">
        <f t="shared" si="433"/>
        <v>8.452432276135435E-3</v>
      </c>
      <c r="FV25">
        <f t="shared" si="434"/>
        <v>8.3467768726837484E-3</v>
      </c>
      <c r="FW25">
        <f t="shared" si="435"/>
        <v>8.2424421617751983E-3</v>
      </c>
      <c r="FX25">
        <f t="shared" si="436"/>
        <v>8.1394116347530132E-3</v>
      </c>
      <c r="FY25">
        <f t="shared" si="437"/>
        <v>8.0376689893186023E-3</v>
      </c>
      <c r="FZ25">
        <f t="shared" si="438"/>
        <v>7.9371981269521167E-3</v>
      </c>
      <c r="GA25">
        <f t="shared" si="439"/>
        <v>7.8379831503652131E-3</v>
      </c>
      <c r="GB25">
        <f t="shared" si="440"/>
        <v>7.7400083609856507E-3</v>
      </c>
      <c r="GC25">
        <f t="shared" si="441"/>
        <v>7.6432582564733287E-3</v>
      </c>
      <c r="GD25">
        <f t="shared" si="442"/>
        <v>7.5477175282674166E-3</v>
      </c>
      <c r="GE25">
        <f t="shared" si="443"/>
        <v>7.4533710591640715E-3</v>
      </c>
      <c r="GF25">
        <f t="shared" si="444"/>
        <v>7.3602039209245242E-3</v>
      </c>
      <c r="GG25">
        <f t="shared" si="445"/>
        <v>7.2682013719129633E-3</v>
      </c>
      <c r="GH25">
        <f t="shared" si="446"/>
        <v>7.1773488547640539E-3</v>
      </c>
      <c r="GI25">
        <f t="shared" si="447"/>
        <v>7.0876319940795015E-3</v>
      </c>
      <c r="GJ25">
        <f t="shared" si="448"/>
        <v>6.9990365941535069E-3</v>
      </c>
      <c r="GK25">
        <f t="shared" si="449"/>
        <v>6.9115486367265829E-3</v>
      </c>
      <c r="GL25">
        <f t="shared" si="450"/>
        <v>6.8251542787674977E-3</v>
      </c>
      <c r="GM25">
        <f t="shared" si="451"/>
        <v>6.7398398502829023E-3</v>
      </c>
      <c r="GN25">
        <f t="shared" si="452"/>
        <v>6.6555918521543633E-3</v>
      </c>
      <c r="GO25">
        <f t="shared" si="453"/>
        <v>6.5723969540024355E-3</v>
      </c>
      <c r="GP25">
        <f t="shared" si="454"/>
        <v>6.4902419920774054E-3</v>
      </c>
      <c r="GQ25">
        <f t="shared" si="455"/>
        <v>6.4091139671764389E-3</v>
      </c>
      <c r="GR25">
        <f t="shared" si="456"/>
        <v>6.3290000425867297E-3</v>
      </c>
      <c r="GS25">
        <f t="shared" si="457"/>
        <v>6.2498875420543996E-3</v>
      </c>
      <c r="GT25">
        <f t="shared" si="458"/>
        <v>6.1717639477787186E-3</v>
      </c>
      <c r="GU25">
        <f t="shared" si="459"/>
        <v>6.0946168984314817E-3</v>
      </c>
      <c r="GV25">
        <f t="shared" si="460"/>
        <v>6.0184341872010936E-3</v>
      </c>
      <c r="GW25">
        <f t="shared" si="461"/>
        <v>5.9432037598610822E-3</v>
      </c>
      <c r="GX25">
        <f t="shared" si="462"/>
        <v>5.8689137128628225E-3</v>
      </c>
      <c r="GY25">
        <f t="shared" si="463"/>
        <v>5.7955522914520333E-3</v>
      </c>
      <c r="GZ25">
        <f t="shared" si="464"/>
        <v>5.723107887808887E-3</v>
      </c>
      <c r="HA25">
        <f t="shared" si="465"/>
        <v>5.6515690392112796E-3</v>
      </c>
      <c r="HB25">
        <f t="shared" si="466"/>
        <v>5.580924426221134E-3</v>
      </c>
      <c r="HC25">
        <f t="shared" si="467"/>
        <v>5.5111628708933713E-3</v>
      </c>
      <c r="HD25">
        <f t="shared" si="468"/>
        <v>5.4422733350072087E-3</v>
      </c>
      <c r="HE25">
        <f t="shared" si="469"/>
        <v>5.374244918319615E-3</v>
      </c>
      <c r="HF25">
        <f t="shared" si="470"/>
        <v>5.3070668568406141E-3</v>
      </c>
      <c r="HG25">
        <f t="shared" si="471"/>
        <v>5.2407285211301113E-3</v>
      </c>
      <c r="HH25">
        <f t="shared" si="472"/>
        <v>5.1752194146159839E-3</v>
      </c>
      <c r="HI25">
        <f t="shared" si="473"/>
        <v>5.110529171933287E-3</v>
      </c>
      <c r="HJ25">
        <f t="shared" si="474"/>
        <v>5.046647557284123E-3</v>
      </c>
      <c r="HK25">
        <f t="shared" si="475"/>
        <v>4.9835644628180688E-3</v>
      </c>
      <c r="HL25">
        <f t="shared" si="476"/>
        <v>4.9212699070328436E-3</v>
      </c>
      <c r="HM25">
        <f t="shared" si="477"/>
        <v>4.8597540331949294E-3</v>
      </c>
      <c r="HN25">
        <f t="shared" si="478"/>
        <v>4.799007107779996E-3</v>
      </c>
      <c r="HO25">
        <f t="shared" si="479"/>
        <v>4.7390195189327411E-3</v>
      </c>
      <c r="HP25">
        <f t="shared" si="480"/>
        <v>4.6797817749460787E-3</v>
      </c>
      <c r="HQ25">
        <f t="shared" si="481"/>
        <v>4.621284502759249E-3</v>
      </c>
      <c r="HR25">
        <f t="shared" si="482"/>
        <v>4.5635184464747573E-3</v>
      </c>
      <c r="HS25">
        <f t="shared" si="483"/>
        <v>4.5064744658938173E-3</v>
      </c>
      <c r="HT25">
        <f t="shared" si="484"/>
        <v>4.4501435350701394E-3</v>
      </c>
      <c r="HU25">
        <f t="shared" si="485"/>
        <v>4.3945167408817598E-3</v>
      </c>
      <c r="HV25">
        <f t="shared" si="486"/>
        <v>4.3395852816207389E-3</v>
      </c>
      <c r="HW25">
        <f t="shared" si="487"/>
        <v>4.2853404656004847E-3</v>
      </c>
      <c r="HX25">
        <f t="shared" si="488"/>
        <v>4.2317737097804734E-3</v>
      </c>
      <c r="HY25">
        <f t="shared" si="489"/>
        <v>4.1788765384082162E-3</v>
      </c>
      <c r="HZ25">
        <f t="shared" si="490"/>
        <v>4.1266405816781093E-3</v>
      </c>
      <c r="IA25">
        <f t="shared" si="491"/>
        <v>4.0750575744071373E-3</v>
      </c>
      <c r="IB25">
        <f t="shared" si="492"/>
        <v>4.0241193547270512E-3</v>
      </c>
      <c r="IC25">
        <f t="shared" si="493"/>
        <v>3.9738178627929614E-3</v>
      </c>
      <c r="ID25">
        <f t="shared" si="494"/>
        <v>3.9241451395080505E-3</v>
      </c>
      <c r="IE25">
        <f t="shared" si="495"/>
        <v>3.8750933252642006E-3</v>
      </c>
      <c r="IF25">
        <f t="shared" si="496"/>
        <v>3.8266546586984028E-3</v>
      </c>
      <c r="IG25">
        <f t="shared" si="497"/>
        <v>3.7788214754646775E-3</v>
      </c>
      <c r="IH25">
        <f t="shared" si="498"/>
        <v>3.7315862070213647E-3</v>
      </c>
      <c r="II25">
        <f t="shared" si="499"/>
        <v>3.6849413794335928E-3</v>
      </c>
      <c r="IJ25">
        <f t="shared" si="500"/>
        <v>3.6388796121906708E-3</v>
      </c>
      <c r="IK25">
        <f t="shared" si="501"/>
        <v>3.5933936170382875E-3</v>
      </c>
      <c r="IL25">
        <f t="shared" si="502"/>
        <v>3.5484761968253122E-3</v>
      </c>
      <c r="IM25">
        <f t="shared" si="503"/>
        <v>3.5041202443649943E-3</v>
      </c>
      <c r="IN25">
        <f t="shared" si="504"/>
        <v>3.460318741310431E-3</v>
      </c>
      <c r="IO25">
        <f t="shared" si="505"/>
        <v>3.4170647570440525E-3</v>
      </c>
      <c r="IP25">
        <f t="shared" si="506"/>
        <v>3.3743514475810033E-3</v>
      </c>
      <c r="IQ25">
        <f t="shared" si="507"/>
        <v>3.3321720544862376E-3</v>
      </c>
      <c r="IR25">
        <f t="shared" si="508"/>
        <v>3.2905199038051557E-3</v>
      </c>
      <c r="IS25">
        <f t="shared" si="509"/>
        <v>3.2493884050075915E-3</v>
      </c>
      <c r="IT25">
        <f t="shared" si="510"/>
        <v>3.2087710499449917E-3</v>
      </c>
      <c r="IU25">
        <f t="shared" si="511"/>
        <v>3.1686614118206836E-3</v>
      </c>
      <c r="IV25">
        <f t="shared" si="512"/>
        <v>3.129053144172922E-3</v>
      </c>
    </row>
    <row r="26" spans="1:256" x14ac:dyDescent="0.2">
      <c r="A26" t="s">
        <v>497</v>
      </c>
      <c r="B26">
        <f t="shared" si="258"/>
        <v>-1.5071862326310748E-3</v>
      </c>
      <c r="C26">
        <f t="shared" si="259"/>
        <v>-1.4883464047231842E-3</v>
      </c>
      <c r="D26">
        <f t="shared" si="260"/>
        <v>-1.4697420746641488E-3</v>
      </c>
      <c r="E26">
        <f t="shared" si="261"/>
        <v>-1.4513702987308474E-3</v>
      </c>
      <c r="F26">
        <f t="shared" si="262"/>
        <v>-1.4332281699967141E-3</v>
      </c>
      <c r="G26">
        <f t="shared" si="263"/>
        <v>-1.4153128178717501E-3</v>
      </c>
      <c r="H26">
        <f t="shared" si="264"/>
        <v>-1.3976214076483529E-3</v>
      </c>
      <c r="I26">
        <f t="shared" si="265"/>
        <v>-1.3801511400527433E-3</v>
      </c>
      <c r="J26">
        <f t="shared" si="266"/>
        <v>4.6170493952043833E-2</v>
      </c>
      <c r="K26">
        <f t="shared" si="267"/>
        <v>4.5593362777643288E-2</v>
      </c>
      <c r="L26">
        <f t="shared" si="268"/>
        <v>4.5023445742922739E-2</v>
      </c>
      <c r="M26">
        <f t="shared" si="269"/>
        <v>4.4460652671136205E-2</v>
      </c>
      <c r="N26">
        <f t="shared" si="270"/>
        <v>4.3904894512746998E-2</v>
      </c>
      <c r="O26">
        <f t="shared" si="271"/>
        <v>4.3356083331337655E-2</v>
      </c>
      <c r="P26">
        <f t="shared" si="272"/>
        <v>4.2814132289695939E-2</v>
      </c>
      <c r="Q26">
        <f t="shared" si="273"/>
        <v>4.2278955636074741E-2</v>
      </c>
      <c r="R26">
        <f t="shared" si="274"/>
        <v>4.1750468690623807E-2</v>
      </c>
      <c r="S26">
        <f t="shared" si="275"/>
        <v>4.1228587831991015E-2</v>
      </c>
      <c r="T26">
        <f t="shared" si="276"/>
        <v>4.0713230484091124E-2</v>
      </c>
      <c r="U26">
        <f t="shared" si="277"/>
        <v>4.0204315103039991E-2</v>
      </c>
      <c r="V26">
        <f t="shared" si="278"/>
        <v>3.9701761164251989E-2</v>
      </c>
      <c r="W26">
        <f t="shared" si="279"/>
        <v>3.9205489149698847E-2</v>
      </c>
      <c r="X26">
        <f t="shared" si="280"/>
        <v>3.8715420535327616E-2</v>
      </c>
      <c r="Y26">
        <f t="shared" si="281"/>
        <v>3.8231477778636024E-2</v>
      </c>
      <c r="Z26">
        <f t="shared" si="282"/>
        <v>3.7753584306403076E-2</v>
      </c>
      <c r="AA26">
        <f t="shared" si="283"/>
        <v>3.7281664502573045E-2</v>
      </c>
      <c r="AB26">
        <f t="shared" si="284"/>
        <v>3.6815643696290881E-2</v>
      </c>
      <c r="AC26">
        <f t="shared" si="285"/>
        <v>3.6355448150087247E-2</v>
      </c>
      <c r="AD26">
        <f t="shared" si="286"/>
        <v>3.5901005048211157E-2</v>
      </c>
      <c r="AE26">
        <f t="shared" si="287"/>
        <v>3.5452242485108511E-2</v>
      </c>
      <c r="AF26">
        <f t="shared" si="288"/>
        <v>3.5009089454044649E-2</v>
      </c>
      <c r="AG26">
        <f t="shared" si="289"/>
        <v>3.4571475835869094E-2</v>
      </c>
      <c r="AH26">
        <f t="shared" si="290"/>
        <v>-1.1886874582294116E-2</v>
      </c>
      <c r="AI26">
        <f t="shared" si="291"/>
        <v>-1.1738288650015439E-2</v>
      </c>
      <c r="AJ26">
        <f t="shared" si="292"/>
        <v>-1.1591560041890247E-2</v>
      </c>
      <c r="AK26">
        <f t="shared" si="293"/>
        <v>-1.1446665541366618E-2</v>
      </c>
      <c r="AL26">
        <f t="shared" si="294"/>
        <v>-1.130358222209954E-2</v>
      </c>
      <c r="AM26">
        <f t="shared" si="295"/>
        <v>-1.1162287444323293E-2</v>
      </c>
      <c r="AN26">
        <f t="shared" si="296"/>
        <v>-1.1022758851269254E-2</v>
      </c>
      <c r="AO26">
        <f t="shared" si="297"/>
        <v>-1.0884974365628386E-2</v>
      </c>
      <c r="AP26">
        <f t="shared" si="298"/>
        <v>7.5901569682881977E-3</v>
      </c>
      <c r="AQ26">
        <f t="shared" si="299"/>
        <v>7.4952800061845902E-3</v>
      </c>
      <c r="AR26">
        <f t="shared" si="300"/>
        <v>7.4015890061072788E-3</v>
      </c>
      <c r="AS26">
        <f t="shared" si="301"/>
        <v>7.3090691435309333E-3</v>
      </c>
      <c r="AT26">
        <f t="shared" si="302"/>
        <v>7.2177057792367936E-3</v>
      </c>
      <c r="AU26">
        <f t="shared" si="303"/>
        <v>7.1274844569963356E-3</v>
      </c>
      <c r="AV26">
        <f t="shared" si="304"/>
        <v>7.0383909012838863E-3</v>
      </c>
      <c r="AW26">
        <f t="shared" si="305"/>
        <v>6.950411015017843E-3</v>
      </c>
      <c r="AX26">
        <f t="shared" si="306"/>
        <v>3.4550522336552966E-2</v>
      </c>
      <c r="AY26">
        <f t="shared" si="307"/>
        <v>3.4118640807346057E-2</v>
      </c>
      <c r="AZ26">
        <f t="shared" si="308"/>
        <v>3.3692157797254228E-2</v>
      </c>
      <c r="BA26">
        <f t="shared" si="309"/>
        <v>3.3271005824788549E-2</v>
      </c>
      <c r="BB26">
        <f t="shared" si="310"/>
        <v>3.2855118251978691E-2</v>
      </c>
      <c r="BC26">
        <f t="shared" si="311"/>
        <v>3.2444429273828956E-2</v>
      </c>
      <c r="BD26">
        <f t="shared" si="312"/>
        <v>3.2038873907906093E-2</v>
      </c>
      <c r="BE26">
        <f t="shared" si="313"/>
        <v>3.163838798405727E-2</v>
      </c>
      <c r="BF26">
        <f t="shared" si="314"/>
        <v>3.1242908134256554E-2</v>
      </c>
      <c r="BG26">
        <f t="shared" si="315"/>
        <v>3.0852371782578346E-2</v>
      </c>
      <c r="BH26">
        <f t="shared" si="316"/>
        <v>3.0466717135296119E-2</v>
      </c>
      <c r="BI26">
        <f t="shared" si="317"/>
        <v>3.0085883171104923E-2</v>
      </c>
      <c r="BJ26">
        <f t="shared" si="318"/>
        <v>2.9709809631466112E-2</v>
      </c>
      <c r="BK26">
        <f t="shared" si="319"/>
        <v>2.9338437011072784E-2</v>
      </c>
      <c r="BL26">
        <f t="shared" si="320"/>
        <v>2.8971706548434374E-2</v>
      </c>
      <c r="BM26">
        <f t="shared" si="321"/>
        <v>2.8609560216578945E-2</v>
      </c>
      <c r="BN26">
        <f t="shared" si="322"/>
        <v>2.8251940713871704E-2</v>
      </c>
      <c r="BO26">
        <f t="shared" si="323"/>
        <v>2.7898791454948314E-2</v>
      </c>
      <c r="BP26">
        <f t="shared" si="324"/>
        <v>2.755005656176146E-2</v>
      </c>
      <c r="BQ26">
        <f t="shared" si="325"/>
        <v>2.7205680854739445E-2</v>
      </c>
      <c r="BR26">
        <f t="shared" si="326"/>
        <v>2.6865609844055206E-2</v>
      </c>
      <c r="BS26">
        <f t="shared" si="327"/>
        <v>2.6529789721004515E-2</v>
      </c>
      <c r="BT26">
        <f t="shared" si="328"/>
        <v>2.6198167349491965E-2</v>
      </c>
      <c r="BU26">
        <f t="shared" si="329"/>
        <v>2.587069025762332E-2</v>
      </c>
      <c r="BV26">
        <f t="shared" si="330"/>
        <v>2.5547306629403032E-2</v>
      </c>
      <c r="BW26">
        <f t="shared" si="331"/>
        <v>2.5227965296535492E-2</v>
      </c>
      <c r="BX26">
        <f t="shared" si="332"/>
        <v>2.4912615730328803E-2</v>
      </c>
      <c r="BY26">
        <f t="shared" si="333"/>
        <v>2.4601208033699695E-2</v>
      </c>
      <c r="BZ26">
        <f t="shared" si="334"/>
        <v>2.4293692933278453E-2</v>
      </c>
      <c r="CA26">
        <f t="shared" si="335"/>
        <v>2.3990021771612469E-2</v>
      </c>
      <c r="CB26">
        <f t="shared" si="336"/>
        <v>2.3690146499467313E-2</v>
      </c>
      <c r="CC26">
        <f t="shared" si="337"/>
        <v>2.3394019668223975E-2</v>
      </c>
      <c r="CD26">
        <f t="shared" si="338"/>
        <v>2.3101594422371176E-2</v>
      </c>
      <c r="CE26">
        <f t="shared" si="339"/>
        <v>2.2812824492091533E-2</v>
      </c>
      <c r="CF26">
        <f t="shared" si="340"/>
        <v>2.2527664185940387E-2</v>
      </c>
      <c r="CG26">
        <f t="shared" si="341"/>
        <v>2.2246068383616136E-2</v>
      </c>
      <c r="CH26">
        <f t="shared" si="342"/>
        <v>2.1967992528820934E-2</v>
      </c>
      <c r="CI26">
        <f t="shared" si="343"/>
        <v>2.1693392622210671E-2</v>
      </c>
      <c r="CJ26">
        <f t="shared" si="344"/>
        <v>2.1422225214433044E-2</v>
      </c>
      <c r="CK26">
        <f t="shared" si="345"/>
        <v>2.1154447399252631E-2</v>
      </c>
      <c r="CL26">
        <f t="shared" si="346"/>
        <v>2.0890016806761967E-2</v>
      </c>
      <c r="CM26">
        <f t="shared" si="347"/>
        <v>2.0628891596677447E-2</v>
      </c>
      <c r="CN26">
        <f t="shared" si="348"/>
        <v>2.0371030451718973E-2</v>
      </c>
      <c r="CO26">
        <f t="shared" si="349"/>
        <v>2.0116392571072485E-2</v>
      </c>
      <c r="CP26">
        <f t="shared" si="350"/>
        <v>1.9864937663934081E-2</v>
      </c>
      <c r="CQ26">
        <f t="shared" si="351"/>
        <v>1.9616625943134902E-2</v>
      </c>
      <c r="CR26">
        <f t="shared" si="352"/>
        <v>1.9371418118845719E-2</v>
      </c>
      <c r="CS26">
        <f t="shared" si="353"/>
        <v>1.9129275392360146E-2</v>
      </c>
      <c r="CT26">
        <f t="shared" si="354"/>
        <v>1.8890159449955646E-2</v>
      </c>
      <c r="CU26">
        <f t="shared" si="355"/>
        <v>1.8654032456831206E-2</v>
      </c>
      <c r="CV26">
        <f t="shared" si="356"/>
        <v>1.8420857051120808E-2</v>
      </c>
      <c r="CW26">
        <f t="shared" si="357"/>
        <v>1.8190596337981802E-2</v>
      </c>
      <c r="CX26">
        <f t="shared" si="358"/>
        <v>1.7963213883757035E-2</v>
      </c>
      <c r="CY26">
        <f t="shared" si="359"/>
        <v>1.7738673710210075E-2</v>
      </c>
      <c r="CZ26">
        <f t="shared" si="360"/>
        <v>1.7516940288832449E-2</v>
      </c>
      <c r="DA26">
        <f t="shared" si="361"/>
        <v>1.7297978535222046E-2</v>
      </c>
      <c r="DB26">
        <f t="shared" si="362"/>
        <v>1.7081753803531774E-2</v>
      </c>
      <c r="DC26">
        <f t="shared" si="363"/>
        <v>1.6868231880987627E-2</v>
      </c>
      <c r="DD26">
        <f t="shared" si="364"/>
        <v>1.6657378982475279E-2</v>
      </c>
      <c r="DE26">
        <f t="shared" si="365"/>
        <v>1.6449161745194341E-2</v>
      </c>
      <c r="DF26">
        <f t="shared" si="366"/>
        <v>1.6243547223379406E-2</v>
      </c>
      <c r="DG26">
        <f t="shared" si="367"/>
        <v>1.6040502883087161E-2</v>
      </c>
      <c r="DH26">
        <f t="shared" si="368"/>
        <v>1.5839996597048565E-2</v>
      </c>
      <c r="DI26">
        <f t="shared" si="369"/>
        <v>1.5641996639585466E-2</v>
      </c>
      <c r="DJ26">
        <f t="shared" si="370"/>
        <v>1.5446471681590645E-2</v>
      </c>
      <c r="DK26">
        <f t="shared" si="371"/>
        <v>1.5253390785570763E-2</v>
      </c>
      <c r="DL26">
        <f t="shared" si="372"/>
        <v>1.5062723400751132E-2</v>
      </c>
      <c r="DM26">
        <f t="shared" si="373"/>
        <v>1.4874439358241742E-2</v>
      </c>
      <c r="DN26">
        <f t="shared" si="374"/>
        <v>1.4688508866263716E-2</v>
      </c>
      <c r="DO26">
        <f t="shared" si="375"/>
        <v>1.4504902505435424E-2</v>
      </c>
      <c r="DP26">
        <f t="shared" si="376"/>
        <v>1.4323591224117482E-2</v>
      </c>
      <c r="DQ26">
        <f t="shared" si="377"/>
        <v>1.414454633381601E-2</v>
      </c>
      <c r="DR26">
        <f t="shared" si="378"/>
        <v>1.3967739504643306E-2</v>
      </c>
      <c r="DS26">
        <f t="shared" si="379"/>
        <v>1.3793142760835264E-2</v>
      </c>
      <c r="DT26">
        <f t="shared" si="380"/>
        <v>1.3620728476324829E-2</v>
      </c>
      <c r="DU26">
        <f t="shared" si="381"/>
        <v>1.3450469370370765E-2</v>
      </c>
      <c r="DV26">
        <f t="shared" si="382"/>
        <v>1.328233850324113E-2</v>
      </c>
      <c r="DW26">
        <f t="shared" si="383"/>
        <v>1.3116309271950621E-2</v>
      </c>
      <c r="DX26">
        <f t="shared" si="384"/>
        <v>1.2952355406051242E-2</v>
      </c>
      <c r="DY26">
        <f t="shared" si="385"/>
        <v>1.2790450963475596E-2</v>
      </c>
      <c r="DZ26">
        <f t="shared" si="386"/>
        <v>1.2630570326432156E-2</v>
      </c>
      <c r="EA26">
        <f t="shared" si="387"/>
        <v>1.2472688197351756E-2</v>
      </c>
      <c r="EB26">
        <f t="shared" si="388"/>
        <v>1.2316779594884864E-2</v>
      </c>
      <c r="EC26">
        <f t="shared" si="389"/>
        <v>1.2162819849948802E-2</v>
      </c>
      <c r="ED26">
        <f t="shared" si="390"/>
        <v>1.2010784601824443E-2</v>
      </c>
      <c r="EE26">
        <f t="shared" si="391"/>
        <v>1.1860649794301636E-2</v>
      </c>
      <c r="EF26">
        <f t="shared" si="392"/>
        <v>1.1712391671872869E-2</v>
      </c>
      <c r="EG26">
        <f t="shared" si="393"/>
        <v>1.1565986775974457E-2</v>
      </c>
      <c r="EH26">
        <f t="shared" si="394"/>
        <v>1.1421411941274773E-2</v>
      </c>
      <c r="EI26">
        <f t="shared" si="395"/>
        <v>1.1278644292008843E-2</v>
      </c>
      <c r="EJ26">
        <f t="shared" si="396"/>
        <v>1.1137661238358732E-2</v>
      </c>
      <c r="EK26">
        <f t="shared" si="397"/>
        <v>1.0998440472879244E-2</v>
      </c>
      <c r="EL26">
        <f t="shared" si="398"/>
        <v>1.0860959966968254E-2</v>
      </c>
      <c r="EM26">
        <f t="shared" si="399"/>
        <v>1.072519796738115E-2</v>
      </c>
      <c r="EN26">
        <f t="shared" si="400"/>
        <v>1.0591132992788887E-2</v>
      </c>
      <c r="EO26">
        <f t="shared" si="401"/>
        <v>1.0458743830379025E-2</v>
      </c>
      <c r="EP26">
        <f t="shared" si="402"/>
        <v>1.0328009532499283E-2</v>
      </c>
      <c r="EQ26">
        <f t="shared" si="403"/>
        <v>1.0198909413343038E-2</v>
      </c>
      <c r="ER26">
        <f t="shared" si="404"/>
        <v>1.0071423045676254E-2</v>
      </c>
      <c r="ES26">
        <f t="shared" si="405"/>
        <v>9.9455302576052958E-3</v>
      </c>
      <c r="ET26">
        <f t="shared" si="406"/>
        <v>9.8212111293852315E-3</v>
      </c>
      <c r="EU26">
        <f t="shared" si="407"/>
        <v>9.6984459902679128E-3</v>
      </c>
      <c r="EV26">
        <f t="shared" si="408"/>
        <v>9.5772154153895613E-3</v>
      </c>
      <c r="EW26">
        <f t="shared" si="409"/>
        <v>9.4575002226971912E-3</v>
      </c>
      <c r="EX26">
        <f t="shared" si="410"/>
        <v>9.3392814699134741E-3</v>
      </c>
      <c r="EY26">
        <f t="shared" si="411"/>
        <v>9.2225404515395518E-3</v>
      </c>
      <c r="EZ26">
        <f t="shared" si="412"/>
        <v>9.1072586958953032E-3</v>
      </c>
      <c r="FA26">
        <f t="shared" si="413"/>
        <v>8.9934179621966141E-3</v>
      </c>
      <c r="FB26">
        <f t="shared" si="414"/>
        <v>8.8810002376691569E-3</v>
      </c>
      <c r="FC26">
        <f t="shared" si="415"/>
        <v>8.7699877346982917E-3</v>
      </c>
      <c r="FD26">
        <f t="shared" si="416"/>
        <v>8.6603628880145608E-3</v>
      </c>
      <c r="FE26">
        <f t="shared" si="417"/>
        <v>8.5521083519143788E-3</v>
      </c>
      <c r="FF26">
        <f t="shared" si="418"/>
        <v>8.4452069975154524E-3</v>
      </c>
      <c r="FG26">
        <f t="shared" si="419"/>
        <v>8.3396419100465139E-3</v>
      </c>
      <c r="FH26">
        <f t="shared" si="420"/>
        <v>8.2353963861709345E-3</v>
      </c>
      <c r="FI26">
        <f t="shared" si="421"/>
        <v>8.1324539313437968E-3</v>
      </c>
      <c r="FJ26">
        <f t="shared" si="422"/>
        <v>8.030798257201998E-3</v>
      </c>
      <c r="FK26">
        <f t="shared" si="423"/>
        <v>7.9304132789869697E-3</v>
      </c>
      <c r="FL26">
        <f t="shared" si="424"/>
        <v>7.8312831129996319E-3</v>
      </c>
      <c r="FM26">
        <f t="shared" si="425"/>
        <v>7.7333920740871422E-3</v>
      </c>
      <c r="FN26">
        <f t="shared" si="426"/>
        <v>7.6367246731610548E-3</v>
      </c>
      <c r="FO26">
        <f t="shared" si="427"/>
        <v>7.5412656147465394E-3</v>
      </c>
      <c r="FP26">
        <f t="shared" si="428"/>
        <v>7.4469997945622035E-3</v>
      </c>
      <c r="FQ26">
        <f t="shared" si="429"/>
        <v>7.3539122971301718E-3</v>
      </c>
      <c r="FR26">
        <f t="shared" si="430"/>
        <v>7.2619883934160415E-3</v>
      </c>
      <c r="FS26">
        <f t="shared" si="431"/>
        <v>7.1712135384983441E-3</v>
      </c>
      <c r="FT26">
        <f t="shared" si="432"/>
        <v>7.0815733692671133E-3</v>
      </c>
      <c r="FU26">
        <f t="shared" si="433"/>
        <v>6.9930537021512754E-3</v>
      </c>
      <c r="FV26">
        <f t="shared" si="434"/>
        <v>6.9056405308743794E-3</v>
      </c>
      <c r="FW26">
        <f t="shared" si="435"/>
        <v>6.8193200242384509E-3</v>
      </c>
      <c r="FX26">
        <f t="shared" si="436"/>
        <v>6.7340785239354715E-3</v>
      </c>
      <c r="FY26">
        <f t="shared" si="437"/>
        <v>6.6499025423862766E-3</v>
      </c>
      <c r="FZ26">
        <f t="shared" si="438"/>
        <v>6.5667787606064508E-3</v>
      </c>
      <c r="GA26">
        <f t="shared" si="439"/>
        <v>6.4846940260988696E-3</v>
      </c>
      <c r="GB26">
        <f t="shared" si="440"/>
        <v>6.4036353507726292E-3</v>
      </c>
      <c r="GC26">
        <f t="shared" si="441"/>
        <v>6.3235899088879719E-3</v>
      </c>
      <c r="GD26">
        <f t="shared" si="442"/>
        <v>6.2445450350268718E-3</v>
      </c>
      <c r="GE26">
        <f t="shared" si="443"/>
        <v>6.1664882220890394E-3</v>
      </c>
      <c r="GF26">
        <f t="shared" si="444"/>
        <v>6.0894071193129283E-3</v>
      </c>
      <c r="GG26">
        <f t="shared" si="445"/>
        <v>6.0132895303215191E-3</v>
      </c>
      <c r="GH26">
        <f t="shared" si="446"/>
        <v>5.9381234111924976E-3</v>
      </c>
      <c r="GI26">
        <f t="shared" si="447"/>
        <v>5.863896868552587E-3</v>
      </c>
      <c r="GJ26">
        <f t="shared" si="448"/>
        <v>5.7905981576956813E-3</v>
      </c>
      <c r="GK26">
        <f t="shared" si="449"/>
        <v>5.7182156807244807E-3</v>
      </c>
      <c r="GL26">
        <f t="shared" si="450"/>
        <v>5.6467379847154218E-3</v>
      </c>
      <c r="GM26">
        <f t="shared" si="451"/>
        <v>5.5761537599064766E-3</v>
      </c>
      <c r="GN26">
        <f t="shared" si="452"/>
        <v>5.5064518379076442E-3</v>
      </c>
      <c r="GO26">
        <f t="shared" si="453"/>
        <v>5.4376211899337945E-3</v>
      </c>
      <c r="GP26">
        <f t="shared" si="454"/>
        <v>5.369650925059621E-3</v>
      </c>
      <c r="GQ26">
        <f t="shared" si="455"/>
        <v>5.3025302884963767E-3</v>
      </c>
      <c r="GR26">
        <f t="shared" si="456"/>
        <v>5.2362486598901744E-3</v>
      </c>
      <c r="GS26">
        <f t="shared" si="457"/>
        <v>5.170795551641549E-3</v>
      </c>
      <c r="GT26">
        <f t="shared" si="458"/>
        <v>5.1061606072460349E-3</v>
      </c>
      <c r="GU26">
        <f t="shared" si="459"/>
        <v>5.0423335996554576E-3</v>
      </c>
      <c r="GV26">
        <f t="shared" si="460"/>
        <v>4.9793044296597587E-3</v>
      </c>
      <c r="GW26">
        <f t="shared" si="461"/>
        <v>4.9170631242890115E-3</v>
      </c>
      <c r="GX26">
        <f t="shared" si="462"/>
        <v>4.855599835235402E-3</v>
      </c>
      <c r="GY26">
        <f t="shared" si="463"/>
        <v>4.7949048372949556E-3</v>
      </c>
      <c r="GZ26">
        <f t="shared" si="464"/>
        <v>4.7349685268287646E-3</v>
      </c>
      <c r="HA26">
        <f t="shared" si="465"/>
        <v>4.6757814202434082E-3</v>
      </c>
      <c r="HB26">
        <f t="shared" si="466"/>
        <v>4.6173341524903596E-3</v>
      </c>
      <c r="HC26">
        <f t="shared" si="467"/>
        <v>4.5596174755842319E-3</v>
      </c>
      <c r="HD26">
        <f t="shared" si="468"/>
        <v>4.5026222571394325E-3</v>
      </c>
      <c r="HE26">
        <f t="shared" si="469"/>
        <v>4.4463394789251874E-3</v>
      </c>
      <c r="HF26">
        <f t="shared" si="470"/>
        <v>4.3907602354386179E-3</v>
      </c>
      <c r="HG26">
        <f t="shared" si="471"/>
        <v>4.3358757324956313E-3</v>
      </c>
      <c r="HH26">
        <f t="shared" si="472"/>
        <v>4.2816772858394357E-3</v>
      </c>
      <c r="HI26">
        <f t="shared" si="473"/>
        <v>4.228156319766441E-3</v>
      </c>
      <c r="HJ26">
        <f t="shared" si="474"/>
        <v>4.1753043657693613E-3</v>
      </c>
      <c r="HK26">
        <f t="shared" si="475"/>
        <v>4.1231130611972481E-3</v>
      </c>
      <c r="HL26">
        <f t="shared" si="476"/>
        <v>4.0715741479322772E-3</v>
      </c>
      <c r="HM26">
        <f t="shared" si="477"/>
        <v>4.0206794710831214E-3</v>
      </c>
      <c r="HN26">
        <f t="shared" si="478"/>
        <v>3.9704209776945778E-3</v>
      </c>
      <c r="HO26">
        <f t="shared" si="479"/>
        <v>3.9207907154733988E-3</v>
      </c>
      <c r="HP26">
        <f t="shared" si="480"/>
        <v>3.8717808315299807E-3</v>
      </c>
      <c r="HQ26">
        <f t="shared" si="481"/>
        <v>3.8233835711358522E-3</v>
      </c>
      <c r="HR26">
        <f t="shared" si="482"/>
        <v>3.7755912764966594E-3</v>
      </c>
      <c r="HS26">
        <f t="shared" si="483"/>
        <v>3.7283963855404556E-3</v>
      </c>
      <c r="HT26">
        <f t="shared" si="484"/>
        <v>3.6817914307212042E-3</v>
      </c>
      <c r="HU26">
        <f t="shared" si="485"/>
        <v>3.6357690378371887E-3</v>
      </c>
      <c r="HV26">
        <f t="shared" si="486"/>
        <v>3.5903219248642261E-3</v>
      </c>
      <c r="HW26">
        <f t="shared" si="487"/>
        <v>3.5454429008034195E-3</v>
      </c>
      <c r="HX26">
        <f t="shared" si="488"/>
        <v>3.5011248645433813E-3</v>
      </c>
      <c r="HY26">
        <f t="shared" si="489"/>
        <v>3.4573608037365864E-3</v>
      </c>
      <c r="HZ26">
        <f t="shared" si="490"/>
        <v>3.4141437936898835E-3</v>
      </c>
      <c r="IA26">
        <f t="shared" si="491"/>
        <v>3.3714669962687572E-3</v>
      </c>
      <c r="IB26">
        <f t="shared" si="492"/>
        <v>3.3293236588153976E-3</v>
      </c>
      <c r="IC26">
        <f t="shared" si="493"/>
        <v>3.287707113080207E-3</v>
      </c>
      <c r="ID26">
        <f t="shared" si="494"/>
        <v>3.2466107741667026E-3</v>
      </c>
      <c r="IE26">
        <f t="shared" si="495"/>
        <v>3.206028139489614E-3</v>
      </c>
      <c r="IF26">
        <f t="shared" si="496"/>
        <v>3.1659527877459957E-3</v>
      </c>
      <c r="IG26">
        <f t="shared" si="497"/>
        <v>3.126378377899175E-3</v>
      </c>
      <c r="IH26">
        <f t="shared" si="498"/>
        <v>3.0872986481754404E-3</v>
      </c>
      <c r="II26">
        <f t="shared" si="499"/>
        <v>3.0487074150732487E-3</v>
      </c>
      <c r="IJ26">
        <f t="shared" si="500"/>
        <v>3.0105985723848372E-3</v>
      </c>
      <c r="IK26">
        <f t="shared" si="501"/>
        <v>2.9729660902300227E-3</v>
      </c>
      <c r="IL26">
        <f t="shared" si="502"/>
        <v>2.9358040141021502E-3</v>
      </c>
      <c r="IM26">
        <f t="shared" si="503"/>
        <v>2.8991064639258711E-3</v>
      </c>
      <c r="IN26">
        <f t="shared" si="504"/>
        <v>2.8628676331267978E-3</v>
      </c>
      <c r="IO26">
        <f t="shared" si="505"/>
        <v>2.8270817877127153E-3</v>
      </c>
      <c r="IP26">
        <f t="shared" si="506"/>
        <v>2.791743265366309E-3</v>
      </c>
      <c r="IQ26">
        <f t="shared" si="507"/>
        <v>2.7568464745492348E-3</v>
      </c>
      <c r="IR26">
        <f t="shared" si="508"/>
        <v>2.722385893617374E-3</v>
      </c>
      <c r="IS26">
        <f t="shared" si="509"/>
        <v>2.688356069947162E-3</v>
      </c>
      <c r="IT26">
        <f t="shared" si="510"/>
        <v>2.6547516190728259E-3</v>
      </c>
      <c r="IU26">
        <f t="shared" si="511"/>
        <v>2.6215672238344202E-3</v>
      </c>
      <c r="IV26">
        <f t="shared" si="512"/>
        <v>2.5887976335364883E-3</v>
      </c>
    </row>
    <row r="27" spans="1:256" x14ac:dyDescent="0.2">
      <c r="A27" t="s">
        <v>498</v>
      </c>
      <c r="B27">
        <f t="shared" si="258"/>
        <v>-6.70354362188266E-2</v>
      </c>
      <c r="C27">
        <f t="shared" si="259"/>
        <v>-5.7315978580359986E-2</v>
      </c>
      <c r="D27">
        <f t="shared" si="260"/>
        <v>-5.6519710292426494E-2</v>
      </c>
      <c r="E27">
        <f t="shared" si="261"/>
        <v>-5.5736470727836662E-2</v>
      </c>
      <c r="F27">
        <f t="shared" si="262"/>
        <v>-5.4965997895906483E-2</v>
      </c>
      <c r="G27">
        <f t="shared" si="263"/>
        <v>-5.4208037851938742E-2</v>
      </c>
      <c r="H27">
        <f t="shared" si="264"/>
        <v>-5.3462344169726339E-2</v>
      </c>
      <c r="I27">
        <f t="shared" si="265"/>
        <v>-5.2728677472557203E-2</v>
      </c>
      <c r="J27">
        <f t="shared" si="266"/>
        <v>-4.1408843145130186E-2</v>
      </c>
      <c r="K27">
        <f t="shared" si="267"/>
        <v>-4.0798714967783922E-2</v>
      </c>
      <c r="L27">
        <f t="shared" si="268"/>
        <v>-4.0209795653306304E-2</v>
      </c>
      <c r="M27">
        <f t="shared" si="269"/>
        <v>-3.9641214803215856E-2</v>
      </c>
      <c r="N27">
        <f t="shared" si="270"/>
        <v>-3.9092135373837919E-2</v>
      </c>
      <c r="O27">
        <f t="shared" si="271"/>
        <v>-3.8561752467803259E-2</v>
      </c>
      <c r="P27">
        <f t="shared" si="272"/>
        <v>-3.8049292168522174E-2</v>
      </c>
      <c r="Q27">
        <f t="shared" si="273"/>
        <v>-3.7554010416080377E-2</v>
      </c>
      <c r="R27">
        <f t="shared" si="274"/>
        <v>-1.5487063949861097E-2</v>
      </c>
      <c r="S27">
        <f t="shared" si="275"/>
        <v>-1.5155496271331059E-2</v>
      </c>
      <c r="T27">
        <f t="shared" si="276"/>
        <v>-1.4845615891149671E-2</v>
      </c>
      <c r="U27">
        <f t="shared" si="277"/>
        <v>-1.4556494183143909E-2</v>
      </c>
      <c r="V27">
        <f t="shared" si="278"/>
        <v>-1.428723458494896E-2</v>
      </c>
      <c r="W27">
        <f t="shared" si="279"/>
        <v>-1.4036971612297311E-2</v>
      </c>
      <c r="X27">
        <f t="shared" si="280"/>
        <v>-1.3804869900937738E-2</v>
      </c>
      <c r="Y27">
        <f t="shared" si="281"/>
        <v>-1.3590123275513354E-2</v>
      </c>
      <c r="Z27">
        <f t="shared" si="282"/>
        <v>3.0432363835921371E-2</v>
      </c>
      <c r="AA27">
        <f t="shared" si="283"/>
        <v>3.1649387005699324E-2</v>
      </c>
      <c r="AB27">
        <f t="shared" si="284"/>
        <v>3.2835214655528036E-2</v>
      </c>
      <c r="AC27">
        <f t="shared" si="285"/>
        <v>3.3990138133908464E-2</v>
      </c>
      <c r="AD27">
        <f t="shared" si="286"/>
        <v>3.511445878849255E-2</v>
      </c>
      <c r="AE27">
        <f t="shared" si="287"/>
        <v>3.620848720570928E-2</v>
      </c>
      <c r="AF27">
        <f t="shared" si="288"/>
        <v>3.7272542485331281E-2</v>
      </c>
      <c r="AG27">
        <f t="shared" si="289"/>
        <v>3.8306951548527715E-2</v>
      </c>
      <c r="AH27">
        <f t="shared" si="290"/>
        <v>2.4633612373611658E-2</v>
      </c>
      <c r="AI27">
        <f t="shared" si="291"/>
        <v>2.3798531590428697E-2</v>
      </c>
      <c r="AJ27">
        <f t="shared" si="292"/>
        <v>2.2986559777935379E-2</v>
      </c>
      <c r="AK27">
        <f t="shared" si="293"/>
        <v>2.2197208077056385E-2</v>
      </c>
      <c r="AL27">
        <f t="shared" si="294"/>
        <v>2.142999518796259E-2</v>
      </c>
      <c r="AM27">
        <f t="shared" si="295"/>
        <v>2.0684447329479706E-2</v>
      </c>
      <c r="AN27">
        <f t="shared" si="296"/>
        <v>1.9960098199685427E-2</v>
      </c>
      <c r="AO27">
        <f t="shared" si="297"/>
        <v>1.9256488937505877E-2</v>
      </c>
      <c r="AP27">
        <f t="shared" si="298"/>
        <v>3.7149272410442601E-2</v>
      </c>
      <c r="AQ27">
        <f t="shared" si="299"/>
        <v>3.6684906505312066E-2</v>
      </c>
      <c r="AR27">
        <f t="shared" si="300"/>
        <v>3.6226345173995665E-2</v>
      </c>
      <c r="AS27">
        <f t="shared" si="301"/>
        <v>3.5773515859320724E-2</v>
      </c>
      <c r="AT27">
        <f t="shared" si="302"/>
        <v>3.5326346911079221E-2</v>
      </c>
      <c r="AU27">
        <f t="shared" si="303"/>
        <v>3.4884767574690737E-2</v>
      </c>
      <c r="AV27">
        <f t="shared" si="304"/>
        <v>3.4448707980007098E-2</v>
      </c>
      <c r="AW27">
        <f t="shared" si="305"/>
        <v>3.401809913025701E-2</v>
      </c>
      <c r="AX27">
        <f t="shared" si="306"/>
        <v>2.6624366355827321E-3</v>
      </c>
      <c r="AY27">
        <f t="shared" si="307"/>
        <v>4.699073529644715E-3</v>
      </c>
      <c r="AZ27">
        <f t="shared" si="308"/>
        <v>6.7250161310637661E-3</v>
      </c>
      <c r="BA27">
        <f t="shared" si="309"/>
        <v>8.7419921451644018E-3</v>
      </c>
      <c r="BB27">
        <f t="shared" si="310"/>
        <v>1.0751679599462749E-2</v>
      </c>
      <c r="BC27">
        <f t="shared" si="311"/>
        <v>1.2755708533536048E-2</v>
      </c>
      <c r="BD27">
        <f t="shared" si="312"/>
        <v>1.4755662644357737E-2</v>
      </c>
      <c r="BE27">
        <f t="shared" si="313"/>
        <v>1.6753080887835725E-2</v>
      </c>
      <c r="BF27">
        <f t="shared" si="314"/>
        <v>1.8749459037319061E-2</v>
      </c>
      <c r="BG27">
        <f t="shared" si="315"/>
        <v>2.0746251199858991E-2</v>
      </c>
      <c r="BH27">
        <f t="shared" si="316"/>
        <v>2.2744871291024472E-2</v>
      </c>
      <c r="BI27">
        <f t="shared" si="317"/>
        <v>2.4746694469082387E-2</v>
      </c>
      <c r="BJ27">
        <f t="shared" si="318"/>
        <v>2.67530585293577E-2</v>
      </c>
      <c r="BK27">
        <f t="shared" si="319"/>
        <v>2.8765265259591277E-2</v>
      </c>
      <c r="BL27">
        <f t="shared" si="320"/>
        <v>3.0784581751089102E-2</v>
      </c>
      <c r="BM27">
        <f t="shared" si="321"/>
        <v>3.045368749557914E-2</v>
      </c>
      <c r="BN27">
        <f t="shared" si="322"/>
        <v>3.0073016401884402E-2</v>
      </c>
      <c r="BO27">
        <f t="shared" si="323"/>
        <v>2.9697103696860849E-2</v>
      </c>
      <c r="BP27">
        <f t="shared" si="324"/>
        <v>2.9325889900650094E-2</v>
      </c>
      <c r="BQ27">
        <f t="shared" si="325"/>
        <v>2.8959316276891967E-2</v>
      </c>
      <c r="BR27">
        <f t="shared" si="326"/>
        <v>2.8597324823430813E-2</v>
      </c>
      <c r="BS27">
        <f t="shared" si="327"/>
        <v>2.8239858263137928E-2</v>
      </c>
      <c r="BT27">
        <f t="shared" si="328"/>
        <v>2.7886860034848703E-2</v>
      </c>
      <c r="BU27">
        <f t="shared" si="329"/>
        <v>2.7538274284413099E-2</v>
      </c>
      <c r="BV27">
        <f t="shared" si="330"/>
        <v>2.719404585585794E-2</v>
      </c>
      <c r="BW27">
        <f t="shared" si="331"/>
        <v>2.6854120282659721E-2</v>
      </c>
      <c r="BX27">
        <f t="shared" si="332"/>
        <v>2.6518443779126478E-2</v>
      </c>
      <c r="BY27">
        <f t="shared" si="333"/>
        <v>2.6186963231887395E-2</v>
      </c>
      <c r="BZ27">
        <f t="shared" si="334"/>
        <v>2.5859626191488804E-2</v>
      </c>
      <c r="CA27">
        <f t="shared" si="335"/>
        <v>2.5536380864095199E-2</v>
      </c>
      <c r="CB27">
        <f t="shared" si="336"/>
        <v>2.5217176103294003E-2</v>
      </c>
      <c r="CC27">
        <f t="shared" si="337"/>
        <v>2.4901961402002827E-2</v>
      </c>
      <c r="CD27">
        <f t="shared" si="338"/>
        <v>2.4590686884477787E-2</v>
      </c>
      <c r="CE27">
        <f t="shared" si="339"/>
        <v>2.4283303298421811E-2</v>
      </c>
      <c r="CF27">
        <f t="shared" si="340"/>
        <v>2.3979762007191541E-2</v>
      </c>
      <c r="CG27">
        <f t="shared" si="341"/>
        <v>2.3680014982101649E-2</v>
      </c>
      <c r="CH27">
        <f t="shared" si="342"/>
        <v>2.3384014794825381E-2</v>
      </c>
      <c r="CI27">
        <f t="shared" si="343"/>
        <v>2.3091714609890068E-2</v>
      </c>
      <c r="CJ27">
        <f t="shared" si="344"/>
        <v>2.280306817726644E-2</v>
      </c>
      <c r="CK27">
        <f t="shared" si="345"/>
        <v>2.2518029825050613E-2</v>
      </c>
      <c r="CL27">
        <f t="shared" si="346"/>
        <v>2.2236554452237479E-2</v>
      </c>
      <c r="CM27">
        <f t="shared" si="347"/>
        <v>2.1958597521584512E-2</v>
      </c>
      <c r="CN27">
        <f t="shared" si="348"/>
        <v>2.1684115052564699E-2</v>
      </c>
      <c r="CO27">
        <f t="shared" si="349"/>
        <v>2.1413063614407646E-2</v>
      </c>
      <c r="CP27">
        <f t="shared" si="350"/>
        <v>2.1145400319227549E-2</v>
      </c>
      <c r="CQ27">
        <f t="shared" si="351"/>
        <v>2.0881082815237206E-2</v>
      </c>
      <c r="CR27">
        <f t="shared" si="352"/>
        <v>2.0620069280046737E-2</v>
      </c>
      <c r="CS27">
        <f t="shared" si="353"/>
        <v>2.0362318414046156E-2</v>
      </c>
      <c r="CT27">
        <f t="shared" si="354"/>
        <v>2.0107789433870583E-2</v>
      </c>
      <c r="CU27">
        <f t="shared" si="355"/>
        <v>1.9856442065947201E-2</v>
      </c>
      <c r="CV27">
        <f t="shared" si="356"/>
        <v>1.9608236540122857E-2</v>
      </c>
      <c r="CW27">
        <f t="shared" si="357"/>
        <v>1.9363133583371328E-2</v>
      </c>
      <c r="CX27">
        <f t="shared" si="358"/>
        <v>1.9121094413579186E-2</v>
      </c>
      <c r="CY27">
        <f t="shared" si="359"/>
        <v>1.8882080733409447E-2</v>
      </c>
      <c r="CZ27">
        <f t="shared" si="360"/>
        <v>1.8646054724241821E-2</v>
      </c>
      <c r="DA27">
        <f t="shared" si="361"/>
        <v>1.8412979040188803E-2</v>
      </c>
      <c r="DB27">
        <f t="shared" si="362"/>
        <v>1.818281680218644E-2</v>
      </c>
      <c r="DC27">
        <f t="shared" si="363"/>
        <v>1.7955531592159114E-2</v>
      </c>
      <c r="DD27">
        <f t="shared" si="364"/>
        <v>1.773108744725712E-2</v>
      </c>
      <c r="DE27">
        <f t="shared" si="365"/>
        <v>1.7509448854166408E-2</v>
      </c>
      <c r="DF27">
        <f t="shared" si="366"/>
        <v>1.7290580743489325E-2</v>
      </c>
      <c r="DG27">
        <f t="shared" si="367"/>
        <v>1.7074448484195703E-2</v>
      </c>
      <c r="DH27">
        <f t="shared" si="368"/>
        <v>1.6861017878143258E-2</v>
      </c>
      <c r="DI27">
        <f t="shared" si="369"/>
        <v>1.665025515466647E-2</v>
      </c>
      <c r="DJ27">
        <f t="shared" si="370"/>
        <v>1.6442126965233138E-2</v>
      </c>
      <c r="DK27">
        <f t="shared" si="371"/>
        <v>1.623660037816772E-2</v>
      </c>
      <c r="DL27">
        <f t="shared" si="372"/>
        <v>1.6033642873440623E-2</v>
      </c>
      <c r="DM27">
        <f t="shared" si="373"/>
        <v>1.5833222337522612E-2</v>
      </c>
      <c r="DN27">
        <f t="shared" si="374"/>
        <v>1.5635307058303582E-2</v>
      </c>
      <c r="DO27">
        <f t="shared" si="375"/>
        <v>1.5439865720074785E-2</v>
      </c>
      <c r="DP27">
        <f t="shared" si="376"/>
        <v>1.5246867398573848E-2</v>
      </c>
      <c r="DQ27">
        <f t="shared" si="377"/>
        <v>1.5056281556091677E-2</v>
      </c>
      <c r="DR27">
        <f t="shared" si="378"/>
        <v>1.4868078036640531E-2</v>
      </c>
      <c r="DS27">
        <f t="shared" si="379"/>
        <v>1.4682227061182529E-2</v>
      </c>
      <c r="DT27">
        <f t="shared" si="380"/>
        <v>1.4498699222917744E-2</v>
      </c>
      <c r="DU27">
        <f t="shared" si="381"/>
        <v>1.4317465482631275E-2</v>
      </c>
      <c r="DV27">
        <f t="shared" si="382"/>
        <v>1.4138497164098384E-2</v>
      </c>
      <c r="DW27">
        <f t="shared" si="383"/>
        <v>1.3961765949547155E-2</v>
      </c>
      <c r="DX27">
        <f t="shared" si="384"/>
        <v>1.3787243875177813E-2</v>
      </c>
      <c r="DY27">
        <f t="shared" si="385"/>
        <v>1.3614903326738093E-2</v>
      </c>
      <c r="DZ27">
        <f t="shared" si="386"/>
        <v>1.3444717035153864E-2</v>
      </c>
      <c r="EA27">
        <f t="shared" si="387"/>
        <v>1.3276658072214443E-2</v>
      </c>
      <c r="EB27">
        <f t="shared" si="388"/>
        <v>1.3110699846311757E-2</v>
      </c>
      <c r="EC27">
        <f t="shared" si="389"/>
        <v>1.2946816098232861E-2</v>
      </c>
      <c r="ED27">
        <f t="shared" si="390"/>
        <v>1.2784980897004949E-2</v>
      </c>
      <c r="EE27">
        <f t="shared" si="391"/>
        <v>1.2625168635792383E-2</v>
      </c>
      <c r="EF27">
        <f t="shared" si="392"/>
        <v>1.246735402784498E-2</v>
      </c>
      <c r="EG27">
        <f t="shared" si="393"/>
        <v>1.2311512102496914E-2</v>
      </c>
      <c r="EH27">
        <f t="shared" si="394"/>
        <v>1.2157618201215702E-2</v>
      </c>
      <c r="EI27">
        <f t="shared" si="395"/>
        <v>1.2005647973700507E-2</v>
      </c>
      <c r="EJ27">
        <f t="shared" si="396"/>
        <v>1.1855577374029248E-2</v>
      </c>
      <c r="EK27">
        <f t="shared" si="397"/>
        <v>1.1707382656853883E-2</v>
      </c>
      <c r="EL27">
        <f t="shared" si="398"/>
        <v>1.1561040373643205E-2</v>
      </c>
      <c r="EM27">
        <f t="shared" si="399"/>
        <v>1.1416527368972662E-2</v>
      </c>
      <c r="EN27">
        <f t="shared" si="400"/>
        <v>1.12738207768605E-2</v>
      </c>
      <c r="EO27">
        <f t="shared" si="401"/>
        <v>1.1132898017149739E-2</v>
      </c>
      <c r="EP27">
        <f t="shared" si="402"/>
        <v>1.0993736791935372E-2</v>
      </c>
      <c r="EQ27">
        <f t="shared" si="403"/>
        <v>1.0856315082036183E-2</v>
      </c>
      <c r="ER27">
        <f t="shared" si="404"/>
        <v>1.0720611143510727E-2</v>
      </c>
      <c r="ES27">
        <f t="shared" si="405"/>
        <v>1.058660350421684E-2</v>
      </c>
      <c r="ET27">
        <f t="shared" si="406"/>
        <v>1.0454270960414125E-2</v>
      </c>
      <c r="EU27">
        <f t="shared" si="407"/>
        <v>1.0323592573408947E-2</v>
      </c>
      <c r="EV27">
        <f t="shared" si="408"/>
        <v>1.0194547666241338E-2</v>
      </c>
      <c r="EW27">
        <f t="shared" si="409"/>
        <v>1.0067115820413319E-2</v>
      </c>
      <c r="EX27">
        <f t="shared" si="410"/>
        <v>9.9412768726581564E-3</v>
      </c>
      <c r="EY27">
        <f t="shared" si="411"/>
        <v>9.8170109117499231E-3</v>
      </c>
      <c r="EZ27">
        <f t="shared" si="412"/>
        <v>9.6942982753530534E-3</v>
      </c>
      <c r="FA27">
        <f t="shared" si="413"/>
        <v>9.5731195469111359E-3</v>
      </c>
      <c r="FB27">
        <f t="shared" si="414"/>
        <v>9.4534555525747407E-3</v>
      </c>
      <c r="FC27">
        <f t="shared" si="415"/>
        <v>9.335287358167554E-3</v>
      </c>
      <c r="FD27">
        <f t="shared" si="416"/>
        <v>9.2185962661904593E-3</v>
      </c>
      <c r="FE27">
        <f t="shared" si="417"/>
        <v>9.1033638128630752E-3</v>
      </c>
      <c r="FF27">
        <f t="shared" si="418"/>
        <v>8.989571765202287E-3</v>
      </c>
      <c r="FG27">
        <f t="shared" si="419"/>
        <v>8.8772021181372611E-3</v>
      </c>
      <c r="FH27">
        <f t="shared" si="420"/>
        <v>8.7662370916605451E-3</v>
      </c>
      <c r="FI27">
        <f t="shared" si="421"/>
        <v>8.6566591280147868E-3</v>
      </c>
      <c r="FJ27">
        <f t="shared" si="422"/>
        <v>8.5484508889146042E-3</v>
      </c>
      <c r="FK27">
        <f t="shared" si="423"/>
        <v>8.4415952528031687E-3</v>
      </c>
      <c r="FL27">
        <f t="shared" si="424"/>
        <v>8.3360753121431326E-3</v>
      </c>
      <c r="FM27">
        <f t="shared" si="425"/>
        <v>8.231874370741344E-3</v>
      </c>
      <c r="FN27">
        <f t="shared" si="426"/>
        <v>8.1289759411070743E-3</v>
      </c>
      <c r="FO27">
        <f t="shared" si="427"/>
        <v>8.0273637418432405E-3</v>
      </c>
      <c r="FP27">
        <f t="shared" si="428"/>
        <v>7.9270216950702022E-3</v>
      </c>
      <c r="FQ27">
        <f t="shared" si="429"/>
        <v>7.8279339238818239E-3</v>
      </c>
      <c r="FR27">
        <f t="shared" si="430"/>
        <v>7.7300847498332995E-3</v>
      </c>
      <c r="FS27">
        <f t="shared" si="431"/>
        <v>7.6334586904603817E-3</v>
      </c>
      <c r="FT27">
        <f t="shared" si="432"/>
        <v>7.5380404568296307E-3</v>
      </c>
      <c r="FU27">
        <f t="shared" si="433"/>
        <v>7.4438149511192649E-3</v>
      </c>
      <c r="FV27">
        <f t="shared" si="434"/>
        <v>7.3507672642302733E-3</v>
      </c>
      <c r="FW27">
        <f t="shared" si="435"/>
        <v>7.2588826734273915E-3</v>
      </c>
      <c r="FX27">
        <f t="shared" si="436"/>
        <v>7.1681466400095543E-3</v>
      </c>
      <c r="FY27">
        <f t="shared" si="437"/>
        <v>7.078544807009435E-3</v>
      </c>
      <c r="FZ27">
        <f t="shared" si="438"/>
        <v>6.9900629969218194E-3</v>
      </c>
      <c r="GA27">
        <f t="shared" si="439"/>
        <v>6.9026872094603009E-3</v>
      </c>
      <c r="GB27">
        <f t="shared" si="440"/>
        <v>6.8164036193420485E-3</v>
      </c>
      <c r="GC27">
        <f t="shared" si="441"/>
        <v>6.7311985741002724E-3</v>
      </c>
      <c r="GD27">
        <f t="shared" si="442"/>
        <v>6.6470585919240158E-3</v>
      </c>
      <c r="GE27">
        <f t="shared" si="443"/>
        <v>6.5639703595249625E-3</v>
      </c>
      <c r="GF27">
        <f t="shared" si="444"/>
        <v>6.481920730030899E-3</v>
      </c>
      <c r="GG27">
        <f t="shared" si="445"/>
        <v>6.4008967209055138E-3</v>
      </c>
      <c r="GH27">
        <f t="shared" si="446"/>
        <v>6.320885511894192E-3</v>
      </c>
      <c r="GI27">
        <f t="shared" si="447"/>
        <v>6.2418744429955098E-3</v>
      </c>
      <c r="GJ27">
        <f t="shared" si="448"/>
        <v>6.1638510124580655E-3</v>
      </c>
      <c r="GK27">
        <f t="shared" si="449"/>
        <v>6.0868028748023439E-3</v>
      </c>
      <c r="GL27">
        <f t="shared" si="450"/>
        <v>6.010717838867319E-3</v>
      </c>
      <c r="GM27">
        <f t="shared" si="451"/>
        <v>5.9355838658814771E-3</v>
      </c>
      <c r="GN27">
        <f t="shared" si="452"/>
        <v>5.8613890675579539E-3</v>
      </c>
      <c r="GO27">
        <f t="shared" si="453"/>
        <v>5.7881217042134777E-3</v>
      </c>
      <c r="GP27">
        <f t="shared" si="454"/>
        <v>5.7157701829108065E-3</v>
      </c>
      <c r="GQ27">
        <f t="shared" si="455"/>
        <v>5.6443230556244232E-3</v>
      </c>
      <c r="GR27">
        <f t="shared" si="456"/>
        <v>5.5737690174291199E-3</v>
      </c>
      <c r="GS27">
        <f t="shared" si="457"/>
        <v>5.504096904711253E-3</v>
      </c>
      <c r="GT27">
        <f t="shared" si="458"/>
        <v>5.4352956934023648E-3</v>
      </c>
      <c r="GU27">
        <f t="shared" si="459"/>
        <v>5.3673544972348327E-3</v>
      </c>
      <c r="GV27">
        <f t="shared" si="460"/>
        <v>5.300262566019398E-3</v>
      </c>
      <c r="GW27">
        <f t="shared" si="461"/>
        <v>5.2340092839441524E-3</v>
      </c>
      <c r="GX27">
        <f t="shared" si="462"/>
        <v>5.168584167894852E-3</v>
      </c>
      <c r="GY27">
        <f t="shared" si="463"/>
        <v>5.1039768657961671E-3</v>
      </c>
      <c r="GZ27">
        <f t="shared" si="464"/>
        <v>5.0401771549737125E-3</v>
      </c>
      <c r="HA27">
        <f t="shared" si="465"/>
        <v>4.9771749405365436E-3</v>
      </c>
      <c r="HB27">
        <f t="shared" si="466"/>
        <v>4.9149602537798317E-3</v>
      </c>
      <c r="HC27">
        <f t="shared" si="467"/>
        <v>4.8535232506075835E-3</v>
      </c>
      <c r="HD27">
        <f t="shared" si="468"/>
        <v>4.7928542099749836E-3</v>
      </c>
      <c r="HE27">
        <f t="shared" si="469"/>
        <v>4.7329435323502974E-3</v>
      </c>
      <c r="HF27">
        <f t="shared" si="470"/>
        <v>4.6737817381959142E-3</v>
      </c>
      <c r="HG27">
        <f t="shared" si="471"/>
        <v>4.6153594664684605E-3</v>
      </c>
      <c r="HH27">
        <f t="shared" si="472"/>
        <v>4.5576674731376051E-3</v>
      </c>
      <c r="HI27">
        <f t="shared" si="473"/>
        <v>4.5006966297233882E-3</v>
      </c>
      <c r="HJ27">
        <f t="shared" si="474"/>
        <v>4.4444379218518517E-3</v>
      </c>
      <c r="HK27">
        <f t="shared" si="475"/>
        <v>4.3888824478287014E-3</v>
      </c>
      <c r="HL27">
        <f t="shared" si="476"/>
        <v>4.334021417230838E-3</v>
      </c>
      <c r="HM27">
        <f t="shared" si="477"/>
        <v>4.2798461495154542E-3</v>
      </c>
      <c r="HN27">
        <f t="shared" si="478"/>
        <v>4.2263480726465134E-3</v>
      </c>
      <c r="HO27">
        <f t="shared" si="479"/>
        <v>4.173518721738434E-3</v>
      </c>
      <c r="HP27">
        <f t="shared" si="480"/>
        <v>4.1213497377167061E-3</v>
      </c>
      <c r="HQ27">
        <f t="shared" si="481"/>
        <v>4.0698328659952484E-3</v>
      </c>
      <c r="HR27">
        <f t="shared" si="482"/>
        <v>4.0189599551703091E-3</v>
      </c>
      <c r="HS27">
        <f t="shared" si="483"/>
        <v>3.9687229557306856E-3</v>
      </c>
      <c r="HT27">
        <f t="shared" si="484"/>
        <v>3.9191139187840559E-3</v>
      </c>
      <c r="HU27">
        <f t="shared" si="485"/>
        <v>3.8701249947992512E-3</v>
      </c>
      <c r="HV27">
        <f t="shared" si="486"/>
        <v>3.8217484323642579E-3</v>
      </c>
      <c r="HW27">
        <f t="shared" si="487"/>
        <v>3.7739765769597032E-3</v>
      </c>
      <c r="HX27">
        <f t="shared" si="488"/>
        <v>3.7268018697477088E-3</v>
      </c>
      <c r="HY27">
        <f t="shared" si="489"/>
        <v>3.6802168463758609E-3</v>
      </c>
      <c r="HZ27">
        <f t="shared" si="490"/>
        <v>3.6342141357961653E-3</v>
      </c>
      <c r="IA27">
        <f t="shared" si="491"/>
        <v>3.588786459098714E-3</v>
      </c>
      <c r="IB27">
        <f t="shared" si="492"/>
        <v>3.5439266283599836E-3</v>
      </c>
      <c r="IC27">
        <f t="shared" si="493"/>
        <v>3.4996275455054793E-3</v>
      </c>
      <c r="ID27">
        <f t="shared" si="494"/>
        <v>3.4558822011866662E-3</v>
      </c>
      <c r="IE27">
        <f t="shared" si="495"/>
        <v>3.4126836736718346E-3</v>
      </c>
      <c r="IF27">
        <f t="shared" si="496"/>
        <v>3.3700251277509418E-3</v>
      </c>
      <c r="IG27">
        <f t="shared" si="497"/>
        <v>3.3278998136540561E-3</v>
      </c>
      <c r="IH27">
        <f t="shared" si="498"/>
        <v>3.2863010659833769E-3</v>
      </c>
      <c r="II27">
        <f t="shared" si="499"/>
        <v>3.2452223026585791E-3</v>
      </c>
      <c r="IJ27">
        <f t="shared" si="500"/>
        <v>3.2046570238753458E-3</v>
      </c>
      <c r="IK27">
        <f t="shared" si="501"/>
        <v>3.1645988110769021E-3</v>
      </c>
      <c r="IL27">
        <f t="shared" si="502"/>
        <v>3.125041325938438E-3</v>
      </c>
      <c r="IM27">
        <f t="shared" si="503"/>
        <v>3.0859783093642123E-3</v>
      </c>
      <c r="IN27">
        <f t="shared" si="504"/>
        <v>3.0474035804971544E-3</v>
      </c>
      <c r="IO27">
        <f t="shared" si="505"/>
        <v>3.009311035740936E-3</v>
      </c>
      <c r="IP27">
        <f t="shared" si="506"/>
        <v>2.9716946477941764E-3</v>
      </c>
      <c r="IQ27">
        <f t="shared" si="507"/>
        <v>2.9345484646967511E-3</v>
      </c>
      <c r="IR27">
        <f t="shared" si="508"/>
        <v>2.8978666088880444E-3</v>
      </c>
      <c r="IS27">
        <f t="shared" si="509"/>
        <v>2.8616432762769485E-3</v>
      </c>
      <c r="IT27">
        <f t="shared" si="510"/>
        <v>2.8258727353234871E-3</v>
      </c>
      <c r="IU27">
        <f t="shared" si="511"/>
        <v>2.7905493261319416E-3</v>
      </c>
      <c r="IV27">
        <f t="shared" si="512"/>
        <v>2.7556674595552886E-3</v>
      </c>
    </row>
    <row r="28" spans="1:256" x14ac:dyDescent="0.2">
      <c r="A28" t="s">
        <v>499</v>
      </c>
      <c r="B28">
        <f t="shared" si="258"/>
        <v>6.7611913887000771E-3</v>
      </c>
      <c r="C28">
        <f t="shared" si="259"/>
        <v>-3.5122053101592889E-3</v>
      </c>
      <c r="D28">
        <f t="shared" si="260"/>
        <v>-3.5919472343619585E-3</v>
      </c>
      <c r="E28">
        <f t="shared" si="261"/>
        <v>-3.6681390134905957E-3</v>
      </c>
      <c r="F28">
        <f t="shared" si="262"/>
        <v>-3.7408940226208443E-3</v>
      </c>
      <c r="G28">
        <f t="shared" si="263"/>
        <v>-3.8103218023672002E-3</v>
      </c>
      <c r="H28">
        <f t="shared" si="264"/>
        <v>-3.8765282118924105E-3</v>
      </c>
      <c r="I28">
        <f t="shared" si="265"/>
        <v>-3.9396155745648424E-3</v>
      </c>
      <c r="J28">
        <f t="shared" si="266"/>
        <v>-2.3141597937204744E-2</v>
      </c>
      <c r="K28">
        <f t="shared" si="267"/>
        <v>-2.28883459359942E-2</v>
      </c>
      <c r="L28">
        <f t="shared" si="268"/>
        <v>-2.2637547671707895E-2</v>
      </c>
      <c r="M28">
        <f t="shared" si="269"/>
        <v>-2.2389190661532988E-2</v>
      </c>
      <c r="N28">
        <f t="shared" si="270"/>
        <v>-2.21432619785129E-2</v>
      </c>
      <c r="O28">
        <f t="shared" si="271"/>
        <v>-2.1899748281682372E-2</v>
      </c>
      <c r="P28">
        <f t="shared" si="272"/>
        <v>-2.165863584462582E-2</v>
      </c>
      <c r="Q28">
        <f t="shared" si="273"/>
        <v>-2.141991058254647E-2</v>
      </c>
      <c r="R28">
        <f t="shared" si="274"/>
        <v>-1.1758640624152033E-2</v>
      </c>
      <c r="S28">
        <f t="shared" si="275"/>
        <v>-1.1673257622177958E-2</v>
      </c>
      <c r="T28">
        <f t="shared" si="276"/>
        <v>-1.1587778086584727E-2</v>
      </c>
      <c r="U28">
        <f t="shared" si="277"/>
        <v>-1.1502231250259615E-2</v>
      </c>
      <c r="V28">
        <f t="shared" si="278"/>
        <v>-1.1416645113470448E-2</v>
      </c>
      <c r="W28">
        <f t="shared" si="279"/>
        <v>-1.1331046492590559E-2</v>
      </c>
      <c r="X28">
        <f t="shared" si="280"/>
        <v>-1.1245461066687775E-2</v>
      </c>
      <c r="Y28">
        <f t="shared" si="281"/>
        <v>-1.1159913422085171E-2</v>
      </c>
      <c r="Z28">
        <f t="shared" si="282"/>
        <v>7.313684170739387E-3</v>
      </c>
      <c r="AA28">
        <f t="shared" si="283"/>
        <v>7.1162074065761307E-3</v>
      </c>
      <c r="AB28">
        <f t="shared" si="284"/>
        <v>6.9231233618791523E-3</v>
      </c>
      <c r="AC28">
        <f t="shared" si="285"/>
        <v>6.7343332449877448E-3</v>
      </c>
      <c r="AD28">
        <f t="shared" si="286"/>
        <v>6.5497407775564846E-3</v>
      </c>
      <c r="AE28">
        <f t="shared" si="287"/>
        <v>6.3692521168999313E-3</v>
      </c>
      <c r="AF28">
        <f t="shared" si="288"/>
        <v>6.1927757813048153E-3</v>
      </c>
      <c r="AG28">
        <f t="shared" si="289"/>
        <v>6.0202225781728121E-3</v>
      </c>
      <c r="AH28">
        <f t="shared" si="290"/>
        <v>-3.7476897222593066E-4</v>
      </c>
      <c r="AI28">
        <f t="shared" si="291"/>
        <v>-3.5928141711757955E-4</v>
      </c>
      <c r="AJ28">
        <f t="shared" si="292"/>
        <v>-3.4378199794403154E-4</v>
      </c>
      <c r="AK28">
        <f t="shared" si="293"/>
        <v>-3.2827705080069604E-4</v>
      </c>
      <c r="AL28">
        <f t="shared" si="294"/>
        <v>-3.1277270896535312E-4</v>
      </c>
      <c r="AM28">
        <f t="shared" si="295"/>
        <v>-2.9727490809937639E-4</v>
      </c>
      <c r="AN28">
        <f t="shared" si="296"/>
        <v>-2.8178939130774072E-4</v>
      </c>
      <c r="AO28">
        <f t="shared" si="297"/>
        <v>-2.6632171406228421E-4</v>
      </c>
      <c r="AP28">
        <f t="shared" si="298"/>
        <v>2.9593972253714285E-2</v>
      </c>
      <c r="AQ28">
        <f t="shared" si="299"/>
        <v>2.9068954749941166E-2</v>
      </c>
      <c r="AR28">
        <f t="shared" si="300"/>
        <v>2.8553227513882441E-2</v>
      </c>
      <c r="AS28">
        <f t="shared" si="301"/>
        <v>2.8046614832001809E-2</v>
      </c>
      <c r="AT28">
        <f t="shared" si="302"/>
        <v>2.7548944840915364E-2</v>
      </c>
      <c r="AU28">
        <f t="shared" si="303"/>
        <v>2.7060049422301065E-2</v>
      </c>
      <c r="AV28">
        <f t="shared" si="304"/>
        <v>2.6579764101466584E-2</v>
      </c>
      <c r="AW28">
        <f t="shared" si="305"/>
        <v>2.6107927949417929E-2</v>
      </c>
      <c r="AX28">
        <f t="shared" si="306"/>
        <v>6.7122280052505007E-2</v>
      </c>
      <c r="AY28">
        <f t="shared" si="307"/>
        <v>6.6283251551848693E-2</v>
      </c>
      <c r="AZ28">
        <f t="shared" si="308"/>
        <v>6.5454710907450586E-2</v>
      </c>
      <c r="BA28">
        <f t="shared" si="309"/>
        <v>6.4636527021107448E-2</v>
      </c>
      <c r="BB28">
        <f t="shared" si="310"/>
        <v>6.3828570433343612E-2</v>
      </c>
      <c r="BC28">
        <f t="shared" si="311"/>
        <v>6.3030713302926825E-2</v>
      </c>
      <c r="BD28">
        <f t="shared" si="312"/>
        <v>6.2242829386640233E-2</v>
      </c>
      <c r="BE28">
        <f t="shared" si="313"/>
        <v>6.1464794019307226E-2</v>
      </c>
      <c r="BF28">
        <f t="shared" si="314"/>
        <v>6.0696484094065896E-2</v>
      </c>
      <c r="BG28">
        <f t="shared" si="315"/>
        <v>5.9937778042890064E-2</v>
      </c>
      <c r="BH28">
        <f t="shared" si="316"/>
        <v>5.9188555817353938E-2</v>
      </c>
      <c r="BI28">
        <f t="shared" si="317"/>
        <v>5.8448698869637015E-2</v>
      </c>
      <c r="BJ28">
        <f t="shared" si="318"/>
        <v>5.7718090133766553E-2</v>
      </c>
      <c r="BK28">
        <f t="shared" si="319"/>
        <v>5.6996614007094472E-2</v>
      </c>
      <c r="BL28">
        <f t="shared" si="320"/>
        <v>5.6284156332005786E-2</v>
      </c>
      <c r="BM28">
        <f t="shared" si="321"/>
        <v>5.5580604377855725E-2</v>
      </c>
      <c r="BN28">
        <f t="shared" si="322"/>
        <v>5.4736793789655513E-2</v>
      </c>
      <c r="BO28">
        <f t="shared" si="323"/>
        <v>5.3870485867736448E-2</v>
      </c>
      <c r="BP28">
        <f t="shared" si="324"/>
        <v>5.3017933630211365E-2</v>
      </c>
      <c r="BQ28">
        <f t="shared" si="325"/>
        <v>5.2185946514322533E-2</v>
      </c>
      <c r="BR28">
        <f t="shared" si="326"/>
        <v>5.1380098266016618E-2</v>
      </c>
      <c r="BS28">
        <f t="shared" si="327"/>
        <v>5.0599567067637963E-2</v>
      </c>
      <c r="BT28">
        <f t="shared" si="328"/>
        <v>4.9843566398239531E-2</v>
      </c>
      <c r="BU28">
        <f t="shared" si="329"/>
        <v>4.9111343053895924E-2</v>
      </c>
      <c r="BV28">
        <f t="shared" si="330"/>
        <v>4.8402175304297156E-2</v>
      </c>
      <c r="BW28">
        <f t="shared" si="331"/>
        <v>4.7715371174580391E-2</v>
      </c>
      <c r="BX28">
        <f t="shared" si="332"/>
        <v>4.7050266842378355E-2</v>
      </c>
      <c r="BY28">
        <f t="shared" si="333"/>
        <v>4.6406225140978155E-2</v>
      </c>
      <c r="BZ28">
        <f t="shared" si="334"/>
        <v>4.5782634160306424E-2</v>
      </c>
      <c r="CA28">
        <f t="shared" si="335"/>
        <v>4.5178905938195214E-2</v>
      </c>
      <c r="CB28">
        <f t="shared" si="336"/>
        <v>4.4594475235048323E-2</v>
      </c>
      <c r="CC28">
        <f t="shared" si="337"/>
        <v>4.4028798385627253E-2</v>
      </c>
      <c r="CD28">
        <f t="shared" si="338"/>
        <v>4.3481352222216753E-2</v>
      </c>
      <c r="CE28">
        <f t="shared" si="339"/>
        <v>4.2951633063919095E-2</v>
      </c>
      <c r="CF28">
        <f t="shared" si="340"/>
        <v>4.2439155767267631E-2</v>
      </c>
      <c r="CG28">
        <f t="shared" si="341"/>
        <v>4.1943452833751928E-2</v>
      </c>
      <c r="CH28">
        <f t="shared" si="342"/>
        <v>4.1464073570207927E-2</v>
      </c>
      <c r="CI28">
        <f t="shared" si="343"/>
        <v>4.1000583298358359E-2</v>
      </c>
      <c r="CJ28">
        <f t="shared" si="344"/>
        <v>4.055256261008601E-2</v>
      </c>
      <c r="CK28">
        <f t="shared" si="345"/>
        <v>4.0119606665296237E-2</v>
      </c>
      <c r="CL28">
        <f t="shared" si="346"/>
        <v>3.9701324529472524E-2</v>
      </c>
      <c r="CM28">
        <f t="shared" si="347"/>
        <v>3.9297338548254922E-2</v>
      </c>
      <c r="CN28">
        <f t="shared" si="348"/>
        <v>3.890728375657778E-2</v>
      </c>
      <c r="CO28">
        <f t="shared" si="349"/>
        <v>3.8530807320091086E-2</v>
      </c>
      <c r="CP28">
        <f t="shared" si="350"/>
        <v>3.816756800676252E-2</v>
      </c>
      <c r="CQ28">
        <f t="shared" si="351"/>
        <v>3.7817235686714155E-2</v>
      </c>
      <c r="CR28">
        <f t="shared" si="352"/>
        <v>3.7479490858492913E-2</v>
      </c>
      <c r="CS28">
        <f t="shared" si="353"/>
        <v>3.7154024200105072E-2</v>
      </c>
      <c r="CT28">
        <f t="shared" si="354"/>
        <v>3.6840536143267655E-2</v>
      </c>
      <c r="CU28">
        <f t="shared" si="355"/>
        <v>3.6538736469440079E-2</v>
      </c>
      <c r="CV28">
        <f t="shared" si="356"/>
        <v>3.6157204919139908E-2</v>
      </c>
      <c r="CW28">
        <f t="shared" si="357"/>
        <v>3.5705239857650659E-2</v>
      </c>
      <c r="CX28">
        <f t="shared" si="358"/>
        <v>3.5258924359430031E-2</v>
      </c>
      <c r="CY28">
        <f t="shared" si="359"/>
        <v>3.4818187804937159E-2</v>
      </c>
      <c r="CZ28">
        <f t="shared" si="360"/>
        <v>3.4382960457375447E-2</v>
      </c>
      <c r="DA28">
        <f t="shared" si="361"/>
        <v>3.3953173451658249E-2</v>
      </c>
      <c r="DB28">
        <f t="shared" si="362"/>
        <v>3.3528758783512524E-2</v>
      </c>
      <c r="DC28">
        <f t="shared" si="363"/>
        <v>3.310964929871861E-2</v>
      </c>
      <c r="DD28">
        <f t="shared" si="364"/>
        <v>3.2695778682484633E-2</v>
      </c>
      <c r="DE28">
        <f t="shared" si="365"/>
        <v>3.2287081448953578E-2</v>
      </c>
      <c r="DF28">
        <f t="shared" si="366"/>
        <v>3.188349293084166E-2</v>
      </c>
      <c r="DG28">
        <f t="shared" si="367"/>
        <v>3.1484949269206142E-2</v>
      </c>
      <c r="DH28">
        <f t="shared" si="368"/>
        <v>3.1091387403341064E-2</v>
      </c>
      <c r="DI28">
        <f t="shared" si="369"/>
        <v>3.0702745060799296E-2</v>
      </c>
      <c r="DJ28">
        <f t="shared" si="370"/>
        <v>3.0318960747539304E-2</v>
      </c>
      <c r="DK28">
        <f t="shared" si="371"/>
        <v>2.9939973738195059E-2</v>
      </c>
      <c r="DL28">
        <f t="shared" si="372"/>
        <v>2.9565724066467625E-2</v>
      </c>
      <c r="DM28">
        <f t="shared" si="373"/>
        <v>2.9196152515636776E-2</v>
      </c>
      <c r="DN28">
        <f t="shared" si="374"/>
        <v>2.883120060919132E-2</v>
      </c>
      <c r="DO28">
        <f t="shared" si="375"/>
        <v>2.8470810601576423E-2</v>
      </c>
      <c r="DP28">
        <f t="shared" si="376"/>
        <v>2.8114925469056716E-2</v>
      </c>
      <c r="DQ28">
        <f t="shared" si="377"/>
        <v>2.7763488900693512E-2</v>
      </c>
      <c r="DR28">
        <f t="shared" si="378"/>
        <v>2.7416445289434842E-2</v>
      </c>
      <c r="DS28">
        <f t="shared" si="379"/>
        <v>2.7073739723316902E-2</v>
      </c>
      <c r="DT28">
        <f t="shared" si="380"/>
        <v>2.673531797677544E-2</v>
      </c>
      <c r="DU28">
        <f t="shared" si="381"/>
        <v>2.6401126502065754E-2</v>
      </c>
      <c r="DV28">
        <f t="shared" si="382"/>
        <v>2.6071112420789931E-2</v>
      </c>
      <c r="DW28">
        <f t="shared" si="383"/>
        <v>2.5745223515530057E-2</v>
      </c>
      <c r="DX28">
        <f t="shared" si="384"/>
        <v>2.5423408221585932E-2</v>
      </c>
      <c r="DY28">
        <f t="shared" si="385"/>
        <v>2.51056156188161E-2</v>
      </c>
      <c r="DZ28">
        <f t="shared" si="386"/>
        <v>2.4791795423580898E-2</v>
      </c>
      <c r="EA28">
        <f t="shared" si="387"/>
        <v>2.4481897980786139E-2</v>
      </c>
      <c r="EB28">
        <f t="shared" si="388"/>
        <v>2.4175874256026308E-2</v>
      </c>
      <c r="EC28">
        <f t="shared" si="389"/>
        <v>2.3873675827825978E-2</v>
      </c>
      <c r="ED28">
        <f t="shared" si="390"/>
        <v>2.3575254879978157E-2</v>
      </c>
      <c r="EE28">
        <f t="shared" si="391"/>
        <v>2.3280564193978427E-2</v>
      </c>
      <c r="EF28">
        <f t="shared" si="392"/>
        <v>2.2989557141553697E-2</v>
      </c>
      <c r="EG28">
        <f t="shared" si="393"/>
        <v>2.2702187677284279E-2</v>
      </c>
      <c r="EH28">
        <f t="shared" si="394"/>
        <v>2.241841033131823E-2</v>
      </c>
      <c r="EI28">
        <f t="shared" si="395"/>
        <v>2.2138180202176748E-2</v>
      </c>
      <c r="EJ28">
        <f t="shared" si="396"/>
        <v>2.186145294964954E-2</v>
      </c>
      <c r="EK28">
        <f t="shared" si="397"/>
        <v>2.1588184787778918E-2</v>
      </c>
      <c r="EL28">
        <f t="shared" si="398"/>
        <v>2.1318332477931679E-2</v>
      </c>
      <c r="EM28">
        <f t="shared" si="399"/>
        <v>2.1051853321957536E-2</v>
      </c>
      <c r="EN28">
        <f t="shared" si="400"/>
        <v>2.0788705155433063E-2</v>
      </c>
      <c r="EO28">
        <f t="shared" si="401"/>
        <v>2.0528846340990149E-2</v>
      </c>
      <c r="EP28">
        <f t="shared" si="402"/>
        <v>2.0272235761727774E-2</v>
      </c>
      <c r="EQ28">
        <f t="shared" si="403"/>
        <v>2.0018832814706178E-2</v>
      </c>
      <c r="ER28">
        <f t="shared" si="404"/>
        <v>1.9768597404522349E-2</v>
      </c>
      <c r="ES28">
        <f t="shared" si="405"/>
        <v>1.952148993696582E-2</v>
      </c>
      <c r="ET28">
        <f t="shared" si="406"/>
        <v>1.9277471312753747E-2</v>
      </c>
      <c r="EU28">
        <f t="shared" si="407"/>
        <v>1.9036502921344324E-2</v>
      </c>
      <c r="EV28">
        <f t="shared" si="408"/>
        <v>1.8798546634827516E-2</v>
      </c>
      <c r="EW28">
        <f t="shared" si="409"/>
        <v>1.8563564801892175E-2</v>
      </c>
      <c r="EX28">
        <f t="shared" si="410"/>
        <v>1.8331520241868526E-2</v>
      </c>
      <c r="EY28">
        <f t="shared" si="411"/>
        <v>1.8102376238845176E-2</v>
      </c>
      <c r="EZ28">
        <f t="shared" si="412"/>
        <v>1.7876096535859608E-2</v>
      </c>
      <c r="FA28">
        <f t="shared" si="413"/>
        <v>1.7652645329161366E-2</v>
      </c>
      <c r="FB28">
        <f t="shared" si="414"/>
        <v>1.7431987262546845E-2</v>
      </c>
      <c r="FC28">
        <f t="shared" si="415"/>
        <v>1.7214087421765011E-2</v>
      </c>
      <c r="FD28">
        <f t="shared" si="416"/>
        <v>1.6998911328992949E-2</v>
      </c>
      <c r="FE28">
        <f t="shared" si="417"/>
        <v>1.6786424937380539E-2</v>
      </c>
      <c r="FF28">
        <f t="shared" si="418"/>
        <v>1.6576594625663289E-2</v>
      </c>
      <c r="FG28">
        <f t="shared" si="419"/>
        <v>1.6369387192842498E-2</v>
      </c>
      <c r="FH28">
        <f t="shared" si="420"/>
        <v>1.6164769852931971E-2</v>
      </c>
      <c r="FI28">
        <f t="shared" si="421"/>
        <v>1.5962710229770315E-2</v>
      </c>
      <c r="FJ28">
        <f t="shared" si="422"/>
        <v>1.5763176351898188E-2</v>
      </c>
      <c r="FK28">
        <f t="shared" si="423"/>
        <v>1.5566136647499462E-2</v>
      </c>
      <c r="FL28">
        <f t="shared" si="424"/>
        <v>1.5371559939405722E-2</v>
      </c>
      <c r="FM28">
        <f t="shared" si="425"/>
        <v>1.5179415440163147E-2</v>
      </c>
      <c r="FN28">
        <f t="shared" si="426"/>
        <v>1.498967274716111E-2</v>
      </c>
      <c r="FO28">
        <f t="shared" si="427"/>
        <v>1.4802301837821597E-2</v>
      </c>
      <c r="FP28">
        <f t="shared" si="428"/>
        <v>1.4617273064848824E-2</v>
      </c>
      <c r="FQ28">
        <f t="shared" si="429"/>
        <v>1.4434557151538218E-2</v>
      </c>
      <c r="FR28">
        <f t="shared" si="430"/>
        <v>1.4254125187143996E-2</v>
      </c>
      <c r="FS28">
        <f t="shared" si="431"/>
        <v>1.407594862230469E-2</v>
      </c>
      <c r="FT28">
        <f t="shared" si="432"/>
        <v>1.3899999264525887E-2</v>
      </c>
      <c r="FU28">
        <f t="shared" si="433"/>
        <v>1.3726249273719316E-2</v>
      </c>
      <c r="FV28">
        <f t="shared" si="434"/>
        <v>1.3554671157797826E-2</v>
      </c>
      <c r="FW28">
        <f t="shared" si="435"/>
        <v>1.3385237768325352E-2</v>
      </c>
      <c r="FX28">
        <f t="shared" si="436"/>
        <v>1.3217922296221285E-2</v>
      </c>
      <c r="FY28">
        <f t="shared" si="437"/>
        <v>1.3052698267518514E-2</v>
      </c>
      <c r="FZ28">
        <f t="shared" si="438"/>
        <v>1.2889539539174533E-2</v>
      </c>
      <c r="GA28">
        <f t="shared" si="439"/>
        <v>1.272842029493485E-2</v>
      </c>
      <c r="GB28">
        <f t="shared" si="440"/>
        <v>1.2569315041248164E-2</v>
      </c>
      <c r="GC28">
        <f t="shared" si="441"/>
        <v>1.241219860323256E-2</v>
      </c>
      <c r="GD28">
        <f t="shared" si="442"/>
        <v>1.225704612069215E-2</v>
      </c>
      <c r="GE28">
        <f t="shared" si="443"/>
        <v>1.2103833044183498E-2</v>
      </c>
      <c r="GF28">
        <f t="shared" si="444"/>
        <v>1.1952535131131203E-2</v>
      </c>
      <c r="GG28">
        <f t="shared" si="445"/>
        <v>1.1803128441992061E-2</v>
      </c>
      <c r="GH28">
        <f t="shared" si="446"/>
        <v>1.1655589336467164E-2</v>
      </c>
      <c r="GI28">
        <f t="shared" si="447"/>
        <v>1.1509894469761328E-2</v>
      </c>
      <c r="GJ28">
        <f t="shared" si="448"/>
        <v>1.1366020788889309E-2</v>
      </c>
      <c r="GK28">
        <f t="shared" si="449"/>
        <v>1.122394552902819E-2</v>
      </c>
      <c r="GL28">
        <f t="shared" si="450"/>
        <v>1.1083646209915332E-2</v>
      </c>
      <c r="GM28">
        <f t="shared" si="451"/>
        <v>1.0945100632291394E-2</v>
      </c>
      <c r="GN28">
        <f t="shared" si="452"/>
        <v>1.0808286874387752E-2</v>
      </c>
      <c r="GO28">
        <f t="shared" si="453"/>
        <v>1.0673183288457899E-2</v>
      </c>
      <c r="GP28">
        <f t="shared" si="454"/>
        <v>1.0539768497352175E-2</v>
      </c>
      <c r="GQ28">
        <f t="shared" si="455"/>
        <v>1.040802139113527E-2</v>
      </c>
      <c r="GR28">
        <f t="shared" si="456"/>
        <v>1.0277921123746082E-2</v>
      </c>
      <c r="GS28">
        <f t="shared" si="457"/>
        <v>1.014944710969925E-2</v>
      </c>
      <c r="GT28">
        <f t="shared" si="458"/>
        <v>1.0022579020828004E-2</v>
      </c>
      <c r="GU28">
        <f t="shared" si="459"/>
        <v>9.8972967830676557E-3</v>
      </c>
      <c r="GV28">
        <f t="shared" si="460"/>
        <v>9.7735805732793064E-3</v>
      </c>
      <c r="GW28">
        <f t="shared" si="461"/>
        <v>9.651410816113315E-3</v>
      </c>
      <c r="GX28">
        <f t="shared" si="462"/>
        <v>9.5307681809118968E-3</v>
      </c>
      <c r="GY28">
        <f t="shared" si="463"/>
        <v>9.4116335786505016E-3</v>
      </c>
      <c r="GZ28">
        <f t="shared" si="464"/>
        <v>9.2939881589173649E-3</v>
      </c>
      <c r="HA28">
        <f t="shared" si="465"/>
        <v>9.1778133069308938E-3</v>
      </c>
      <c r="HB28">
        <f t="shared" si="466"/>
        <v>9.0630906405942627E-3</v>
      </c>
      <c r="HC28">
        <f t="shared" si="467"/>
        <v>8.9498020075868372E-3</v>
      </c>
      <c r="HD28">
        <f t="shared" si="468"/>
        <v>8.8379294824920025E-3</v>
      </c>
      <c r="HE28">
        <f t="shared" si="469"/>
        <v>8.7274553639608565E-3</v>
      </c>
      <c r="HF28">
        <f t="shared" si="470"/>
        <v>8.618362171911342E-3</v>
      </c>
      <c r="HG28">
        <f t="shared" si="471"/>
        <v>8.5106326447624506E-3</v>
      </c>
      <c r="HH28">
        <f t="shared" si="472"/>
        <v>8.4042497367029182E-3</v>
      </c>
      <c r="HI28">
        <f t="shared" si="473"/>
        <v>8.2991966149941303E-3</v>
      </c>
      <c r="HJ28">
        <f t="shared" si="474"/>
        <v>8.1954566573066989E-3</v>
      </c>
      <c r="HK28">
        <f t="shared" si="475"/>
        <v>8.0930134490903687E-3</v>
      </c>
      <c r="HL28">
        <f t="shared" si="476"/>
        <v>7.9918507809767399E-3</v>
      </c>
      <c r="HM28">
        <f t="shared" si="477"/>
        <v>7.8919526462145288E-3</v>
      </c>
      <c r="HN28">
        <f t="shared" si="478"/>
        <v>7.7933032381368502E-3</v>
      </c>
      <c r="HO28">
        <f t="shared" si="479"/>
        <v>7.6958869476601351E-3</v>
      </c>
      <c r="HP28">
        <f t="shared" si="480"/>
        <v>7.599688360814383E-3</v>
      </c>
      <c r="HQ28">
        <f t="shared" si="481"/>
        <v>7.5046922563042021E-3</v>
      </c>
      <c r="HR28">
        <f t="shared" si="482"/>
        <v>7.4108836031004047E-3</v>
      </c>
      <c r="HS28">
        <f t="shared" si="483"/>
        <v>7.3182475580616524E-3</v>
      </c>
      <c r="HT28">
        <f t="shared" si="484"/>
        <v>7.2267694635858807E-3</v>
      </c>
      <c r="HU28">
        <f t="shared" si="485"/>
        <v>7.1364348452910616E-3</v>
      </c>
      <c r="HV28">
        <f t="shared" si="486"/>
        <v>7.0472294097249201E-3</v>
      </c>
      <c r="HW28">
        <f t="shared" si="487"/>
        <v>6.9591390421033569E-3</v>
      </c>
      <c r="HX28">
        <f t="shared" si="488"/>
        <v>6.8721498040770655E-3</v>
      </c>
      <c r="HY28">
        <f t="shared" si="489"/>
        <v>6.7862479315261015E-3</v>
      </c>
      <c r="HZ28">
        <f t="shared" si="490"/>
        <v>6.7014198323820271E-3</v>
      </c>
      <c r="IA28">
        <f t="shared" si="491"/>
        <v>6.617652084477255E-3</v>
      </c>
      <c r="IB28">
        <f t="shared" si="492"/>
        <v>6.5349314334212875E-3</v>
      </c>
      <c r="IC28">
        <f t="shared" si="493"/>
        <v>6.4532447905035206E-3</v>
      </c>
      <c r="ID28">
        <f t="shared" si="494"/>
        <v>6.3725792306222216E-3</v>
      </c>
      <c r="IE28">
        <f t="shared" si="495"/>
        <v>6.2929219902394416E-3</v>
      </c>
      <c r="IF28">
        <f t="shared" si="496"/>
        <v>6.2142604653614543E-3</v>
      </c>
      <c r="IG28">
        <f t="shared" si="497"/>
        <v>6.1365822095444389E-3</v>
      </c>
      <c r="IH28">
        <f t="shared" si="498"/>
        <v>6.0598749319251358E-3</v>
      </c>
      <c r="II28">
        <f t="shared" si="499"/>
        <v>5.9841264952760764E-3</v>
      </c>
      <c r="IJ28">
        <f t="shared" si="500"/>
        <v>5.9093249140851232E-3</v>
      </c>
      <c r="IK28">
        <f t="shared" si="501"/>
        <v>5.8354583526590616E-3</v>
      </c>
      <c r="IL28">
        <f t="shared" si="502"/>
        <v>5.762515123250822E-3</v>
      </c>
      <c r="IM28">
        <f t="shared" si="503"/>
        <v>5.6904836842101899E-3</v>
      </c>
      <c r="IN28">
        <f t="shared" si="504"/>
        <v>5.61935263815756E-3</v>
      </c>
      <c r="IO28">
        <f t="shared" si="505"/>
        <v>5.5491107301805951E-3</v>
      </c>
      <c r="IP28">
        <f t="shared" si="506"/>
        <v>5.4797468460533348E-3</v>
      </c>
      <c r="IQ28">
        <f t="shared" si="507"/>
        <v>5.4112500104776641E-3</v>
      </c>
      <c r="IR28">
        <f t="shared" si="508"/>
        <v>5.343609385346693E-3</v>
      </c>
      <c r="IS28">
        <f t="shared" si="509"/>
        <v>5.2768142680298617E-3</v>
      </c>
      <c r="IT28">
        <f t="shared" si="510"/>
        <v>5.2108540896794843E-3</v>
      </c>
      <c r="IU28">
        <f t="shared" si="511"/>
        <v>5.1457184135584866E-3</v>
      </c>
      <c r="IV28">
        <f t="shared" si="512"/>
        <v>5.0813969333890043E-3</v>
      </c>
    </row>
    <row r="29" spans="1:256" x14ac:dyDescent="0.2">
      <c r="A29" t="s">
        <v>500</v>
      </c>
      <c r="B29">
        <f t="shared" si="258"/>
        <v>-7.2373204038433919E-2</v>
      </c>
      <c r="C29">
        <f t="shared" si="259"/>
        <v>-6.1987788964494042E-2</v>
      </c>
      <c r="D29">
        <f t="shared" si="260"/>
        <v>-6.1077966227075765E-2</v>
      </c>
      <c r="E29">
        <f t="shared" si="261"/>
        <v>-6.0184275235451043E-2</v>
      </c>
      <c r="F29">
        <f t="shared" si="262"/>
        <v>-5.930648107273695E-2</v>
      </c>
      <c r="G29">
        <f t="shared" si="263"/>
        <v>-5.8444348049746721E-2</v>
      </c>
      <c r="H29">
        <f t="shared" si="264"/>
        <v>-5.7597639863666658E-2</v>
      </c>
      <c r="I29">
        <f t="shared" si="265"/>
        <v>-5.6766119766292658E-2</v>
      </c>
      <c r="J29">
        <f t="shared" si="266"/>
        <v>-5.5949550738344914E-2</v>
      </c>
      <c r="K29">
        <f t="shared" si="267"/>
        <v>-5.5279797045904931E-2</v>
      </c>
      <c r="L29">
        <f t="shared" si="268"/>
        <v>-5.4624740361878588E-2</v>
      </c>
      <c r="M29">
        <f t="shared" si="269"/>
        <v>-5.3983855318447072E-2</v>
      </c>
      <c r="N29">
        <f t="shared" si="270"/>
        <v>-5.3356645452236284E-2</v>
      </c>
      <c r="O29">
        <f t="shared" si="271"/>
        <v>-5.2742640613398874E-2</v>
      </c>
      <c r="P29">
        <f t="shared" si="272"/>
        <v>-5.2141394591646115E-2</v>
      </c>
      <c r="Q29">
        <f t="shared" si="273"/>
        <v>-5.1552482949899857E-2</v>
      </c>
      <c r="R29">
        <f t="shared" si="274"/>
        <v>-5.097550105531512E-2</v>
      </c>
      <c r="S29">
        <f t="shared" si="275"/>
        <v>-5.039672409131337E-2</v>
      </c>
      <c r="T29">
        <f t="shared" si="276"/>
        <v>-4.9829483946304709E-2</v>
      </c>
      <c r="U29">
        <f t="shared" si="277"/>
        <v>-4.9273432426869025E-2</v>
      </c>
      <c r="V29">
        <f t="shared" si="278"/>
        <v>-4.8728233336237839E-2</v>
      </c>
      <c r="W29">
        <f t="shared" si="279"/>
        <v>-4.8193561650091914E-2</v>
      </c>
      <c r="X29">
        <f t="shared" si="280"/>
        <v>-4.7669102772499895E-2</v>
      </c>
      <c r="Y29">
        <f t="shared" si="281"/>
        <v>-4.7154551866115245E-2</v>
      </c>
      <c r="Z29">
        <f t="shared" si="282"/>
        <v>-4.6649613250962972E-2</v>
      </c>
      <c r="AA29">
        <f t="shared" si="283"/>
        <v>-4.5907773004776581E-2</v>
      </c>
      <c r="AB29">
        <f t="shared" si="284"/>
        <v>-4.5173725329474376E-2</v>
      </c>
      <c r="AC29">
        <f t="shared" si="285"/>
        <v>-4.4447372683253689E-2</v>
      </c>
      <c r="AD29">
        <f t="shared" si="286"/>
        <v>-4.3728626867229302E-2</v>
      </c>
      <c r="AE29">
        <f t="shared" si="287"/>
        <v>-4.3017408410156999E-2</v>
      </c>
      <c r="AF29">
        <f t="shared" si="288"/>
        <v>-4.2313645984955975E-2</v>
      </c>
      <c r="AG29">
        <f t="shared" si="289"/>
        <v>-4.1617275855432644E-2</v>
      </c>
      <c r="AH29">
        <f t="shared" si="290"/>
        <v>2.6765738231775572E-2</v>
      </c>
      <c r="AI29">
        <f t="shared" si="291"/>
        <v>2.6994406638049438E-2</v>
      </c>
      <c r="AJ29">
        <f t="shared" si="292"/>
        <v>2.7207971682097831E-2</v>
      </c>
      <c r="AK29">
        <f t="shared" si="293"/>
        <v>2.7407386417291714E-2</v>
      </c>
      <c r="AL29">
        <f t="shared" si="294"/>
        <v>2.7593584334710854E-2</v>
      </c>
      <c r="AM29">
        <f t="shared" si="295"/>
        <v>2.7767479163984098E-2</v>
      </c>
      <c r="AN29">
        <f t="shared" si="296"/>
        <v>2.7929964769953852E-2</v>
      </c>
      <c r="AO29">
        <f t="shared" si="297"/>
        <v>2.808191513785091E-2</v>
      </c>
      <c r="AP29">
        <f t="shared" si="298"/>
        <v>-4.3095326865189285E-2</v>
      </c>
      <c r="AQ29">
        <f t="shared" si="299"/>
        <v>-4.2288186899594939E-2</v>
      </c>
      <c r="AR29">
        <f t="shared" si="300"/>
        <v>-4.1493203880577631E-2</v>
      </c>
      <c r="AS29">
        <f t="shared" si="301"/>
        <v>-4.0710259441285514E-2</v>
      </c>
      <c r="AT29">
        <f t="shared" si="302"/>
        <v>-3.9939227886620854E-2</v>
      </c>
      <c r="AU29">
        <f t="shared" si="303"/>
        <v>-3.9179976581770193E-2</v>
      </c>
      <c r="AV29">
        <f t="shared" si="304"/>
        <v>-3.8432366335881131E-2</v>
      </c>
      <c r="AW29">
        <f t="shared" si="305"/>
        <v>-3.7696251779332127E-2</v>
      </c>
      <c r="AX29">
        <f t="shared" si="306"/>
        <v>-3.6971481733288583E-2</v>
      </c>
      <c r="AY29">
        <f t="shared" si="307"/>
        <v>-3.6137145098728819E-2</v>
      </c>
      <c r="AZ29">
        <f t="shared" si="308"/>
        <v>-3.5299481319644874E-2</v>
      </c>
      <c r="BA29">
        <f t="shared" si="309"/>
        <v>-3.4456916724917616E-2</v>
      </c>
      <c r="BB29">
        <f t="shared" si="310"/>
        <v>-3.3607817594574131E-2</v>
      </c>
      <c r="BC29">
        <f t="shared" si="311"/>
        <v>-3.2750478000702472E-2</v>
      </c>
      <c r="BD29">
        <f t="shared" si="312"/>
        <v>-3.1883106627793478E-2</v>
      </c>
      <c r="BE29">
        <f t="shared" si="313"/>
        <v>-3.1003812390918307E-2</v>
      </c>
      <c r="BF29">
        <f t="shared" si="314"/>
        <v>-3.0110588643134584E-2</v>
      </c>
      <c r="BG29">
        <f t="shared" si="315"/>
        <v>-2.9201295731300498E-2</v>
      </c>
      <c r="BH29">
        <f t="shared" si="316"/>
        <v>-2.8273641620976352E-2</v>
      </c>
      <c r="BI29">
        <f t="shared" si="317"/>
        <v>-2.7328748876815179E-2</v>
      </c>
      <c r="BJ29">
        <f t="shared" si="318"/>
        <v>-2.6372136472062924E-2</v>
      </c>
      <c r="BK29">
        <f t="shared" si="319"/>
        <v>-2.540221908061157E-2</v>
      </c>
      <c r="BL29">
        <f t="shared" si="320"/>
        <v>-2.4417317979534899E-2</v>
      </c>
      <c r="BM29">
        <f t="shared" si="321"/>
        <v>-2.3415666288947656E-2</v>
      </c>
      <c r="BN29">
        <f t="shared" si="322"/>
        <v>-2.2412308372951127E-2</v>
      </c>
      <c r="BO29">
        <f t="shared" si="323"/>
        <v>-2.1407898284514108E-2</v>
      </c>
      <c r="BP29">
        <f t="shared" si="324"/>
        <v>-2.0402211540699287E-2</v>
      </c>
      <c r="BQ29">
        <f t="shared" si="325"/>
        <v>-1.939477957520893E-2</v>
      </c>
      <c r="BR29">
        <f t="shared" si="326"/>
        <v>-1.8385063333538423E-2</v>
      </c>
      <c r="BS29">
        <f t="shared" si="327"/>
        <v>-1.7372456353039117E-2</v>
      </c>
      <c r="BT29">
        <f t="shared" si="328"/>
        <v>-1.6356336654343311E-2</v>
      </c>
      <c r="BU29">
        <f t="shared" si="329"/>
        <v>-1.5343268445736996E-2</v>
      </c>
      <c r="BV29">
        <f t="shared" si="330"/>
        <v>-1.4336731747536857E-2</v>
      </c>
      <c r="BW29">
        <f t="shared" si="331"/>
        <v>-1.3336639713130599E-2</v>
      </c>
      <c r="BX29">
        <f t="shared" si="332"/>
        <v>-1.2342879683042591E-2</v>
      </c>
      <c r="BY29">
        <f t="shared" si="333"/>
        <v>-1.1355313169903352E-2</v>
      </c>
      <c r="BZ29">
        <f t="shared" si="334"/>
        <v>-1.0373775856848894E-2</v>
      </c>
      <c r="CA29">
        <f t="shared" si="335"/>
        <v>-9.3980776067076784E-3</v>
      </c>
      <c r="CB29">
        <f t="shared" si="336"/>
        <v>-8.4280024794044679E-3</v>
      </c>
      <c r="CC29">
        <f t="shared" si="337"/>
        <v>-7.4633087550764086E-3</v>
      </c>
      <c r="CD29">
        <f t="shared" si="338"/>
        <v>-6.5037289604568446E-3</v>
      </c>
      <c r="CE29">
        <f t="shared" si="339"/>
        <v>-5.5489698961360637E-3</v>
      </c>
      <c r="CF29">
        <f t="shared" si="340"/>
        <v>-4.5987126623549205E-3</v>
      </c>
      <c r="CG29">
        <f t="shared" si="341"/>
        <v>-3.6526126810279115E-3</v>
      </c>
      <c r="CH29">
        <f t="shared" si="342"/>
        <v>-2.7102997117257888E-3</v>
      </c>
      <c r="CI29">
        <f t="shared" si="343"/>
        <v>-1.7713778593743345E-3</v>
      </c>
      <c r="CJ29">
        <f t="shared" si="344"/>
        <v>-8.3542557144531402E-4</v>
      </c>
      <c r="CK29">
        <f t="shared" si="345"/>
        <v>9.8004377570659612E-5</v>
      </c>
      <c r="CL29">
        <f t="shared" si="346"/>
        <v>1.0293849166152947E-3</v>
      </c>
      <c r="CM29">
        <f t="shared" si="347"/>
        <v>1.9592147256432988E-3</v>
      </c>
      <c r="CN29">
        <f t="shared" si="348"/>
        <v>2.8880183025469519E-3</v>
      </c>
      <c r="CO29">
        <f t="shared" si="349"/>
        <v>3.8163460516529744E-3</v>
      </c>
      <c r="CP29">
        <f t="shared" si="350"/>
        <v>4.7447291089431128E-3</v>
      </c>
      <c r="CQ29">
        <f t="shared" si="351"/>
        <v>5.6737025333099874E-3</v>
      </c>
      <c r="CR29">
        <f t="shared" si="352"/>
        <v>6.6038212084434059E-3</v>
      </c>
      <c r="CS29">
        <f t="shared" si="353"/>
        <v>7.5356598573493357E-3</v>
      </c>
      <c r="CT29">
        <f t="shared" si="354"/>
        <v>8.4698130842673584E-3</v>
      </c>
      <c r="CU29">
        <f t="shared" si="355"/>
        <v>9.4068954453230373E-3</v>
      </c>
      <c r="CV29">
        <f t="shared" si="356"/>
        <v>1.0347541549266431E-2</v>
      </c>
      <c r="CW29">
        <f t="shared" si="357"/>
        <v>1.1291464267808892E-2</v>
      </c>
      <c r="CX29">
        <f t="shared" si="358"/>
        <v>1.2238458224738357E-2</v>
      </c>
      <c r="CY29">
        <f t="shared" si="359"/>
        <v>1.3189112804779307E-2</v>
      </c>
      <c r="CZ29">
        <f t="shared" si="360"/>
        <v>1.4144035955314155E-2</v>
      </c>
      <c r="DA29">
        <f t="shared" si="361"/>
        <v>1.5103854160087532E-2</v>
      </c>
      <c r="DB29">
        <f t="shared" si="362"/>
        <v>1.6069212432476738E-2</v>
      </c>
      <c r="DC29">
        <f t="shared" si="363"/>
        <v>1.7040774329660353E-2</v>
      </c>
      <c r="DD29">
        <f t="shared" si="364"/>
        <v>1.801922198901133E-2</v>
      </c>
      <c r="DE29">
        <f t="shared" si="365"/>
        <v>1.900525618803529E-2</v>
      </c>
      <c r="DF29">
        <f t="shared" si="366"/>
        <v>1.9999596429168064E-2</v>
      </c>
      <c r="DG29">
        <f t="shared" si="367"/>
        <v>2.1002981050739104E-2</v>
      </c>
      <c r="DH29">
        <f t="shared" si="368"/>
        <v>2.2016167365399041E-2</v>
      </c>
      <c r="DI29">
        <f t="shared" si="369"/>
        <v>2.3039931827301213E-2</v>
      </c>
      <c r="DJ29">
        <f t="shared" si="370"/>
        <v>2.4075070229316549E-2</v>
      </c>
      <c r="DK29">
        <f t="shared" si="371"/>
        <v>2.5122397931552624E-2</v>
      </c>
      <c r="DL29">
        <f t="shared" si="372"/>
        <v>2.6182750122435972E-2</v>
      </c>
      <c r="DM29">
        <f t="shared" si="373"/>
        <v>2.7256982113607515E-2</v>
      </c>
      <c r="DN29">
        <f t="shared" si="374"/>
        <v>2.834596966986886E-2</v>
      </c>
      <c r="DO29">
        <f t="shared" si="375"/>
        <v>2.945060937540887E-2</v>
      </c>
      <c r="DP29">
        <f t="shared" si="376"/>
        <v>3.0571819037528036E-2</v>
      </c>
      <c r="DQ29">
        <f t="shared" si="377"/>
        <v>3.1710538129070168E-2</v>
      </c>
      <c r="DR29">
        <f t="shared" si="378"/>
        <v>3.2867728270761599E-2</v>
      </c>
      <c r="DS29">
        <f t="shared" si="379"/>
        <v>3.4044373754651379E-2</v>
      </c>
      <c r="DT29">
        <f t="shared" si="380"/>
        <v>3.5241482109838414E-2</v>
      </c>
      <c r="DU29">
        <f t="shared" si="381"/>
        <v>3.646008471166922E-2</v>
      </c>
      <c r="DV29">
        <f t="shared" si="382"/>
        <v>3.77012374355844E-2</v>
      </c>
      <c r="DW29">
        <f t="shared" si="383"/>
        <v>3.8966021356793022E-2</v>
      </c>
      <c r="DX29">
        <f t="shared" si="384"/>
        <v>4.0255543496954871E-2</v>
      </c>
      <c r="DY29">
        <f t="shared" si="385"/>
        <v>4.1570937619054213E-2</v>
      </c>
      <c r="DZ29">
        <f t="shared" si="386"/>
        <v>4.2913365071655649E-2</v>
      </c>
      <c r="EA29">
        <f t="shared" si="387"/>
        <v>4.4284015683741906E-2</v>
      </c>
      <c r="EB29">
        <f t="shared" si="388"/>
        <v>4.5684108711345539E-2</v>
      </c>
      <c r="EC29">
        <f t="shared" si="389"/>
        <v>4.7114893837203742E-2</v>
      </c>
      <c r="ED29">
        <f t="shared" si="390"/>
        <v>4.6607794344439381E-2</v>
      </c>
      <c r="EE29">
        <f t="shared" si="391"/>
        <v>4.602519691513389E-2</v>
      </c>
      <c r="EF29">
        <f t="shared" si="392"/>
        <v>4.5449881953694718E-2</v>
      </c>
      <c r="EG29">
        <f t="shared" si="393"/>
        <v>4.4881758429273534E-2</v>
      </c>
      <c r="EH29">
        <f t="shared" si="394"/>
        <v>4.4320736448907619E-2</v>
      </c>
      <c r="EI29">
        <f t="shared" si="395"/>
        <v>4.3766727243296263E-2</v>
      </c>
      <c r="EJ29">
        <f t="shared" si="396"/>
        <v>4.3219643152755061E-2</v>
      </c>
      <c r="EK29">
        <f t="shared" si="397"/>
        <v>4.2679397613345625E-2</v>
      </c>
      <c r="EL29">
        <f t="shared" si="398"/>
        <v>4.2145905143178806E-2</v>
      </c>
      <c r="EM29">
        <f t="shared" si="399"/>
        <v>4.1619081328889071E-2</v>
      </c>
      <c r="EN29">
        <f t="shared" si="400"/>
        <v>4.1098842812277957E-2</v>
      </c>
      <c r="EO29">
        <f t="shared" si="401"/>
        <v>4.0585107277124485E-2</v>
      </c>
      <c r="EP29">
        <f t="shared" si="402"/>
        <v>4.0077793436160435E-2</v>
      </c>
      <c r="EQ29">
        <f t="shared" si="403"/>
        <v>3.9576821018208433E-2</v>
      </c>
      <c r="ER29">
        <f t="shared" si="404"/>
        <v>3.9082110755480827E-2</v>
      </c>
      <c r="ES29">
        <f t="shared" si="405"/>
        <v>3.8593584371037312E-2</v>
      </c>
      <c r="ET29">
        <f t="shared" si="406"/>
        <v>3.8111164566399347E-2</v>
      </c>
      <c r="EU29">
        <f t="shared" si="407"/>
        <v>3.7634775009319353E-2</v>
      </c>
      <c r="EV29">
        <f t="shared" si="408"/>
        <v>3.7164340321702863E-2</v>
      </c>
      <c r="EW29">
        <f t="shared" si="409"/>
        <v>3.6699786067681574E-2</v>
      </c>
      <c r="EX29">
        <f t="shared" si="410"/>
        <v>3.6241038741835555E-2</v>
      </c>
      <c r="EY29">
        <f t="shared" si="411"/>
        <v>3.5788025757562604E-2</v>
      </c>
      <c r="EZ29">
        <f t="shared" si="412"/>
        <v>3.5340675435593071E-2</v>
      </c>
      <c r="FA29">
        <f t="shared" si="413"/>
        <v>3.4898916992648153E-2</v>
      </c>
      <c r="FB29">
        <f t="shared" si="414"/>
        <v>3.4462680530240056E-2</v>
      </c>
      <c r="FC29">
        <f t="shared" si="415"/>
        <v>3.4031897023612055E-2</v>
      </c>
      <c r="FD29">
        <f t="shared" si="416"/>
        <v>3.3606498310816899E-2</v>
      </c>
      <c r="FE29">
        <f t="shared" si="417"/>
        <v>3.3186417081931686E-2</v>
      </c>
      <c r="FF29">
        <f t="shared" si="418"/>
        <v>3.2771586868407546E-2</v>
      </c>
      <c r="FG29">
        <f t="shared" si="419"/>
        <v>3.2361942032552451E-2</v>
      </c>
      <c r="FH29">
        <f t="shared" si="420"/>
        <v>3.1957417757145543E-2</v>
      </c>
      <c r="FI29">
        <f t="shared" si="421"/>
        <v>3.1557950035181227E-2</v>
      </c>
      <c r="FJ29">
        <f t="shared" si="422"/>
        <v>3.1163475659741459E-2</v>
      </c>
      <c r="FK29">
        <f t="shared" si="423"/>
        <v>3.0773932213994694E-2</v>
      </c>
      <c r="FL29">
        <f t="shared" si="424"/>
        <v>3.0389258061319757E-2</v>
      </c>
      <c r="FM29">
        <f t="shared" si="425"/>
        <v>3.0009392335553265E-2</v>
      </c>
      <c r="FN29">
        <f t="shared" si="426"/>
        <v>2.963427493135885E-2</v>
      </c>
      <c r="FO29">
        <f t="shared" si="427"/>
        <v>2.9263846494716861E-2</v>
      </c>
      <c r="FP29">
        <f t="shared" si="428"/>
        <v>2.8898048413532895E-2</v>
      </c>
      <c r="FQ29">
        <f t="shared" si="429"/>
        <v>2.8536822808363737E-2</v>
      </c>
      <c r="FR29">
        <f t="shared" si="430"/>
        <v>2.8180112523259193E-2</v>
      </c>
      <c r="FS29">
        <f t="shared" si="431"/>
        <v>2.7827861116718457E-2</v>
      </c>
      <c r="FT29">
        <f t="shared" si="432"/>
        <v>2.7480012852759472E-2</v>
      </c>
      <c r="FU29">
        <f t="shared" si="433"/>
        <v>2.713651269209998E-2</v>
      </c>
      <c r="FV29">
        <f t="shared" si="434"/>
        <v>2.679730628344873E-2</v>
      </c>
      <c r="FW29">
        <f t="shared" si="435"/>
        <v>2.6462339954905621E-2</v>
      </c>
      <c r="FX29">
        <f t="shared" si="436"/>
        <v>2.6131560705469303E-2</v>
      </c>
      <c r="FY29">
        <f t="shared" si="437"/>
        <v>2.5804916196650939E-2</v>
      </c>
      <c r="FZ29">
        <f t="shared" si="438"/>
        <v>2.5482354744192803E-2</v>
      </c>
      <c r="GA29">
        <f t="shared" si="439"/>
        <v>2.5163825309890399E-2</v>
      </c>
      <c r="GB29">
        <f t="shared" si="440"/>
        <v>2.4849277493516765E-2</v>
      </c>
      <c r="GC29">
        <f t="shared" si="441"/>
        <v>2.4538661524847804E-2</v>
      </c>
      <c r="GD29">
        <f t="shared" si="442"/>
        <v>2.4231928255787204E-2</v>
      </c>
      <c r="GE29">
        <f t="shared" si="443"/>
        <v>2.3929029152589865E-2</v>
      </c>
      <c r="GF29">
        <f t="shared" si="444"/>
        <v>2.3629916288182496E-2</v>
      </c>
      <c r="GG29">
        <f t="shared" si="445"/>
        <v>2.3334542334580211E-2</v>
      </c>
      <c r="GH29">
        <f t="shared" si="446"/>
        <v>2.3042860555397959E-2</v>
      </c>
      <c r="GI29">
        <f t="shared" si="447"/>
        <v>2.2754824798455486E-2</v>
      </c>
      <c r="GJ29">
        <f t="shared" si="448"/>
        <v>2.2470389488474796E-2</v>
      </c>
      <c r="GK29">
        <f t="shared" si="449"/>
        <v>2.2189509619868864E-2</v>
      </c>
      <c r="GL29">
        <f t="shared" si="450"/>
        <v>2.1912140749620501E-2</v>
      </c>
      <c r="GM29">
        <f t="shared" si="451"/>
        <v>2.1638238990250247E-2</v>
      </c>
      <c r="GN29">
        <f t="shared" si="452"/>
        <v>2.1367761002872122E-2</v>
      </c>
      <c r="GO29">
        <f t="shared" si="453"/>
        <v>2.1100663990336221E-2</v>
      </c>
      <c r="GP29">
        <f t="shared" si="454"/>
        <v>2.0836905690457021E-2</v>
      </c>
      <c r="GQ29">
        <f t="shared" si="455"/>
        <v>2.0576444369326308E-2</v>
      </c>
      <c r="GR29">
        <f t="shared" si="456"/>
        <v>2.0319238814709727E-2</v>
      </c>
      <c r="GS29">
        <f t="shared" si="457"/>
        <v>2.0065248329525852E-2</v>
      </c>
      <c r="GT29">
        <f t="shared" si="458"/>
        <v>1.9814432725406783E-2</v>
      </c>
      <c r="GU29">
        <f t="shared" si="459"/>
        <v>1.9566752316339198E-2</v>
      </c>
      <c r="GV29">
        <f t="shared" si="460"/>
        <v>1.9322167912384957E-2</v>
      </c>
      <c r="GW29">
        <f t="shared" si="461"/>
        <v>1.9080640813480144E-2</v>
      </c>
      <c r="GX29">
        <f t="shared" si="462"/>
        <v>1.884213280331164E-2</v>
      </c>
      <c r="GY29">
        <f t="shared" si="463"/>
        <v>1.8606606143270244E-2</v>
      </c>
      <c r="GZ29">
        <f t="shared" si="464"/>
        <v>1.837402356647937E-2</v>
      </c>
      <c r="HA29">
        <f t="shared" si="465"/>
        <v>1.814434827189838E-2</v>
      </c>
      <c r="HB29">
        <f t="shared" si="466"/>
        <v>1.7917543918499645E-2</v>
      </c>
      <c r="HC29">
        <f t="shared" si="467"/>
        <v>1.7693574619518405E-2</v>
      </c>
      <c r="HD29">
        <f t="shared" si="468"/>
        <v>1.7472404936774422E-2</v>
      </c>
      <c r="HE29">
        <f t="shared" si="469"/>
        <v>1.7253999875064742E-2</v>
      </c>
      <c r="HF29">
        <f t="shared" si="470"/>
        <v>1.7038324876626432E-2</v>
      </c>
      <c r="HG29">
        <f t="shared" si="471"/>
        <v>1.6825345815668601E-2</v>
      </c>
      <c r="HH29">
        <f t="shared" si="472"/>
        <v>1.6615028992972746E-2</v>
      </c>
      <c r="HI29">
        <f t="shared" si="473"/>
        <v>1.6407341130560582E-2</v>
      </c>
      <c r="HJ29">
        <f t="shared" si="474"/>
        <v>1.6202249366428577E-2</v>
      </c>
      <c r="HK29">
        <f t="shared" si="475"/>
        <v>1.5999721249348221E-2</v>
      </c>
      <c r="HL29">
        <f t="shared" si="476"/>
        <v>1.5799724733731368E-2</v>
      </c>
      <c r="HM29">
        <f t="shared" si="477"/>
        <v>1.5602228174559729E-2</v>
      </c>
      <c r="HN29">
        <f t="shared" si="478"/>
        <v>1.5407200322377735E-2</v>
      </c>
      <c r="HO29">
        <f t="shared" si="479"/>
        <v>1.5214610318348009E-2</v>
      </c>
      <c r="HP29">
        <f t="shared" si="480"/>
        <v>1.5024427689368658E-2</v>
      </c>
      <c r="HQ29">
        <f t="shared" si="481"/>
        <v>1.4836622343251549E-2</v>
      </c>
      <c r="HR29">
        <f t="shared" si="482"/>
        <v>1.4651164563960905E-2</v>
      </c>
      <c r="HS29">
        <f t="shared" si="483"/>
        <v>1.4468025006911389E-2</v>
      </c>
      <c r="HT29">
        <f t="shared" si="484"/>
        <v>1.4287174694325E-2</v>
      </c>
      <c r="HU29">
        <f t="shared" si="485"/>
        <v>1.4108585010645935E-2</v>
      </c>
      <c r="HV29">
        <f t="shared" si="486"/>
        <v>1.3932227698012856E-2</v>
      </c>
      <c r="HW29">
        <f t="shared" si="487"/>
        <v>1.3758074851787695E-2</v>
      </c>
      <c r="HX29">
        <f t="shared" si="488"/>
        <v>1.3586098916140344E-2</v>
      </c>
      <c r="HY29">
        <f t="shared" si="489"/>
        <v>1.341627267968859E-2</v>
      </c>
      <c r="HZ29">
        <f t="shared" si="490"/>
        <v>1.3248569271192478E-2</v>
      </c>
      <c r="IA29">
        <f t="shared" si="491"/>
        <v>1.3082962155302569E-2</v>
      </c>
      <c r="IB29">
        <f t="shared" si="492"/>
        <v>1.2919425128361283E-2</v>
      </c>
      <c r="IC29">
        <f t="shared" si="493"/>
        <v>1.275793231425677E-2</v>
      </c>
      <c r="ID29">
        <f t="shared" si="494"/>
        <v>1.2598458160328563E-2</v>
      </c>
      <c r="IE29">
        <f t="shared" si="495"/>
        <v>1.2440977433324452E-2</v>
      </c>
      <c r="IF29">
        <f t="shared" si="496"/>
        <v>1.2285465215407899E-2</v>
      </c>
      <c r="IG29">
        <f t="shared" si="497"/>
        <v>1.21318969002153E-2</v>
      </c>
      <c r="IH29">
        <f t="shared" si="498"/>
        <v>1.1980248188962605E-2</v>
      </c>
      <c r="II29">
        <f t="shared" si="499"/>
        <v>1.1830495086600567E-2</v>
      </c>
      <c r="IJ29">
        <f t="shared" si="500"/>
        <v>1.1682613898018057E-2</v>
      </c>
      <c r="IK29">
        <f t="shared" si="501"/>
        <v>1.153658122429283E-2</v>
      </c>
      <c r="IL29">
        <f t="shared" si="502"/>
        <v>1.1392373958989167E-2</v>
      </c>
      <c r="IM29">
        <f t="shared" si="503"/>
        <v>1.1249969284501804E-2</v>
      </c>
      <c r="IN29">
        <f t="shared" si="504"/>
        <v>1.1109344668445532E-2</v>
      </c>
      <c r="IO29">
        <f t="shared" si="505"/>
        <v>1.0970477860089967E-2</v>
      </c>
      <c r="IP29">
        <f t="shared" si="506"/>
        <v>1.0833346886838846E-2</v>
      </c>
      <c r="IQ29">
        <f t="shared" si="507"/>
        <v>1.0697930050753358E-2</v>
      </c>
      <c r="IR29">
        <f t="shared" si="508"/>
        <v>1.0564205925118942E-2</v>
      </c>
      <c r="IS29">
        <f t="shared" si="509"/>
        <v>1.0432153351054952E-2</v>
      </c>
      <c r="IT29">
        <f t="shared" si="510"/>
        <v>1.0301751434166761E-2</v>
      </c>
      <c r="IU29">
        <f t="shared" si="511"/>
        <v>1.017297954123968E-2</v>
      </c>
      <c r="IV29">
        <f t="shared" si="512"/>
        <v>1.004581729697418E-2</v>
      </c>
    </row>
    <row r="30" spans="1:256" x14ac:dyDescent="0.2">
      <c r="A30" t="s">
        <v>501</v>
      </c>
      <c r="B30">
        <f t="shared" si="258"/>
        <v>4.710054203871173E-2</v>
      </c>
      <c r="C30">
        <f t="shared" si="259"/>
        <v>6.5108718657865716E-2</v>
      </c>
      <c r="D30">
        <f t="shared" si="260"/>
        <v>6.4294859674642393E-2</v>
      </c>
      <c r="E30">
        <f t="shared" si="261"/>
        <v>6.3491173928709371E-2</v>
      </c>
      <c r="F30">
        <f t="shared" si="262"/>
        <v>6.2697534254600493E-2</v>
      </c>
      <c r="G30">
        <f t="shared" si="263"/>
        <v>6.1913815076418001E-2</v>
      </c>
      <c r="H30">
        <f t="shared" si="264"/>
        <v>6.1139892387962767E-2</v>
      </c>
      <c r="I30">
        <f t="shared" si="265"/>
        <v>6.0375643733113236E-2</v>
      </c>
      <c r="J30">
        <f t="shared" si="266"/>
        <v>5.9620948186449321E-2</v>
      </c>
      <c r="K30">
        <f t="shared" si="267"/>
        <v>5.8875686334118701E-2</v>
      </c>
      <c r="L30">
        <f t="shared" si="268"/>
        <v>5.8139740254942215E-2</v>
      </c>
      <c r="M30">
        <f t="shared" si="269"/>
        <v>5.7412993501755438E-2</v>
      </c>
      <c r="N30">
        <f t="shared" si="270"/>
        <v>5.6695331082983504E-2</v>
      </c>
      <c r="O30">
        <f t="shared" si="271"/>
        <v>5.5986639444446193E-2</v>
      </c>
      <c r="P30">
        <f t="shared" si="272"/>
        <v>5.5286806451390627E-2</v>
      </c>
      <c r="Q30">
        <f t="shared" si="273"/>
        <v>5.4595721370748237E-2</v>
      </c>
      <c r="R30">
        <f t="shared" si="274"/>
        <v>4.0559694881510795E-2</v>
      </c>
      <c r="S30">
        <f t="shared" si="275"/>
        <v>3.8592528318475504E-2</v>
      </c>
      <c r="T30">
        <f t="shared" si="276"/>
        <v>3.6682668024608879E-2</v>
      </c>
      <c r="U30">
        <f t="shared" si="277"/>
        <v>3.4828101458927764E-2</v>
      </c>
      <c r="V30">
        <f t="shared" si="278"/>
        <v>3.3026907591035257E-2</v>
      </c>
      <c r="W30">
        <f t="shared" si="279"/>
        <v>3.1277252872555214E-2</v>
      </c>
      <c r="X30">
        <f t="shared" si="280"/>
        <v>2.9577387308474406E-2</v>
      </c>
      <c r="Y30">
        <f t="shared" si="281"/>
        <v>2.7925640636156802E-2</v>
      </c>
      <c r="Z30">
        <f t="shared" si="282"/>
        <v>3.8183594323862306E-2</v>
      </c>
      <c r="AA30">
        <f t="shared" si="283"/>
        <v>3.7039196019642465E-2</v>
      </c>
      <c r="AB30">
        <f t="shared" si="284"/>
        <v>3.5932529946019753E-2</v>
      </c>
      <c r="AC30">
        <f t="shared" si="285"/>
        <v>3.4861863946615043E-2</v>
      </c>
      <c r="AD30">
        <f t="shared" si="286"/>
        <v>3.3825544401380789E-2</v>
      </c>
      <c r="AE30">
        <f t="shared" si="287"/>
        <v>3.2821993384174575E-2</v>
      </c>
      <c r="AF30">
        <f t="shared" si="288"/>
        <v>3.1849705855969454E-2</v>
      </c>
      <c r="AG30">
        <f t="shared" si="289"/>
        <v>3.0907246901618259E-2</v>
      </c>
      <c r="AH30">
        <f t="shared" si="290"/>
        <v>-2.6572611417553838E-2</v>
      </c>
      <c r="AI30">
        <f t="shared" si="291"/>
        <v>-2.5975454450934188E-2</v>
      </c>
      <c r="AJ30">
        <f t="shared" si="292"/>
        <v>-2.538896082023696E-2</v>
      </c>
      <c r="AK30">
        <f t="shared" si="293"/>
        <v>-2.481297706082599E-2</v>
      </c>
      <c r="AL30">
        <f t="shared" si="294"/>
        <v>-2.4247349905313083E-2</v>
      </c>
      <c r="AM30">
        <f t="shared" si="295"/>
        <v>-2.3691926348114567E-2</v>
      </c>
      <c r="AN30">
        <f t="shared" si="296"/>
        <v>-2.3146553706737981E-2</v>
      </c>
      <c r="AO30">
        <f t="shared" si="297"/>
        <v>-2.2611079679916723E-2</v>
      </c>
      <c r="AP30">
        <f t="shared" si="298"/>
        <v>-1.5478092924751297E-2</v>
      </c>
      <c r="AQ30">
        <f t="shared" si="299"/>
        <v>-1.489661761602214E-2</v>
      </c>
      <c r="AR30">
        <f t="shared" si="300"/>
        <v>-1.4325859519864587E-2</v>
      </c>
      <c r="AS30">
        <f t="shared" si="301"/>
        <v>-1.3765676372994201E-2</v>
      </c>
      <c r="AT30">
        <f t="shared" si="302"/>
        <v>-1.3215926929295635E-2</v>
      </c>
      <c r="AU30">
        <f t="shared" si="303"/>
        <v>-1.2676470978108173E-2</v>
      </c>
      <c r="AV30">
        <f t="shared" si="304"/>
        <v>-1.2147169361361343E-2</v>
      </c>
      <c r="AW30">
        <f t="shared" si="305"/>
        <v>-1.1627883989599829E-2</v>
      </c>
      <c r="AX30">
        <f t="shared" si="306"/>
        <v>1.4285741205947633E-2</v>
      </c>
      <c r="AY30">
        <f t="shared" si="307"/>
        <v>1.4830091075833923E-2</v>
      </c>
      <c r="AZ30">
        <f t="shared" si="308"/>
        <v>1.5389337260548846E-2</v>
      </c>
      <c r="BA30">
        <f t="shared" si="309"/>
        <v>1.5964744696542223E-2</v>
      </c>
      <c r="BB30">
        <f t="shared" si="310"/>
        <v>1.6557611078919832E-2</v>
      </c>
      <c r="BC30">
        <f t="shared" si="311"/>
        <v>1.7169269786924523E-2</v>
      </c>
      <c r="BD30">
        <f t="shared" si="312"/>
        <v>1.7801092955615695E-2</v>
      </c>
      <c r="BE30">
        <f t="shared" si="313"/>
        <v>1.8454494706691159E-2</v>
      </c>
      <c r="BF30">
        <f t="shared" si="314"/>
        <v>1.9130934552303691E-2</v>
      </c>
      <c r="BG30">
        <f t="shared" si="315"/>
        <v>1.983192098672849E-2</v>
      </c>
      <c r="BH30">
        <f t="shared" si="316"/>
        <v>2.0559015281838934E-2</v>
      </c>
      <c r="BI30">
        <f t="shared" si="317"/>
        <v>2.1299819294965237E-2</v>
      </c>
      <c r="BJ30">
        <f t="shared" si="318"/>
        <v>2.2025628794018169E-2</v>
      </c>
      <c r="BK30">
        <f t="shared" si="319"/>
        <v>2.2736535495714638E-2</v>
      </c>
      <c r="BL30">
        <f t="shared" si="320"/>
        <v>2.3432635325478578E-2</v>
      </c>
      <c r="BM30">
        <f t="shared" si="321"/>
        <v>2.4114028194574099E-2</v>
      </c>
      <c r="BN30">
        <f t="shared" si="322"/>
        <v>2.4780817784719376E-2</v>
      </c>
      <c r="BO30">
        <f t="shared" si="323"/>
        <v>2.5433111339965609E-2</v>
      </c>
      <c r="BP30">
        <f t="shared" si="324"/>
        <v>2.6071019465630573E-2</v>
      </c>
      <c r="BQ30">
        <f t="shared" si="325"/>
        <v>2.669465593408258E-2</v>
      </c>
      <c r="BR30">
        <f t="shared" si="326"/>
        <v>2.7304137497175661E-2</v>
      </c>
      <c r="BS30">
        <f t="shared" si="327"/>
        <v>2.7899583705142506E-2</v>
      </c>
      <c r="BT30">
        <f t="shared" si="328"/>
        <v>2.8481116731756663E-2</v>
      </c>
      <c r="BU30">
        <f t="shared" si="329"/>
        <v>2.9048861205580721E-2</v>
      </c>
      <c r="BV30">
        <f t="shared" si="330"/>
        <v>2.9602944047122513E-2</v>
      </c>
      <c r="BW30">
        <f t="shared" si="331"/>
        <v>3.014349431172534E-2</v>
      </c>
      <c r="BX30">
        <f t="shared" si="332"/>
        <v>3.0670643038023727E-2</v>
      </c>
      <c r="BY30">
        <f t="shared" si="333"/>
        <v>3.1184523101800799E-2</v>
      </c>
      <c r="BZ30">
        <f t="shared" si="334"/>
        <v>3.1685269075086821E-2</v>
      </c>
      <c r="CA30">
        <f t="shared" si="335"/>
        <v>3.2173017090344515E-2</v>
      </c>
      <c r="CB30">
        <f t="shared" si="336"/>
        <v>3.2647904709589282E-2</v>
      </c>
      <c r="CC30">
        <f t="shared" si="337"/>
        <v>3.3110070798297406E-2</v>
      </c>
      <c r="CD30">
        <f t="shared" si="338"/>
        <v>3.3559655403959845E-2</v>
      </c>
      <c r="CE30">
        <f t="shared" si="339"/>
        <v>3.3996799639141873E-2</v>
      </c>
      <c r="CF30">
        <f t="shared" si="340"/>
        <v>3.4421645568913604E-2</v>
      </c>
      <c r="CG30">
        <f t="shared" si="341"/>
        <v>3.4834336102519826E-2</v>
      </c>
      <c r="CH30">
        <f t="shared" si="342"/>
        <v>3.5235014889161406E-2</v>
      </c>
      <c r="CI30">
        <f t="shared" si="343"/>
        <v>3.5623826217763263E-2</v>
      </c>
      <c r="CJ30">
        <f t="shared" si="344"/>
        <v>3.6000914920608862E-2</v>
      </c>
      <c r="CK30">
        <f t="shared" si="345"/>
        <v>3.6366426280722342E-2</v>
      </c>
      <c r="CL30">
        <f t="shared" si="346"/>
        <v>3.6720505942885409E-2</v>
      </c>
      <c r="CM30">
        <f t="shared" si="347"/>
        <v>3.7063299828176091E-2</v>
      </c>
      <c r="CN30">
        <f t="shared" si="348"/>
        <v>3.6817678102214667E-2</v>
      </c>
      <c r="CO30">
        <f t="shared" si="349"/>
        <v>3.6357457125936986E-2</v>
      </c>
      <c r="CP30">
        <f t="shared" si="350"/>
        <v>3.5902988911862777E-2</v>
      </c>
      <c r="CQ30">
        <f t="shared" si="351"/>
        <v>3.5454201550464491E-2</v>
      </c>
      <c r="CR30">
        <f t="shared" si="352"/>
        <v>3.5011024031083679E-2</v>
      </c>
      <c r="CS30">
        <f t="shared" si="353"/>
        <v>3.4573386230695134E-2</v>
      </c>
      <c r="CT30">
        <f t="shared" si="354"/>
        <v>3.4141218902811445E-2</v>
      </c>
      <c r="CU30">
        <f t="shared" si="355"/>
        <v>3.3714453666526298E-2</v>
      </c>
      <c r="CV30">
        <f t="shared" si="356"/>
        <v>3.329302299569472E-2</v>
      </c>
      <c r="CW30">
        <f t="shared" si="357"/>
        <v>3.2876860208248537E-2</v>
      </c>
      <c r="CX30">
        <f t="shared" si="358"/>
        <v>3.2465899455645431E-2</v>
      </c>
      <c r="CY30">
        <f t="shared" si="359"/>
        <v>3.2060075712449863E-2</v>
      </c>
      <c r="CZ30">
        <f t="shared" si="360"/>
        <v>3.1659324766044238E-2</v>
      </c>
      <c r="DA30">
        <f t="shared" si="361"/>
        <v>3.126358320646868E-2</v>
      </c>
      <c r="DB30">
        <f t="shared" si="362"/>
        <v>3.0872788416387818E-2</v>
      </c>
      <c r="DC30">
        <f t="shared" si="363"/>
        <v>3.0486878561182974E-2</v>
      </c>
      <c r="DD30">
        <f t="shared" si="364"/>
        <v>3.0105792579168188E-2</v>
      </c>
      <c r="DE30">
        <f t="shared" si="365"/>
        <v>2.9729470171928583E-2</v>
      </c>
      <c r="DF30">
        <f t="shared" si="366"/>
        <v>2.9357851794779476E-2</v>
      </c>
      <c r="DG30">
        <f t="shared" si="367"/>
        <v>2.8990878647344731E-2</v>
      </c>
      <c r="DH30">
        <f t="shared" si="368"/>
        <v>2.8628492664252925E-2</v>
      </c>
      <c r="DI30">
        <f t="shared" si="369"/>
        <v>2.8270636505949763E-2</v>
      </c>
      <c r="DJ30">
        <f t="shared" si="370"/>
        <v>2.7917253549625386E-2</v>
      </c>
      <c r="DK30">
        <f t="shared" si="371"/>
        <v>2.7568287880255071E-2</v>
      </c>
      <c r="DL30">
        <f t="shared" si="372"/>
        <v>2.722368428175188E-2</v>
      </c>
      <c r="DM30">
        <f t="shared" si="373"/>
        <v>2.6883388228229988E-2</v>
      </c>
      <c r="DN30">
        <f t="shared" si="374"/>
        <v>2.6547345875377115E-2</v>
      </c>
      <c r="DO30">
        <f t="shared" si="375"/>
        <v>2.6215504051934901E-2</v>
      </c>
      <c r="DP30">
        <f t="shared" si="376"/>
        <v>2.5887810251285715E-2</v>
      </c>
      <c r="DQ30">
        <f t="shared" si="377"/>
        <v>2.5564212623144643E-2</v>
      </c>
      <c r="DR30">
        <f t="shared" si="378"/>
        <v>2.5244659965355333E-2</v>
      </c>
      <c r="DS30">
        <f t="shared" si="379"/>
        <v>2.4929101715788392E-2</v>
      </c>
      <c r="DT30">
        <f t="shared" si="380"/>
        <v>2.4617487944341043E-2</v>
      </c>
      <c r="DU30">
        <f t="shared" si="381"/>
        <v>2.4309769345036779E-2</v>
      </c>
      <c r="DV30">
        <f t="shared" si="382"/>
        <v>2.4005897228223817E-2</v>
      </c>
      <c r="DW30">
        <f t="shared" si="383"/>
        <v>2.3705823512871017E-2</v>
      </c>
      <c r="DX30">
        <f t="shared" si="384"/>
        <v>2.3409500718960131E-2</v>
      </c>
      <c r="DY30">
        <f t="shared" si="385"/>
        <v>2.3116881959973124E-2</v>
      </c>
      <c r="DZ30">
        <f t="shared" si="386"/>
        <v>2.2827920935473457E-2</v>
      </c>
      <c r="EA30">
        <f t="shared" si="387"/>
        <v>2.2542571923780043E-2</v>
      </c>
      <c r="EB30">
        <f t="shared" si="388"/>
        <v>2.2260789774732791E-2</v>
      </c>
      <c r="EC30">
        <f t="shared" si="389"/>
        <v>2.198252990254863E-2</v>
      </c>
      <c r="ED30">
        <f t="shared" si="390"/>
        <v>2.1707748278766769E-2</v>
      </c>
      <c r="EE30">
        <f t="shared" si="391"/>
        <v>2.1436401425282182E-2</v>
      </c>
      <c r="EF30">
        <f t="shared" si="392"/>
        <v>2.1168446407466159E-2</v>
      </c>
      <c r="EG30">
        <f t="shared" si="393"/>
        <v>2.0903840827372833E-2</v>
      </c>
      <c r="EH30">
        <f t="shared" si="394"/>
        <v>2.0642542817030672E-2</v>
      </c>
      <c r="EI30">
        <f t="shared" si="395"/>
        <v>2.0384511031817786E-2</v>
      </c>
      <c r="EJ30">
        <f t="shared" si="396"/>
        <v>2.0129704643920065E-2</v>
      </c>
      <c r="EK30">
        <f t="shared" si="397"/>
        <v>1.9878083335871065E-2</v>
      </c>
      <c r="EL30">
        <f t="shared" si="398"/>
        <v>1.962960729417268E-2</v>
      </c>
      <c r="EM30">
        <f t="shared" si="399"/>
        <v>1.9384237202995525E-2</v>
      </c>
      <c r="EN30">
        <f t="shared" si="400"/>
        <v>1.914193423795808E-2</v>
      </c>
      <c r="EO30">
        <f t="shared" si="401"/>
        <v>1.89026600599836E-2</v>
      </c>
      <c r="EP30">
        <f t="shared" si="402"/>
        <v>1.866637680923381E-2</v>
      </c>
      <c r="EQ30">
        <f t="shared" si="403"/>
        <v>1.8433047099118381E-2</v>
      </c>
      <c r="ER30">
        <f t="shared" si="404"/>
        <v>1.8202634010379404E-2</v>
      </c>
      <c r="ES30">
        <f t="shared" si="405"/>
        <v>1.7975101085249655E-2</v>
      </c>
      <c r="ET30">
        <f t="shared" si="406"/>
        <v>1.7750412321684041E-2</v>
      </c>
      <c r="EU30">
        <f t="shared" si="407"/>
        <v>1.7528532167662991E-2</v>
      </c>
      <c r="EV30">
        <f t="shared" si="408"/>
        <v>1.73094255155672E-2</v>
      </c>
      <c r="EW30">
        <f t="shared" si="409"/>
        <v>1.7093057696622616E-2</v>
      </c>
      <c r="EX30">
        <f t="shared" si="410"/>
        <v>1.6879394475414831E-2</v>
      </c>
      <c r="EY30">
        <f t="shared" si="411"/>
        <v>1.6668402044472154E-2</v>
      </c>
      <c r="EZ30">
        <f t="shared" si="412"/>
        <v>1.6460047018916246E-2</v>
      </c>
      <c r="FA30">
        <f t="shared" si="413"/>
        <v>1.6254296431179795E-2</v>
      </c>
      <c r="FB30">
        <f t="shared" si="414"/>
        <v>1.6051117725790043E-2</v>
      </c>
      <c r="FC30">
        <f t="shared" si="415"/>
        <v>1.5850478754217669E-2</v>
      </c>
      <c r="FD30">
        <f t="shared" si="416"/>
        <v>1.5652347769789944E-2</v>
      </c>
      <c r="FE30">
        <f t="shared" si="417"/>
        <v>1.5456693422667566E-2</v>
      </c>
      <c r="FF30">
        <f t="shared" si="418"/>
        <v>1.5263484754884227E-2</v>
      </c>
      <c r="FG30">
        <f t="shared" si="419"/>
        <v>1.5072691195448174E-2</v>
      </c>
      <c r="FH30">
        <f t="shared" si="420"/>
        <v>1.4884282555505068E-2</v>
      </c>
      <c r="FI30">
        <f t="shared" si="421"/>
        <v>1.4698229023561261E-2</v>
      </c>
      <c r="FJ30">
        <f t="shared" si="422"/>
        <v>1.4514501160766746E-2</v>
      </c>
      <c r="FK30">
        <f t="shared" si="423"/>
        <v>1.4333069896257166E-2</v>
      </c>
      <c r="FL30">
        <f t="shared" si="424"/>
        <v>1.4153906522553949E-2</v>
      </c>
      <c r="FM30">
        <f t="shared" si="425"/>
        <v>1.3976982691022021E-2</v>
      </c>
      <c r="FN30">
        <f t="shared" si="426"/>
        <v>1.3802270407384243E-2</v>
      </c>
      <c r="FO30">
        <f t="shared" si="427"/>
        <v>1.3629742027291936E-2</v>
      </c>
      <c r="FP30">
        <f t="shared" si="428"/>
        <v>1.3459370251950787E-2</v>
      </c>
      <c r="FQ30">
        <f t="shared" si="429"/>
        <v>1.3291128123801399E-2</v>
      </c>
      <c r="FR30">
        <f t="shared" si="430"/>
        <v>1.3124989022253886E-2</v>
      </c>
      <c r="FS30">
        <f t="shared" si="431"/>
        <v>1.2960926659475713E-2</v>
      </c>
      <c r="FT30">
        <f t="shared" si="432"/>
        <v>1.2798915076232265E-2</v>
      </c>
      <c r="FU30">
        <f t="shared" si="433"/>
        <v>1.2638928637779356E-2</v>
      </c>
      <c r="FV30">
        <f t="shared" si="434"/>
        <v>1.2480942029807119E-2</v>
      </c>
      <c r="FW30">
        <f t="shared" si="435"/>
        <v>1.232493025443453E-2</v>
      </c>
      <c r="FX30">
        <f t="shared" si="436"/>
        <v>1.2170868626254095E-2</v>
      </c>
      <c r="FY30">
        <f t="shared" si="437"/>
        <v>1.2018732768425921E-2</v>
      </c>
      <c r="FZ30">
        <f t="shared" si="438"/>
        <v>1.18684986088206E-2</v>
      </c>
      <c r="GA30">
        <f t="shared" si="439"/>
        <v>1.172014237621034E-2</v>
      </c>
      <c r="GB30">
        <f t="shared" si="440"/>
        <v>1.1573640596507706E-2</v>
      </c>
      <c r="GC30">
        <f t="shared" si="441"/>
        <v>1.142897008905136E-2</v>
      </c>
      <c r="GD30">
        <f t="shared" si="442"/>
        <v>1.1286107962938219E-2</v>
      </c>
      <c r="GE30">
        <f t="shared" si="443"/>
        <v>1.1145031613401491E-2</v>
      </c>
      <c r="GF30">
        <f t="shared" si="444"/>
        <v>1.100571871823397E-2</v>
      </c>
      <c r="GG30">
        <f t="shared" si="445"/>
        <v>1.0868147234256043E-2</v>
      </c>
      <c r="GH30">
        <f t="shared" si="446"/>
        <v>1.0732295393827839E-2</v>
      </c>
      <c r="GI30">
        <f t="shared" si="447"/>
        <v>1.0598141701404995E-2</v>
      </c>
      <c r="GJ30">
        <f t="shared" si="448"/>
        <v>1.046566493013743E-2</v>
      </c>
      <c r="GK30">
        <f t="shared" si="449"/>
        <v>1.0334844118510711E-2</v>
      </c>
      <c r="GL30">
        <f t="shared" si="450"/>
        <v>1.0205658567029329E-2</v>
      </c>
      <c r="GM30">
        <f t="shared" si="451"/>
        <v>1.0078087834941463E-2</v>
      </c>
      <c r="GN30">
        <f t="shared" si="452"/>
        <v>9.9521117370046982E-3</v>
      </c>
      <c r="GO30">
        <f t="shared" si="453"/>
        <v>9.8277103402921399E-3</v>
      </c>
      <c r="GP30">
        <f t="shared" si="454"/>
        <v>9.7048639610384894E-3</v>
      </c>
      <c r="GQ30">
        <f t="shared" si="455"/>
        <v>9.5835531615255046E-3</v>
      </c>
      <c r="GR30">
        <f t="shared" si="456"/>
        <v>9.4637587470064351E-3</v>
      </c>
      <c r="GS30">
        <f t="shared" si="457"/>
        <v>9.3454617626688493E-3</v>
      </c>
      <c r="GT30">
        <f t="shared" si="458"/>
        <v>9.2286434906354905E-3</v>
      </c>
      <c r="GU30">
        <f t="shared" si="459"/>
        <v>9.11328544700255E-3</v>
      </c>
      <c r="GV30">
        <f t="shared" si="460"/>
        <v>8.9993693789150227E-3</v>
      </c>
      <c r="GW30">
        <f t="shared" si="461"/>
        <v>8.8868772616785829E-3</v>
      </c>
      <c r="GX30">
        <f t="shared" si="462"/>
        <v>8.7757912959075986E-3</v>
      </c>
      <c r="GY30">
        <f t="shared" si="463"/>
        <v>8.6660939047087486E-3</v>
      </c>
      <c r="GZ30">
        <f t="shared" si="464"/>
        <v>8.5577677308998901E-3</v>
      </c>
      <c r="HA30">
        <f t="shared" si="465"/>
        <v>8.4507956342636421E-3</v>
      </c>
      <c r="HB30">
        <f t="shared" si="466"/>
        <v>8.3451606888353506E-3</v>
      </c>
      <c r="HC30">
        <f t="shared" si="467"/>
        <v>8.2408461802249144E-3</v>
      </c>
      <c r="HD30">
        <f t="shared" si="468"/>
        <v>8.1378356029720988E-3</v>
      </c>
      <c r="HE30">
        <f t="shared" si="469"/>
        <v>8.0361126579349459E-3</v>
      </c>
      <c r="HF30">
        <f t="shared" si="470"/>
        <v>7.9356612497107574E-3</v>
      </c>
      <c r="HG30">
        <f t="shared" si="471"/>
        <v>7.8364654840893718E-3</v>
      </c>
      <c r="HH30">
        <f t="shared" si="472"/>
        <v>7.7385096655382514E-3</v>
      </c>
      <c r="HI30">
        <f t="shared" si="473"/>
        <v>7.6417782947190262E-3</v>
      </c>
      <c r="HJ30">
        <f t="shared" si="474"/>
        <v>7.5462560660350397E-3</v>
      </c>
      <c r="HK30">
        <f t="shared" si="475"/>
        <v>7.4519278652096068E-3</v>
      </c>
      <c r="HL30">
        <f t="shared" si="476"/>
        <v>7.3587787668944913E-3</v>
      </c>
      <c r="HM30">
        <f t="shared" si="477"/>
        <v>7.2667940323083106E-3</v>
      </c>
      <c r="HN30">
        <f t="shared" si="478"/>
        <v>7.1759591069044618E-3</v>
      </c>
      <c r="HO30">
        <f t="shared" si="479"/>
        <v>7.0862596180681584E-3</v>
      </c>
      <c r="HP30">
        <f t="shared" si="480"/>
        <v>6.9976813728423017E-3</v>
      </c>
      <c r="HQ30">
        <f t="shared" si="481"/>
        <v>6.910210355681767E-3</v>
      </c>
      <c r="HR30">
        <f t="shared" si="482"/>
        <v>6.8238327262357453E-3</v>
      </c>
      <c r="HS30">
        <f t="shared" si="483"/>
        <v>6.7385348171578041E-3</v>
      </c>
      <c r="HT30">
        <f t="shared" si="484"/>
        <v>6.654303131943329E-3</v>
      </c>
      <c r="HU30">
        <f t="shared" si="485"/>
        <v>6.5711243427940321E-3</v>
      </c>
      <c r="HV30">
        <f t="shared" si="486"/>
        <v>6.4889852885091082E-3</v>
      </c>
      <c r="HW30">
        <f t="shared" si="487"/>
        <v>6.4078729724027393E-3</v>
      </c>
      <c r="HX30">
        <f t="shared" si="488"/>
        <v>6.3277745602477011E-3</v>
      </c>
      <c r="HY30">
        <f t="shared" si="489"/>
        <v>6.2486773782446051E-3</v>
      </c>
      <c r="HZ30">
        <f t="shared" si="490"/>
        <v>6.1705689110165499E-3</v>
      </c>
      <c r="IA30">
        <f t="shared" si="491"/>
        <v>6.0934367996288378E-3</v>
      </c>
      <c r="IB30">
        <f t="shared" si="492"/>
        <v>6.0172688396334714E-3</v>
      </c>
      <c r="IC30">
        <f t="shared" si="493"/>
        <v>5.9420529791380568E-3</v>
      </c>
      <c r="ID30">
        <f t="shared" si="494"/>
        <v>5.8677773168988364E-3</v>
      </c>
      <c r="IE30">
        <f t="shared" si="495"/>
        <v>5.7944301004375972E-3</v>
      </c>
      <c r="IF30">
        <f t="shared" si="496"/>
        <v>5.721999724182125E-3</v>
      </c>
      <c r="IG30">
        <f t="shared" si="497"/>
        <v>5.6504747276298504E-3</v>
      </c>
      <c r="IH30">
        <f t="shared" si="498"/>
        <v>5.5798437935344778E-3</v>
      </c>
      <c r="II30">
        <f t="shared" si="499"/>
        <v>5.5100957461152959E-3</v>
      </c>
      <c r="IJ30">
        <f t="shared" si="500"/>
        <v>5.4412195492888563E-3</v>
      </c>
      <c r="IK30">
        <f t="shared" si="501"/>
        <v>5.3732043049227411E-3</v>
      </c>
      <c r="IL30">
        <f t="shared" si="502"/>
        <v>5.306039251111205E-3</v>
      </c>
      <c r="IM30">
        <f t="shared" si="503"/>
        <v>5.2397137604723197E-3</v>
      </c>
      <c r="IN30">
        <f t="shared" si="504"/>
        <v>5.1742173384664138E-3</v>
      </c>
      <c r="IO30">
        <f t="shared" si="505"/>
        <v>5.1095396217355812E-3</v>
      </c>
      <c r="IP30">
        <f t="shared" si="506"/>
        <v>5.0456703764638847E-3</v>
      </c>
      <c r="IQ30">
        <f t="shared" si="507"/>
        <v>4.9825994967580885E-3</v>
      </c>
      <c r="IR30">
        <f t="shared" si="508"/>
        <v>4.920317003048613E-3</v>
      </c>
      <c r="IS30">
        <f t="shared" si="509"/>
        <v>4.8588130405105012E-3</v>
      </c>
      <c r="IT30">
        <f t="shared" si="510"/>
        <v>4.7980778775041253E-3</v>
      </c>
      <c r="IU30">
        <f t="shared" si="511"/>
        <v>4.7381019040353186E-3</v>
      </c>
      <c r="IV30">
        <f t="shared" si="512"/>
        <v>4.6788756302348798E-3</v>
      </c>
    </row>
    <row r="31" spans="1:256" x14ac:dyDescent="0.2">
      <c r="A31" t="s">
        <v>502</v>
      </c>
      <c r="B31">
        <f t="shared" si="258"/>
        <v>1.8443794250488275E-2</v>
      </c>
      <c r="C31">
        <f t="shared" si="259"/>
        <v>-2.0478632505915861E-5</v>
      </c>
      <c r="D31">
        <f t="shared" si="260"/>
        <v>-1.0747739586255078E-3</v>
      </c>
      <c r="E31">
        <f t="shared" si="261"/>
        <v>-2.0401998641190076E-3</v>
      </c>
      <c r="F31">
        <f t="shared" si="262"/>
        <v>-2.9253599596713253E-3</v>
      </c>
      <c r="G31">
        <f t="shared" si="263"/>
        <v>-3.7379384443771311E-3</v>
      </c>
      <c r="H31">
        <f t="shared" si="264"/>
        <v>-4.4848182158635282E-3</v>
      </c>
      <c r="I31">
        <f t="shared" si="265"/>
        <v>-5.1721808502458669E-3</v>
      </c>
      <c r="J31">
        <f t="shared" si="266"/>
        <v>1.8456443696424785E-2</v>
      </c>
      <c r="K31">
        <f t="shared" si="267"/>
        <v>1.8225738150219474E-2</v>
      </c>
      <c r="L31">
        <f t="shared" si="268"/>
        <v>1.7997916423341732E-2</v>
      </c>
      <c r="M31">
        <f t="shared" si="269"/>
        <v>1.7772942468049956E-2</v>
      </c>
      <c r="N31">
        <f t="shared" si="270"/>
        <v>1.7550780687199331E-2</v>
      </c>
      <c r="O31">
        <f t="shared" si="271"/>
        <v>1.7331395928609338E-2</v>
      </c>
      <c r="P31">
        <f t="shared" si="272"/>
        <v>1.7114753479501719E-2</v>
      </c>
      <c r="Q31">
        <f t="shared" si="273"/>
        <v>1.6900819061007953E-2</v>
      </c>
      <c r="R31">
        <f t="shared" si="274"/>
        <v>1.6689558822745355E-2</v>
      </c>
      <c r="S31">
        <f t="shared" si="275"/>
        <v>1.6480939337461042E-2</v>
      </c>
      <c r="T31">
        <f t="shared" si="276"/>
        <v>1.6274927595742783E-2</v>
      </c>
      <c r="U31">
        <f t="shared" si="277"/>
        <v>1.6071491000796002E-2</v>
      </c>
      <c r="V31">
        <f t="shared" si="278"/>
        <v>1.5870597363286054E-2</v>
      </c>
      <c r="W31">
        <f t="shared" si="279"/>
        <v>1.5672214896244974E-2</v>
      </c>
      <c r="X31">
        <f t="shared" si="280"/>
        <v>1.547631221004191E-2</v>
      </c>
      <c r="Y31">
        <f t="shared" si="281"/>
        <v>1.528285830741638E-2</v>
      </c>
      <c r="Z31">
        <f t="shared" si="282"/>
        <v>1.5091822578573676E-2</v>
      </c>
      <c r="AA31">
        <f t="shared" si="283"/>
        <v>1.4903174796341501E-2</v>
      </c>
      <c r="AB31">
        <f t="shared" si="284"/>
        <v>1.4716885111387235E-2</v>
      </c>
      <c r="AC31">
        <f t="shared" si="285"/>
        <v>1.45329240474949E-2</v>
      </c>
      <c r="AD31">
        <f t="shared" si="286"/>
        <v>1.4351262496901218E-2</v>
      </c>
      <c r="AE31">
        <f t="shared" si="287"/>
        <v>1.4171871715689954E-2</v>
      </c>
      <c r="AF31">
        <f t="shared" si="288"/>
        <v>1.399472331924383E-2</v>
      </c>
      <c r="AG31">
        <f t="shared" si="289"/>
        <v>1.3819789277753281E-2</v>
      </c>
      <c r="AH31">
        <f t="shared" si="290"/>
        <v>-4.0586417976937184E-2</v>
      </c>
      <c r="AI31">
        <f t="shared" si="291"/>
        <v>-3.9701171430183077E-2</v>
      </c>
      <c r="AJ31">
        <f t="shared" si="292"/>
        <v>-3.8830486520571902E-2</v>
      </c>
      <c r="AK31">
        <f t="shared" si="293"/>
        <v>-3.7974637734089052E-2</v>
      </c>
      <c r="AL31">
        <f t="shared" si="294"/>
        <v>-3.7133881067951693E-2</v>
      </c>
      <c r="AM31">
        <f t="shared" si="295"/>
        <v>-3.6308454158124052E-2</v>
      </c>
      <c r="AN31">
        <f t="shared" si="296"/>
        <v>-3.5498576406883572E-2</v>
      </c>
      <c r="AO31">
        <f t="shared" si="297"/>
        <v>-3.4704449116185608E-2</v>
      </c>
      <c r="AP31">
        <f t="shared" si="298"/>
        <v>1.4741220894675267E-2</v>
      </c>
      <c r="AQ31">
        <f t="shared" si="299"/>
        <v>1.2028195533686659E-2</v>
      </c>
      <c r="AR31">
        <f t="shared" si="300"/>
        <v>9.4645438716653655E-3</v>
      </c>
      <c r="AS31">
        <f t="shared" si="301"/>
        <v>7.040551627667568E-3</v>
      </c>
      <c r="AT31">
        <f t="shared" si="302"/>
        <v>4.7473050589500465E-3</v>
      </c>
      <c r="AU31">
        <f t="shared" si="303"/>
        <v>2.5766105419180009E-3</v>
      </c>
      <c r="AV31">
        <f t="shared" si="304"/>
        <v>5.2092368210849833E-4</v>
      </c>
      <c r="AW31">
        <f t="shared" si="305"/>
        <v>-1.4267133468314653E-3</v>
      </c>
      <c r="AX31">
        <f t="shared" si="306"/>
        <v>-7.8313842929528379E-2</v>
      </c>
      <c r="AY31">
        <f t="shared" si="307"/>
        <v>-7.7562431395644088E-2</v>
      </c>
      <c r="AZ31">
        <f t="shared" si="308"/>
        <v>-7.6809122712592062E-2</v>
      </c>
      <c r="BA31">
        <f t="shared" si="309"/>
        <v>-7.6054826193573191E-2</v>
      </c>
      <c r="BB31">
        <f t="shared" si="310"/>
        <v>-7.5300335034719668E-2</v>
      </c>
      <c r="BC31">
        <f t="shared" si="311"/>
        <v>-7.4546342435554108E-2</v>
      </c>
      <c r="BD31">
        <f t="shared" si="312"/>
        <v>-7.3793455187845261E-2</v>
      </c>
      <c r="BE31">
        <f t="shared" si="313"/>
        <v>-7.3042205184477974E-2</v>
      </c>
      <c r="BF31">
        <f t="shared" si="314"/>
        <v>-7.2293059209636898E-2</v>
      </c>
      <c r="BG31">
        <f t="shared" si="315"/>
        <v>-7.1546427301166449E-2</v>
      </c>
      <c r="BH31">
        <f t="shared" si="316"/>
        <v>-7.0802669920662212E-2</v>
      </c>
      <c r="BI31">
        <f t="shared" si="317"/>
        <v>-7.0062104123146257E-2</v>
      </c>
      <c r="BJ31">
        <f t="shared" si="318"/>
        <v>-6.9324991740107769E-2</v>
      </c>
      <c r="BK31">
        <f t="shared" si="319"/>
        <v>-6.8591528854440156E-2</v>
      </c>
      <c r="BL31">
        <f t="shared" si="320"/>
        <v>-6.7861889886848187E-2</v>
      </c>
      <c r="BM31">
        <f t="shared" si="321"/>
        <v>-6.7136230538054079E-2</v>
      </c>
      <c r="BN31">
        <f t="shared" si="322"/>
        <v>-6.6413734701990898E-2</v>
      </c>
      <c r="BO31">
        <f t="shared" si="323"/>
        <v>-6.5693476658635452E-2</v>
      </c>
      <c r="BP31">
        <f t="shared" si="324"/>
        <v>-6.4975884599164507E-2</v>
      </c>
      <c r="BQ31">
        <f t="shared" si="325"/>
        <v>-6.4261364225872128E-2</v>
      </c>
      <c r="BR31">
        <f t="shared" si="326"/>
        <v>-6.3550282394808727E-2</v>
      </c>
      <c r="BS31">
        <f t="shared" si="327"/>
        <v>-6.2842969848309116E-2</v>
      </c>
      <c r="BT31">
        <f t="shared" si="328"/>
        <v>-6.2139721643637999E-2</v>
      </c>
      <c r="BU31">
        <f t="shared" si="329"/>
        <v>-6.1440379757464303E-2</v>
      </c>
      <c r="BV31">
        <f t="shared" si="330"/>
        <v>-6.0745048894207898E-2</v>
      </c>
      <c r="BW31">
        <f t="shared" si="331"/>
        <v>-6.005403701692924E-2</v>
      </c>
      <c r="BX31">
        <f t="shared" si="332"/>
        <v>-5.9367615810868433E-2</v>
      </c>
      <c r="BY31">
        <f t="shared" si="333"/>
        <v>-5.8686024564105557E-2</v>
      </c>
      <c r="BZ31">
        <f t="shared" si="334"/>
        <v>-5.8009473585771729E-2</v>
      </c>
      <c r="CA31">
        <f t="shared" si="335"/>
        <v>-5.7338147223720756E-2</v>
      </c>
      <c r="CB31">
        <f t="shared" si="336"/>
        <v>-5.6672206534375338E-2</v>
      </c>
      <c r="CC31">
        <f t="shared" si="337"/>
        <v>-5.6011791649764262E-2</v>
      </c>
      <c r="CD31">
        <f t="shared" si="338"/>
        <v>-5.5357023880300893E-2</v>
      </c>
      <c r="CE31">
        <f t="shared" si="339"/>
        <v>-5.470800758640576E-2</v>
      </c>
      <c r="CF31">
        <f t="shared" si="340"/>
        <v>-5.4064831847472683E-2</v>
      </c>
      <c r="CG31">
        <f t="shared" si="341"/>
        <v>-5.3427571952776719E-2</v>
      </c>
      <c r="CH31">
        <f t="shared" si="342"/>
        <v>-5.2796290735606557E-2</v>
      </c>
      <c r="CI31">
        <f t="shared" si="343"/>
        <v>-5.2171039769078997E-2</v>
      </c>
      <c r="CJ31">
        <f t="shared" si="344"/>
        <v>-5.1551860439679534E-2</v>
      </c>
      <c r="CK31">
        <f t="shared" si="345"/>
        <v>-5.0938784912505676E-2</v>
      </c>
      <c r="CL31">
        <f t="shared" si="346"/>
        <v>-5.0331837000415082E-2</v>
      </c>
      <c r="CM31">
        <f t="shared" si="347"/>
        <v>-4.9731032947753051E-2</v>
      </c>
      <c r="CN31">
        <f t="shared" si="348"/>
        <v>-4.9136382138016341E-2</v>
      </c>
      <c r="CO31">
        <f t="shared" si="349"/>
        <v>-4.8547805670399125E-2</v>
      </c>
      <c r="CP31">
        <f t="shared" si="350"/>
        <v>-4.796528434871862E-2</v>
      </c>
      <c r="CQ31">
        <f t="shared" si="351"/>
        <v>-4.7388826269381221E-2</v>
      </c>
      <c r="CR31">
        <f t="shared" si="352"/>
        <v>-4.6818433000060548E-2</v>
      </c>
      <c r="CS31">
        <f t="shared" si="353"/>
        <v>-4.6254100229915822E-2</v>
      </c>
      <c r="CT31">
        <f t="shared" si="354"/>
        <v>-4.5695818354950367E-2</v>
      </c>
      <c r="CU31">
        <f t="shared" si="355"/>
        <v>-4.5143573005603156E-2</v>
      </c>
      <c r="CV31">
        <f t="shared" si="356"/>
        <v>-4.4597345522814941E-2</v>
      </c>
      <c r="CW31">
        <f t="shared" si="357"/>
        <v>-4.4057103475924717E-2</v>
      </c>
      <c r="CX31">
        <f t="shared" si="358"/>
        <v>-4.3522813522227873E-2</v>
      </c>
      <c r="CY31">
        <f t="shared" si="359"/>
        <v>-4.299444811479225E-2</v>
      </c>
      <c r="CZ31">
        <f t="shared" si="360"/>
        <v>-4.247197678661141E-2</v>
      </c>
      <c r="DA31">
        <f t="shared" si="361"/>
        <v>-4.1955366448911111E-2</v>
      </c>
      <c r="DB31">
        <f t="shared" si="362"/>
        <v>-4.1444581662092791E-2</v>
      </c>
      <c r="DC31">
        <f t="shared" si="363"/>
        <v>-4.0939584882019327E-2</v>
      </c>
      <c r="DD31">
        <f t="shared" si="364"/>
        <v>-4.0440336684056298E-2</v>
      </c>
      <c r="DE31">
        <f t="shared" si="365"/>
        <v>-3.9946795967023496E-2</v>
      </c>
      <c r="DF31">
        <f t="shared" si="366"/>
        <v>-3.9458920138983312E-2</v>
      </c>
      <c r="DG31">
        <f t="shared" si="367"/>
        <v>-3.8976665286591057E-2</v>
      </c>
      <c r="DH31">
        <f t="shared" si="368"/>
        <v>-3.849998632955294E-2</v>
      </c>
      <c r="DI31">
        <f t="shared" si="369"/>
        <v>-3.8028837161578975E-2</v>
      </c>
      <c r="DJ31">
        <f t="shared" si="370"/>
        <v>-3.7563170779076886E-2</v>
      </c>
      <c r="DK31">
        <f t="shared" si="371"/>
        <v>-3.7102939398707825E-2</v>
      </c>
      <c r="DL31">
        <f t="shared" si="372"/>
        <v>-3.6648094564812744E-2</v>
      </c>
      <c r="DM31">
        <f t="shared" si="373"/>
        <v>-3.6198587247618937E-2</v>
      </c>
      <c r="DN31">
        <f t="shared" si="374"/>
        <v>-3.5754367933047052E-2</v>
      </c>
      <c r="DO31">
        <f t="shared" si="375"/>
        <v>-3.5315386704859661E-2</v>
      </c>
      <c r="DP31">
        <f t="shared" si="376"/>
        <v>-3.4881593319821193E-2</v>
      </c>
      <c r="DQ31">
        <f t="shared" si="377"/>
        <v>-3.445293727647538E-2</v>
      </c>
      <c r="DR31">
        <f t="shared" si="378"/>
        <v>-3.4029367878089509E-2</v>
      </c>
      <c r="DS31">
        <f t="shared" si="379"/>
        <v>-3.3610834290263007E-2</v>
      </c>
      <c r="DT31">
        <f t="shared" si="380"/>
        <v>-3.3197285593652412E-2</v>
      </c>
      <c r="DU31">
        <f t="shared" si="381"/>
        <v>-3.2788670832222852E-2</v>
      </c>
      <c r="DV31">
        <f t="shared" si="382"/>
        <v>-3.2384939057399365E-2</v>
      </c>
      <c r="DW31">
        <f t="shared" si="383"/>
        <v>-3.1986039368457252E-2</v>
      </c>
      <c r="DX31">
        <f t="shared" si="384"/>
        <v>-3.1591920949460776E-2</v>
      </c>
      <c r="DY31">
        <f t="shared" si="385"/>
        <v>-3.1202533103031914E-2</v>
      </c>
      <c r="DZ31">
        <f t="shared" si="386"/>
        <v>-3.0817825281206173E-2</v>
      </c>
      <c r="EA31">
        <f t="shared" si="387"/>
        <v>-3.0437747113610143E-2</v>
      </c>
      <c r="EB31">
        <f t="shared" si="388"/>
        <v>-3.0062248433175159E-2</v>
      </c>
      <c r="EC31">
        <f t="shared" si="389"/>
        <v>-2.9691279299583102E-2</v>
      </c>
      <c r="ED31">
        <f t="shared" si="390"/>
        <v>-2.9324790020623631E-2</v>
      </c>
      <c r="EE31">
        <f t="shared" si="391"/>
        <v>-2.8962731171627249E-2</v>
      </c>
      <c r="EF31">
        <f t="shared" si="392"/>
        <v>-2.8605053613124543E-2</v>
      </c>
      <c r="EG31">
        <f t="shared" si="393"/>
        <v>-2.825170850686972E-2</v>
      </c>
      <c r="EH31">
        <f t="shared" si="394"/>
        <v>-2.7902647330355107E-2</v>
      </c>
      <c r="EI31">
        <f t="shared" si="395"/>
        <v>-2.7557821889932832E-2</v>
      </c>
      <c r="EJ31">
        <f t="shared" si="396"/>
        <v>-2.7217184332650707E-2</v>
      </c>
      <c r="EK31">
        <f t="shared" si="397"/>
        <v>-2.6880687156900417E-2</v>
      </c>
      <c r="EL31">
        <f t="shared" si="398"/>
        <v>-2.6548283221968626E-2</v>
      </c>
      <c r="EM31">
        <f t="shared" si="399"/>
        <v>-2.6219925756574031E-2</v>
      </c>
      <c r="EN31">
        <f t="shared" si="400"/>
        <v>-2.5895568366467264E-2</v>
      </c>
      <c r="EO31">
        <f t="shared" si="401"/>
        <v>-2.5575165041164149E-2</v>
      </c>
      <c r="EP31">
        <f t="shared" si="402"/>
        <v>-2.5258670159877671E-2</v>
      </c>
      <c r="EQ31">
        <f t="shared" si="403"/>
        <v>-2.4946038496708657E-2</v>
      </c>
      <c r="ER31">
        <f t="shared" si="404"/>
        <v>-2.4637225225150876E-2</v>
      </c>
      <c r="ES31">
        <f t="shared" si="405"/>
        <v>-2.4332185921961756E-2</v>
      </c>
      <c r="ET31">
        <f t="shared" si="406"/>
        <v>-2.4030876570446256E-2</v>
      </c>
      <c r="EU31">
        <f t="shared" si="407"/>
        <v>-2.3733253563197686E-2</v>
      </c>
      <c r="EV31">
        <f t="shared" si="408"/>
        <v>-2.3439273704336096E-2</v>
      </c>
      <c r="EW31">
        <f t="shared" si="409"/>
        <v>-2.314889421128186E-2</v>
      </c>
      <c r="EX31">
        <f t="shared" si="410"/>
        <v>-2.2862072716099122E-2</v>
      </c>
      <c r="EY31">
        <f t="shared" si="411"/>
        <v>-2.2578767266441545E-2</v>
      </c>
      <c r="EZ31">
        <f t="shared" si="412"/>
        <v>-2.2298936326130073E-2</v>
      </c>
      <c r="FA31">
        <f t="shared" si="413"/>
        <v>-2.2022538775390541E-2</v>
      </c>
      <c r="FB31">
        <f t="shared" si="414"/>
        <v>-2.174953391077682E-2</v>
      </c>
      <c r="FC31">
        <f t="shared" si="415"/>
        <v>-2.147988144480336E-2</v>
      </c>
      <c r="FD31">
        <f t="shared" si="416"/>
        <v>-2.1213541505309318E-2</v>
      </c>
      <c r="FE31">
        <f t="shared" si="417"/>
        <v>-2.0950474634574855E-2</v>
      </c>
      <c r="FF31">
        <f t="shared" si="418"/>
        <v>-2.069064178820873E-2</v>
      </c>
      <c r="FG31">
        <f t="shared" si="419"/>
        <v>-2.043400433382498E-2</v>
      </c>
      <c r="FH31">
        <f t="shared" si="420"/>
        <v>-2.0180524049525219E-2</v>
      </c>
      <c r="FI31">
        <f t="shared" si="421"/>
        <v>-1.9930163122201965E-2</v>
      </c>
      <c r="FJ31">
        <f t="shared" si="422"/>
        <v>-1.968288414567727E-2</v>
      </c>
      <c r="FK31">
        <f t="shared" si="423"/>
        <v>-1.9438650118689983E-2</v>
      </c>
      <c r="FL31">
        <f t="shared" si="424"/>
        <v>-1.9197424442744093E-2</v>
      </c>
      <c r="FM31">
        <f t="shared" si="425"/>
        <v>-1.8959170919829606E-2</v>
      </c>
      <c r="FN31">
        <f t="shared" si="426"/>
        <v>-1.8723853750026838E-2</v>
      </c>
      <c r="FO31">
        <f t="shared" si="427"/>
        <v>-1.8491437529004003E-2</v>
      </c>
      <c r="FP31">
        <f t="shared" si="428"/>
        <v>-1.8261887245417587E-2</v>
      </c>
      <c r="FQ31">
        <f t="shared" si="429"/>
        <v>-1.8035168278224056E-2</v>
      </c>
      <c r="FR31">
        <f t="shared" si="430"/>
        <v>-1.7811246393911139E-2</v>
      </c>
      <c r="FS31">
        <f t="shared" si="431"/>
        <v>-1.7590087743656176E-2</v>
      </c>
      <c r="FT31">
        <f t="shared" si="432"/>
        <v>-1.7371658860418616E-2</v>
      </c>
      <c r="FU31">
        <f t="shared" si="433"/>
        <v>-1.7155926655973212E-2</v>
      </c>
      <c r="FV31">
        <f t="shared" si="434"/>
        <v>-1.6942858417890096E-2</v>
      </c>
      <c r="FW31">
        <f t="shared" si="435"/>
        <v>-1.6732421806467401E-2</v>
      </c>
      <c r="FX31">
        <f t="shared" si="436"/>
        <v>-1.6524584851621806E-2</v>
      </c>
      <c r="FY31">
        <f t="shared" si="437"/>
        <v>-1.6319315949741956E-2</v>
      </c>
      <c r="FZ31">
        <f t="shared" si="438"/>
        <v>-1.6116583860509417E-2</v>
      </c>
      <c r="GA31">
        <f t="shared" si="439"/>
        <v>-1.5916357703691507E-2</v>
      </c>
      <c r="GB31">
        <f t="shared" si="440"/>
        <v>-1.5718606955909983E-2</v>
      </c>
      <c r="GC31">
        <f t="shared" si="441"/>
        <v>-1.5523301447389467E-2</v>
      </c>
      <c r="GD31">
        <f t="shared" si="442"/>
        <v>-1.5330411358688966E-2</v>
      </c>
      <c r="GE31">
        <f t="shared" si="443"/>
        <v>-1.5139907217419934E-2</v>
      </c>
      <c r="GF31">
        <f t="shared" si="444"/>
        <v>-1.4951759894953776E-2</v>
      </c>
      <c r="GG31">
        <f t="shared" si="445"/>
        <v>-1.4765940603121766E-2</v>
      </c>
      <c r="GH31">
        <f t="shared" si="446"/>
        <v>-1.4582420890909937E-2</v>
      </c>
      <c r="GI31">
        <f t="shared" si="447"/>
        <v>-1.4401172641151469E-2</v>
      </c>
      <c r="GJ31">
        <f t="shared" si="448"/>
        <v>-1.4222168067218868E-2</v>
      </c>
      <c r="GK31">
        <f t="shared" si="449"/>
        <v>-1.4045379709718062E-2</v>
      </c>
      <c r="GL31">
        <f t="shared" si="450"/>
        <v>-1.3870780433186399E-2</v>
      </c>
      <c r="GM31">
        <f t="shared" si="451"/>
        <v>-1.3698343422796475E-2</v>
      </c>
      <c r="GN31">
        <f t="shared" si="452"/>
        <v>-1.3528042181067405E-2</v>
      </c>
      <c r="GO31">
        <f t="shared" si="453"/>
        <v>-1.3359850524585215E-2</v>
      </c>
      <c r="GP31">
        <f t="shared" si="454"/>
        <v>-1.3193742580733844E-2</v>
      </c>
      <c r="GQ31">
        <f t="shared" si="455"/>
        <v>-1.3029692784438085E-2</v>
      </c>
      <c r="GR31">
        <f t="shared" si="456"/>
        <v>-1.2867675874919784E-2</v>
      </c>
      <c r="GS31">
        <f t="shared" si="457"/>
        <v>-1.2707666892468477E-2</v>
      </c>
      <c r="GT31">
        <f t="shared" si="458"/>
        <v>-1.2549641175227574E-2</v>
      </c>
      <c r="GU31">
        <f t="shared" si="459"/>
        <v>-1.2393574355997044E-2</v>
      </c>
      <c r="GV31">
        <f t="shared" si="460"/>
        <v>-1.223944235905362E-2</v>
      </c>
      <c r="GW31">
        <f t="shared" si="461"/>
        <v>-1.2087221396989352E-2</v>
      </c>
      <c r="GX31">
        <f t="shared" si="462"/>
        <v>-1.1936887967569256E-2</v>
      </c>
      <c r="GY31">
        <f t="shared" si="463"/>
        <v>-1.1788418850608879E-2</v>
      </c>
      <c r="GZ31">
        <f t="shared" si="464"/>
        <v>-1.1641791104872377E-2</v>
      </c>
      <c r="HA31">
        <f t="shared" si="465"/>
        <v>-1.1496982064991756E-2</v>
      </c>
      <c r="HB31">
        <f t="shared" si="466"/>
        <v>-1.135396933840783E-2</v>
      </c>
      <c r="HC31">
        <f t="shared" si="467"/>
        <v>-1.1212730802333388E-2</v>
      </c>
      <c r="HD31">
        <f t="shared" si="468"/>
        <v>-1.1073244600739076E-2</v>
      </c>
      <c r="HE31">
        <f t="shared" si="469"/>
        <v>-1.0935489141362355E-2</v>
      </c>
      <c r="HF31">
        <f t="shared" si="470"/>
        <v>-1.0799443092739988E-2</v>
      </c>
      <c r="HG31">
        <f t="shared" si="471"/>
        <v>-1.0665085381264304E-2</v>
      </c>
      <c r="HH31">
        <f t="shared" si="472"/>
        <v>-1.0532395188263642E-2</v>
      </c>
      <c r="HI31">
        <f t="shared" si="473"/>
        <v>-1.0401351947107167E-2</v>
      </c>
      <c r="HJ31">
        <f t="shared" si="474"/>
        <v>-1.0271935340334335E-2</v>
      </c>
      <c r="HK31">
        <f t="shared" si="475"/>
        <v>-1.0144125296809201E-2</v>
      </c>
      <c r="HL31">
        <f t="shared" si="476"/>
        <v>-1.0017901988899763E-2</v>
      </c>
      <c r="HM31">
        <f t="shared" si="477"/>
        <v>-9.8932458296824809E-3</v>
      </c>
      <c r="HN31">
        <f t="shared" si="478"/>
        <v>-9.7701374701720904E-3</v>
      </c>
      <c r="HO31">
        <f t="shared" si="479"/>
        <v>-9.6485577965768569E-3</v>
      </c>
      <c r="HP31">
        <f t="shared" si="480"/>
        <v>-9.5284879275793037E-3</v>
      </c>
      <c r="HQ31">
        <f t="shared" si="481"/>
        <v>-9.4099092116425188E-3</v>
      </c>
      <c r="HR31">
        <f t="shared" si="482"/>
        <v>-9.2928032243420455E-3</v>
      </c>
      <c r="HS31">
        <f t="shared" si="483"/>
        <v>-9.1771517657234236E-3</v>
      </c>
      <c r="HT31">
        <f t="shared" si="484"/>
        <v>-9.0629368576853522E-3</v>
      </c>
      <c r="HU31">
        <f t="shared" si="485"/>
        <v>-8.950140741388498E-3</v>
      </c>
      <c r="HV31">
        <f t="shared" si="486"/>
        <v>-8.8387458746899041E-3</v>
      </c>
      <c r="HW31">
        <f t="shared" si="487"/>
        <v>-8.7287349296029902E-3</v>
      </c>
      <c r="HX31">
        <f t="shared" si="488"/>
        <v>-8.6200907897830605E-3</v>
      </c>
      <c r="HY31">
        <f t="shared" si="489"/>
        <v>-8.5127965480382949E-3</v>
      </c>
      <c r="HZ31">
        <f t="shared" si="490"/>
        <v>-8.4068355038661342E-3</v>
      </c>
      <c r="IA31">
        <f t="shared" si="491"/>
        <v>-8.3021911610149744E-3</v>
      </c>
      <c r="IB31">
        <f t="shared" si="492"/>
        <v>-8.1988472250710889E-3</v>
      </c>
      <c r="IC31">
        <f t="shared" si="493"/>
        <v>-8.0967876010706787E-3</v>
      </c>
      <c r="ID31">
        <f t="shared" si="494"/>
        <v>-7.9959963911369301E-3</v>
      </c>
      <c r="IE31">
        <f t="shared" si="495"/>
        <v>-7.8964578921419688E-3</v>
      </c>
      <c r="IF31">
        <f t="shared" si="496"/>
        <v>-7.7981565933935865E-3</v>
      </c>
      <c r="IG31">
        <f t="shared" si="497"/>
        <v>-7.7010771743466159E-3</v>
      </c>
      <c r="IH31">
        <f t="shared" si="498"/>
        <v>-7.6052045023388042E-3</v>
      </c>
      <c r="II31">
        <f t="shared" si="499"/>
        <v>-7.5105236303510455E-3</v>
      </c>
      <c r="IJ31">
        <f t="shared" si="500"/>
        <v>-7.4170197947918308E-3</v>
      </c>
      <c r="IK31">
        <f t="shared" si="501"/>
        <v>-7.3246784133057475E-3</v>
      </c>
      <c r="IL31">
        <f t="shared" si="502"/>
        <v>-7.2334850826058904E-3</v>
      </c>
      <c r="IM31">
        <f t="shared" si="503"/>
        <v>-7.1434255763300047E-3</v>
      </c>
      <c r="IN31">
        <f t="shared" si="504"/>
        <v>-7.0544858429201912E-3</v>
      </c>
      <c r="IO31">
        <f t="shared" si="505"/>
        <v>-6.9666520035260287E-3</v>
      </c>
      <c r="IP31">
        <f t="shared" si="506"/>
        <v>-6.8799103499309153E-3</v>
      </c>
      <c r="IQ31">
        <f t="shared" si="507"/>
        <v>-6.7942473425014593E-3</v>
      </c>
      <c r="IR31">
        <f t="shared" si="508"/>
        <v>-6.7096496081597498E-3</v>
      </c>
      <c r="IS31">
        <f t="shared" si="509"/>
        <v>-6.6261039383783138E-3</v>
      </c>
      <c r="IT31">
        <f t="shared" si="510"/>
        <v>-6.5435972871975834E-3</v>
      </c>
      <c r="IU31">
        <f t="shared" si="511"/>
        <v>-6.4621167692656897E-3</v>
      </c>
      <c r="IV31">
        <f t="shared" si="512"/>
        <v>-6.3816496579003814E-3</v>
      </c>
    </row>
    <row r="32" spans="1:256" x14ac:dyDescent="0.2">
      <c r="A32" t="s">
        <v>503</v>
      </c>
      <c r="B32">
        <f t="shared" si="258"/>
        <v>1.9276954650878898E-2</v>
      </c>
      <c r="C32">
        <f t="shared" si="259"/>
        <v>2.5093915081024164E-2</v>
      </c>
      <c r="D32">
        <f t="shared" si="260"/>
        <v>2.4780241142511362E-2</v>
      </c>
      <c r="E32">
        <f t="shared" si="261"/>
        <v>2.4470488128229974E-2</v>
      </c>
      <c r="F32">
        <f t="shared" si="262"/>
        <v>2.4164607026627094E-2</v>
      </c>
      <c r="G32">
        <f t="shared" si="263"/>
        <v>2.3862549438794255E-2</v>
      </c>
      <c r="H32">
        <f t="shared" si="264"/>
        <v>2.3564267570809327E-2</v>
      </c>
      <c r="I32">
        <f t="shared" si="265"/>
        <v>2.3269714226174208E-2</v>
      </c>
      <c r="J32">
        <f t="shared" si="266"/>
        <v>2.2978842798347034E-2</v>
      </c>
      <c r="K32">
        <f t="shared" si="267"/>
        <v>2.2691607263367698E-2</v>
      </c>
      <c r="L32">
        <f t="shared" si="268"/>
        <v>2.2407962172575603E-2</v>
      </c>
      <c r="M32">
        <f t="shared" si="269"/>
        <v>2.2127862645418404E-2</v>
      </c>
      <c r="N32">
        <f t="shared" si="270"/>
        <v>2.1851264362350676E-2</v>
      </c>
      <c r="O32">
        <f t="shared" si="271"/>
        <v>2.1578123557821294E-2</v>
      </c>
      <c r="P32">
        <f t="shared" si="272"/>
        <v>2.1308397013348523E-2</v>
      </c>
      <c r="Q32">
        <f t="shared" si="273"/>
        <v>2.1042042050681664E-2</v>
      </c>
      <c r="R32">
        <f t="shared" si="274"/>
        <v>2.0779016525048145E-2</v>
      </c>
      <c r="S32">
        <f t="shared" si="275"/>
        <v>2.0519278818485042E-2</v>
      </c>
      <c r="T32">
        <f t="shared" si="276"/>
        <v>2.0262787833253981E-2</v>
      </c>
      <c r="U32">
        <f t="shared" si="277"/>
        <v>2.0009502985338302E-2</v>
      </c>
      <c r="V32">
        <f t="shared" si="278"/>
        <v>1.9759384198021569E-2</v>
      </c>
      <c r="W32">
        <f t="shared" si="279"/>
        <v>1.9512391895546301E-2</v>
      </c>
      <c r="X32">
        <f t="shared" si="280"/>
        <v>1.9268486996851974E-2</v>
      </c>
      <c r="Y32">
        <f t="shared" si="281"/>
        <v>1.9027630909391323E-2</v>
      </c>
      <c r="Z32">
        <f t="shared" si="282"/>
        <v>1.8789785523023926E-2</v>
      </c>
      <c r="AA32">
        <f t="shared" si="283"/>
        <v>1.8554913203986122E-2</v>
      </c>
      <c r="AB32">
        <f t="shared" si="284"/>
        <v>1.8322976788936296E-2</v>
      </c>
      <c r="AC32">
        <f t="shared" si="285"/>
        <v>1.809393957907459E-2</v>
      </c>
      <c r="AD32">
        <f t="shared" si="286"/>
        <v>1.786776533433616E-2</v>
      </c>
      <c r="AE32">
        <f t="shared" si="287"/>
        <v>1.7644418267656958E-2</v>
      </c>
      <c r="AF32">
        <f t="shared" si="288"/>
        <v>1.742386303931125E-2</v>
      </c>
      <c r="AG32">
        <f t="shared" si="289"/>
        <v>1.7206064751319861E-2</v>
      </c>
      <c r="AH32">
        <f t="shared" si="290"/>
        <v>-2.4102868241628215E-3</v>
      </c>
      <c r="AI32">
        <f t="shared" si="291"/>
        <v>-2.4543282544616683E-3</v>
      </c>
      <c r="AJ32">
        <f t="shared" si="292"/>
        <v>-2.496892041686738E-3</v>
      </c>
      <c r="AK32">
        <f t="shared" si="293"/>
        <v>-2.5380082454414367E-3</v>
      </c>
      <c r="AL32">
        <f t="shared" si="294"/>
        <v>-2.5777064047207364E-3</v>
      </c>
      <c r="AM32">
        <f t="shared" si="295"/>
        <v>-2.6160155462297218E-3</v>
      </c>
      <c r="AN32">
        <f t="shared" si="296"/>
        <v>-2.6529641925752355E-3</v>
      </c>
      <c r="AO32">
        <f t="shared" si="297"/>
        <v>-2.6885803703330159E-3</v>
      </c>
      <c r="AP32">
        <f t="shared" si="298"/>
        <v>1.7246423715423509E-2</v>
      </c>
      <c r="AQ32">
        <f t="shared" si="299"/>
        <v>1.7030843418980712E-2</v>
      </c>
      <c r="AR32">
        <f t="shared" si="300"/>
        <v>1.6817957876243451E-2</v>
      </c>
      <c r="AS32">
        <f t="shared" si="301"/>
        <v>1.6607733402790405E-2</v>
      </c>
      <c r="AT32">
        <f t="shared" si="302"/>
        <v>1.6400136735255522E-2</v>
      </c>
      <c r="AU32">
        <f t="shared" si="303"/>
        <v>1.6195135026064834E-2</v>
      </c>
      <c r="AV32">
        <f t="shared" si="304"/>
        <v>1.5992695838239025E-2</v>
      </c>
      <c r="AW32">
        <f t="shared" si="305"/>
        <v>1.5792787140261035E-2</v>
      </c>
      <c r="AX32">
        <f t="shared" si="306"/>
        <v>1.5595377301007773E-2</v>
      </c>
      <c r="AY32">
        <f t="shared" si="307"/>
        <v>1.5400435084745178E-2</v>
      </c>
      <c r="AZ32">
        <f t="shared" si="308"/>
        <v>1.5207929646185869E-2</v>
      </c>
      <c r="BA32">
        <f t="shared" si="309"/>
        <v>1.5017830525608544E-2</v>
      </c>
      <c r="BB32">
        <f t="shared" si="310"/>
        <v>1.4830107644038438E-2</v>
      </c>
      <c r="BC32">
        <f t="shared" si="311"/>
        <v>1.4644731298487956E-2</v>
      </c>
      <c r="BD32">
        <f t="shared" si="312"/>
        <v>1.4461672157256855E-2</v>
      </c>
      <c r="BE32">
        <f t="shared" si="313"/>
        <v>1.4280901255291144E-2</v>
      </c>
      <c r="BF32">
        <f t="shared" si="314"/>
        <v>1.4102389989600006E-2</v>
      </c>
      <c r="BG32">
        <f t="shared" si="315"/>
        <v>1.3926110114730005E-2</v>
      </c>
      <c r="BH32">
        <f t="shared" si="316"/>
        <v>1.3752033738295876E-2</v>
      </c>
      <c r="BI32">
        <f t="shared" si="317"/>
        <v>1.3580133316567178E-2</v>
      </c>
      <c r="BJ32">
        <f t="shared" si="318"/>
        <v>1.3410381650110093E-2</v>
      </c>
      <c r="BK32">
        <f t="shared" si="319"/>
        <v>1.3242751879483716E-2</v>
      </c>
      <c r="BL32">
        <f t="shared" si="320"/>
        <v>1.3077217480990166E-2</v>
      </c>
      <c r="BM32">
        <f t="shared" si="321"/>
        <v>1.2913752262477785E-2</v>
      </c>
      <c r="BN32">
        <f t="shared" si="322"/>
        <v>1.2752330359196817E-2</v>
      </c>
      <c r="BO32">
        <f t="shared" si="323"/>
        <v>1.2592926229706859E-2</v>
      </c>
      <c r="BP32">
        <f t="shared" si="324"/>
        <v>1.1938268871307722E-2</v>
      </c>
      <c r="BQ32">
        <f t="shared" si="325"/>
        <v>1.0863426504336226E-2</v>
      </c>
      <c r="BR32">
        <f t="shared" si="326"/>
        <v>9.8135898420278807E-3</v>
      </c>
      <c r="BS32">
        <f t="shared" si="327"/>
        <v>8.7883016858859471E-3</v>
      </c>
      <c r="BT32">
        <f t="shared" si="328"/>
        <v>7.7871123602347488E-3</v>
      </c>
      <c r="BU32">
        <f t="shared" si="329"/>
        <v>6.809579595586401E-3</v>
      </c>
      <c r="BV32">
        <f t="shared" si="330"/>
        <v>5.8552684137479719E-3</v>
      </c>
      <c r="BW32">
        <f t="shared" si="331"/>
        <v>4.9237510146437182E-3</v>
      </c>
      <c r="BX32">
        <f t="shared" si="332"/>
        <v>4.0146066648274028E-3</v>
      </c>
      <c r="BY32">
        <f t="shared" si="333"/>
        <v>3.1274215876604615E-3</v>
      </c>
      <c r="BZ32">
        <f t="shared" si="334"/>
        <v>2.261788855131308E-3</v>
      </c>
      <c r="CA32">
        <f t="shared" si="335"/>
        <v>1.4173082812923177E-3</v>
      </c>
      <c r="CB32">
        <f t="shared" si="336"/>
        <v>5.9358631729069524E-4</v>
      </c>
      <c r="CC32">
        <f t="shared" si="337"/>
        <v>-2.0976405202985938E-4</v>
      </c>
      <c r="CD32">
        <f t="shared" si="338"/>
        <v>-9.931234099794684E-4</v>
      </c>
      <c r="CE32">
        <f t="shared" si="339"/>
        <v>-1.7568660083471909E-3</v>
      </c>
      <c r="CF32">
        <f t="shared" si="340"/>
        <v>-2.5013598662229296E-3</v>
      </c>
      <c r="CG32">
        <f t="shared" si="341"/>
        <v>-3.2269668673379549E-3</v>
      </c>
      <c r="CH32">
        <f t="shared" si="342"/>
        <v>-3.9340428559460072E-3</v>
      </c>
      <c r="CI32">
        <f t="shared" si="343"/>
        <v>-4.6229377312658523E-3</v>
      </c>
      <c r="CJ32">
        <f t="shared" si="344"/>
        <v>-5.2939955405064574E-3</v>
      </c>
      <c r="CK32">
        <f t="shared" si="345"/>
        <v>-5.94755457049555E-3</v>
      </c>
      <c r="CL32">
        <f t="shared" si="346"/>
        <v>-6.5839474379316924E-3</v>
      </c>
      <c r="CM32">
        <f t="shared" si="347"/>
        <v>-7.2035011782802805E-3</v>
      </c>
      <c r="CN32">
        <f t="shared" si="348"/>
        <v>-7.8065373333329972E-3</v>
      </c>
      <c r="CO32">
        <f t="shared" si="349"/>
        <v>-8.3933720374502856E-3</v>
      </c>
      <c r="CP32">
        <f t="shared" si="350"/>
        <v>-8.9643161025063089E-3</v>
      </c>
      <c r="CQ32">
        <f t="shared" si="351"/>
        <v>-9.5196751015550578E-3</v>
      </c>
      <c r="CR32">
        <f t="shared" si="352"/>
        <v>-1.00597494512366E-2</v>
      </c>
      <c r="CS32">
        <f t="shared" si="353"/>
        <v>-1.0584834492941475E-2</v>
      </c>
      <c r="CT32">
        <f t="shared" si="354"/>
        <v>-1.1095220572751984E-2</v>
      </c>
      <c r="CU32">
        <f t="shared" si="355"/>
        <v>-1.159119312017769E-2</v>
      </c>
      <c r="CV32">
        <f t="shared" si="356"/>
        <v>-1.2073032725703269E-2</v>
      </c>
      <c r="CW32">
        <f t="shared" si="357"/>
        <v>-1.2541015217165673E-2</v>
      </c>
      <c r="CX32">
        <f t="shared" si="358"/>
        <v>-1.2995411734978124E-2</v>
      </c>
      <c r="CY32">
        <f t="shared" si="359"/>
        <v>-1.3436488806217594E-2</v>
      </c>
      <c r="CZ32">
        <f t="shared" si="360"/>
        <v>-1.3864508417592491E-2</v>
      </c>
      <c r="DA32">
        <f t="shared" si="361"/>
        <v>-1.4279728087307019E-2</v>
      </c>
      <c r="DB32">
        <f t="shared" si="362"/>
        <v>-1.4682400935838457E-2</v>
      </c>
      <c r="DC32">
        <f t="shared" si="363"/>
        <v>-1.5072775755642965E-2</v>
      </c>
      <c r="DD32">
        <f t="shared" si="364"/>
        <v>-1.5451097079806141E-2</v>
      </c>
      <c r="DE32">
        <f t="shared" si="365"/>
        <v>-1.5817605249653411E-2</v>
      </c>
      <c r="DF32">
        <f t="shared" si="366"/>
        <v>-1.6172536481335775E-2</v>
      </c>
      <c r="DG32">
        <f t="shared" si="367"/>
        <v>-1.6516122931405818E-2</v>
      </c>
      <c r="DH32">
        <f t="shared" si="368"/>
        <v>-1.6848592761398894E-2</v>
      </c>
      <c r="DI32">
        <f t="shared" si="369"/>
        <v>-1.7170170201434142E-2</v>
      </c>
      <c r="DJ32">
        <f t="shared" si="370"/>
        <v>-1.7481075612849527E-2</v>
      </c>
      <c r="DK32">
        <f t="shared" si="371"/>
        <v>-1.7781525549885546E-2</v>
      </c>
      <c r="DL32">
        <f t="shared" si="372"/>
        <v>-1.8071732820431154E-2</v>
      </c>
      <c r="DM32">
        <f t="shared" si="373"/>
        <v>-1.8351906545845963E-2</v>
      </c>
      <c r="DN32">
        <f t="shared" si="374"/>
        <v>-1.8622252219872203E-2</v>
      </c>
      <c r="DO32">
        <f t="shared" si="375"/>
        <v>-1.8882971766650002E-2</v>
      </c>
      <c r="DP32">
        <f t="shared" si="376"/>
        <v>-1.9134263597848998E-2</v>
      </c>
      <c r="DQ32">
        <f t="shared" si="377"/>
        <v>-1.9376322668929479E-2</v>
      </c>
      <c r="DR32">
        <f t="shared" si="378"/>
        <v>-1.9609340534545792E-2</v>
      </c>
      <c r="DS32">
        <f t="shared" si="379"/>
        <v>-1.9833505403104679E-2</v>
      </c>
      <c r="DT32">
        <f t="shared" si="380"/>
        <v>-2.004900219049106E-2</v>
      </c>
      <c r="DU32">
        <f t="shared" si="381"/>
        <v>-2.0256012572973558E-2</v>
      </c>
      <c r="DV32">
        <f t="shared" si="382"/>
        <v>-2.045471503930173E-2</v>
      </c>
      <c r="DW32">
        <f t="shared" si="383"/>
        <v>-2.064528494200717E-2</v>
      </c>
      <c r="DX32">
        <f t="shared" si="384"/>
        <v>-2.0827894547920067E-2</v>
      </c>
      <c r="DY32">
        <f t="shared" si="385"/>
        <v>-2.1002713087912961E-2</v>
      </c>
      <c r="DZ32">
        <f t="shared" si="386"/>
        <v>-2.1169906805882922E-2</v>
      </c>
      <c r="EA32">
        <f t="shared" si="387"/>
        <v>-2.1329639006983647E-2</v>
      </c>
      <c r="EB32">
        <f t="shared" si="388"/>
        <v>-2.1482070105118434E-2</v>
      </c>
      <c r="EC32">
        <f t="shared" si="389"/>
        <v>-2.1627357669705007E-2</v>
      </c>
      <c r="ED32">
        <f t="shared" si="390"/>
        <v>-2.1765656471722995E-2</v>
      </c>
      <c r="EE32">
        <f t="shared" si="391"/>
        <v>-2.1897118529054647E-2</v>
      </c>
      <c r="EF32">
        <f t="shared" si="392"/>
        <v>-2.202189315112928E-2</v>
      </c>
      <c r="EG32">
        <f t="shared" si="393"/>
        <v>-2.2140126982881904E-2</v>
      </c>
      <c r="EH32">
        <f t="shared" si="394"/>
        <v>-2.2251964048035845E-2</v>
      </c>
      <c r="EI32">
        <f t="shared" si="395"/>
        <v>-2.2357545791719845E-2</v>
      </c>
      <c r="EJ32">
        <f t="shared" si="396"/>
        <v>-2.245701112242926E-2</v>
      </c>
      <c r="EK32">
        <f t="shared" si="397"/>
        <v>-2.2550496453340972E-2</v>
      </c>
      <c r="EL32">
        <f t="shared" si="398"/>
        <v>-2.2638135742992015E-2</v>
      </c>
      <c r="EM32">
        <f t="shared" si="399"/>
        <v>-2.2720060535330943E-2</v>
      </c>
      <c r="EN32">
        <f t="shared" si="400"/>
        <v>-2.2796399999151562E-2</v>
      </c>
      <c r="EO32">
        <f t="shared" si="401"/>
        <v>-2.2867280966918025E-2</v>
      </c>
      <c r="EP32">
        <f t="shared" si="402"/>
        <v>-2.2932827972990455E-2</v>
      </c>
      <c r="EQ32">
        <f t="shared" si="403"/>
        <v>-2.2993163291259989E-2</v>
      </c>
      <c r="ER32">
        <f t="shared" si="404"/>
        <v>-2.3048406972202007E-2</v>
      </c>
      <c r="ES32">
        <f t="shared" si="405"/>
        <v>-2.3098676879356204E-2</v>
      </c>
      <c r="ET32">
        <f t="shared" si="406"/>
        <v>-2.3144088725242151E-2</v>
      </c>
      <c r="EU32">
        <f t="shared" si="407"/>
        <v>-2.3184756106718541E-2</v>
      </c>
      <c r="EV32">
        <f t="shared" si="408"/>
        <v>-2.322079053979471E-2</v>
      </c>
      <c r="EW32">
        <f t="shared" si="409"/>
        <v>-2.3252301493902318E-2</v>
      </c>
      <c r="EX32">
        <f t="shared" si="410"/>
        <v>-2.3279396425635378E-2</v>
      </c>
      <c r="EY32">
        <f t="shared" si="411"/>
        <v>-2.3302180811966687E-2</v>
      </c>
      <c r="EZ32">
        <f t="shared" si="412"/>
        <v>-2.3320758182948209E-2</v>
      </c>
      <c r="FA32">
        <f t="shared" si="413"/>
        <v>-2.3335230153903319E-2</v>
      </c>
      <c r="FB32">
        <f t="shared" si="414"/>
        <v>-2.3345696457118464E-2</v>
      </c>
      <c r="FC32">
        <f t="shared" si="415"/>
        <v>-2.3352254973041685E-2</v>
      </c>
      <c r="FD32">
        <f t="shared" si="416"/>
        <v>-2.3355001760995409E-2</v>
      </c>
      <c r="FE32">
        <f t="shared" si="417"/>
        <v>-2.3354031089410743E-2</v>
      </c>
      <c r="FF32">
        <f t="shared" si="418"/>
        <v>-2.3349435465590547E-2</v>
      </c>
      <c r="FG32">
        <f t="shared" si="419"/>
        <v>-2.3341305665008132E-2</v>
      </c>
      <c r="FH32">
        <f t="shared" si="420"/>
        <v>-2.332973076014877E-2</v>
      </c>
      <c r="FI32">
        <f t="shared" si="421"/>
        <v>-2.3314798148900744E-2</v>
      </c>
      <c r="FJ32">
        <f t="shared" si="422"/>
        <v>-2.3296593582502644E-2</v>
      </c>
      <c r="FK32">
        <f t="shared" si="423"/>
        <v>-2.3275201193053725E-2</v>
      </c>
      <c r="FL32">
        <f t="shared" si="424"/>
        <v>-2.3250703520593764E-2</v>
      </c>
      <c r="FM32">
        <f t="shared" si="425"/>
        <v>-2.3223181539758886E-2</v>
      </c>
      <c r="FN32">
        <f t="shared" si="426"/>
        <v>-2.3192714686019793E-2</v>
      </c>
      <c r="FO32">
        <f t="shared" si="427"/>
        <v>-2.3159380881508596E-2</v>
      </c>
      <c r="FP32">
        <f t="shared" si="428"/>
        <v>-2.3123256560440481E-2</v>
      </c>
      <c r="FQ32">
        <f t="shared" si="429"/>
        <v>-2.3084416694136335E-2</v>
      </c>
      <c r="FR32">
        <f t="shared" si="430"/>
        <v>-2.3042934815652234E-2</v>
      </c>
      <c r="FS32">
        <f t="shared" si="431"/>
        <v>-2.2998883044021756E-2</v>
      </c>
      <c r="FT32">
        <f t="shared" si="432"/>
        <v>-2.2952332108117108E-2</v>
      </c>
      <c r="FU32">
        <f t="shared" si="433"/>
        <v>-2.2903351370134439E-2</v>
      </c>
      <c r="FV32">
        <f t="shared" si="434"/>
        <v>-2.2852008848709453E-2</v>
      </c>
      <c r="FW32">
        <f t="shared" si="435"/>
        <v>-2.2798371241668496E-2</v>
      </c>
      <c r="FX32">
        <f t="shared" si="436"/>
        <v>-2.2742503948420961E-2</v>
      </c>
      <c r="FY32">
        <f t="shared" si="437"/>
        <v>-2.2684471091998108E-2</v>
      </c>
      <c r="FZ32">
        <f t="shared" si="438"/>
        <v>-2.2624335540743879E-2</v>
      </c>
      <c r="GA32">
        <f t="shared" si="439"/>
        <v>-2.2562158929662873E-2</v>
      </c>
      <c r="GB32">
        <f t="shared" si="440"/>
        <v>-2.2498001681430662E-2</v>
      </c>
      <c r="GC32">
        <f t="shared" si="441"/>
        <v>-2.2431923027071494E-2</v>
      </c>
      <c r="GD32">
        <f t="shared" si="442"/>
        <v>-2.2363981026308571E-2</v>
      </c>
      <c r="GE32">
        <f t="shared" si="443"/>
        <v>-2.2294232587591757E-2</v>
      </c>
      <c r="GF32">
        <f t="shared" si="444"/>
        <v>-2.2222733487807504E-2</v>
      </c>
      <c r="GG32">
        <f t="shared" si="445"/>
        <v>-2.2149538391676042E-2</v>
      </c>
      <c r="GH32">
        <f t="shared" si="446"/>
        <v>-2.2074700870840392E-2</v>
      </c>
      <c r="GI32">
        <f t="shared" si="447"/>
        <v>-2.1998273422651933E-2</v>
      </c>
      <c r="GJ32">
        <f t="shared" si="448"/>
        <v>-2.1920307488657122E-2</v>
      </c>
      <c r="GK32">
        <f t="shared" si="449"/>
        <v>-2.1840853472789891E-2</v>
      </c>
      <c r="GL32">
        <f t="shared" si="450"/>
        <v>-2.1759960759274232E-2</v>
      </c>
      <c r="GM32">
        <f t="shared" si="451"/>
        <v>-2.1677677730241346E-2</v>
      </c>
      <c r="GN32">
        <f t="shared" si="452"/>
        <v>-2.1594051783065643E-2</v>
      </c>
      <c r="GO32">
        <f t="shared" si="453"/>
        <v>-2.1509129347423987E-2</v>
      </c>
      <c r="GP32">
        <f t="shared" si="454"/>
        <v>-2.142295590208227E-2</v>
      </c>
      <c r="GQ32">
        <f t="shared" si="455"/>
        <v>-2.1335575991413551E-2</v>
      </c>
      <c r="GR32">
        <f t="shared" si="456"/>
        <v>-2.1247033241651857E-2</v>
      </c>
      <c r="GS32">
        <f t="shared" si="457"/>
        <v>-2.1157370376885549E-2</v>
      </c>
      <c r="GT32">
        <f t="shared" si="458"/>
        <v>-2.1066629234794392E-2</v>
      </c>
      <c r="GU32">
        <f t="shared" si="459"/>
        <v>-2.0974850782134118E-2</v>
      </c>
      <c r="GV32">
        <f t="shared" si="460"/>
        <v>-2.0882075129972415E-2</v>
      </c>
      <c r="GW32">
        <f t="shared" si="461"/>
        <v>-2.0788341548680051E-2</v>
      </c>
      <c r="GX32">
        <f t="shared" si="462"/>
        <v>-2.0693688482680928E-2</v>
      </c>
      <c r="GY32">
        <f t="shared" si="463"/>
        <v>-2.0598153564964805E-2</v>
      </c>
      <c r="GZ32">
        <f t="shared" si="464"/>
        <v>-2.0501773631366165E-2</v>
      </c>
      <c r="HA32">
        <f t="shared" si="465"/>
        <v>-2.0404584734612975E-2</v>
      </c>
      <c r="HB32">
        <f t="shared" si="466"/>
        <v>-2.0306622158148706E-2</v>
      </c>
      <c r="HC32">
        <f t="shared" si="467"/>
        <v>-2.0207920429731269E-2</v>
      </c>
      <c r="HD32">
        <f t="shared" si="468"/>
        <v>-2.0108513334812044E-2</v>
      </c>
      <c r="HE32">
        <f t="shared" si="469"/>
        <v>-2.0008433929698654E-2</v>
      </c>
      <c r="HF32">
        <f t="shared" si="470"/>
        <v>-1.9907714554504536E-2</v>
      </c>
      <c r="HG32">
        <f t="shared" si="471"/>
        <v>-1.9806386845888764E-2</v>
      </c>
      <c r="HH32">
        <f t="shared" si="472"/>
        <v>-1.9704481749589241E-2</v>
      </c>
      <c r="HI32">
        <f t="shared" si="473"/>
        <v>-1.960202953275253E-2</v>
      </c>
      <c r="HJ32">
        <f t="shared" si="474"/>
        <v>-1.9499059796063378E-2</v>
      </c>
      <c r="HK32">
        <f t="shared" si="475"/>
        <v>-1.9395601485676948E-2</v>
      </c>
      <c r="HL32">
        <f t="shared" si="476"/>
        <v>-1.9291682904957058E-2</v>
      </c>
      <c r="HM32">
        <f t="shared" si="477"/>
        <v>-1.9187331726023011E-2</v>
      </c>
      <c r="HN32">
        <f t="shared" si="478"/>
        <v>-1.9082575001108427E-2</v>
      </c>
      <c r="HO32">
        <f t="shared" si="479"/>
        <v>-1.8977439173734512E-2</v>
      </c>
      <c r="HP32">
        <f t="shared" si="480"/>
        <v>-1.887195008970103E-2</v>
      </c>
      <c r="HQ32">
        <f t="shared" si="481"/>
        <v>-1.8766133007897489E-2</v>
      </c>
      <c r="HR32">
        <f t="shared" si="482"/>
        <v>-1.8660012610937516E-2</v>
      </c>
      <c r="HS32">
        <f t="shared" si="483"/>
        <v>-1.8553613015619048E-2</v>
      </c>
      <c r="HT32">
        <f t="shared" si="484"/>
        <v>-1.8446957783213085E-2</v>
      </c>
      <c r="HU32">
        <f t="shared" si="485"/>
        <v>-1.8340069929583598E-2</v>
      </c>
      <c r="HV32">
        <f t="shared" si="486"/>
        <v>-1.8232971935141219E-2</v>
      </c>
      <c r="HW32">
        <f t="shared" si="487"/>
        <v>-1.8125685754633386E-2</v>
      </c>
      <c r="HX32">
        <f t="shared" si="488"/>
        <v>-1.8018232826773402E-2</v>
      </c>
      <c r="HY32">
        <f t="shared" si="489"/>
        <v>-1.7910634083710741E-2</v>
      </c>
      <c r="HZ32">
        <f t="shared" si="490"/>
        <v>-1.7802909960345469E-2</v>
      </c>
      <c r="IA32">
        <f t="shared" si="491"/>
        <v>-1.7695080403488744E-2</v>
      </c>
      <c r="IB32">
        <f t="shared" si="492"/>
        <v>-1.7587164880872135E-2</v>
      </c>
      <c r="IC32">
        <f t="shared" si="493"/>
        <v>-1.747918239000789E-2</v>
      </c>
      <c r="ID32">
        <f t="shared" si="494"/>
        <v>-1.7371151466902636E-2</v>
      </c>
      <c r="IE32">
        <f t="shared" si="495"/>
        <v>-1.7263090194626556E-2</v>
      </c>
      <c r="IF32">
        <f t="shared" si="496"/>
        <v>-1.7155016211740676E-2</v>
      </c>
      <c r="IG32">
        <f t="shared" si="497"/>
        <v>-1.7046946720584034E-2</v>
      </c>
      <c r="IH32">
        <f t="shared" si="498"/>
        <v>-1.6938898495423217E-2</v>
      </c>
      <c r="II32">
        <f t="shared" si="499"/>
        <v>-1.6830887890466335E-2</v>
      </c>
      <c r="IJ32">
        <f t="shared" si="500"/>
        <v>-1.6722930847743466E-2</v>
      </c>
      <c r="IK32">
        <f t="shared" si="501"/>
        <v>-1.6615042904855781E-2</v>
      </c>
      <c r="IL32">
        <f t="shared" si="502"/>
        <v>-1.6507239202595336E-2</v>
      </c>
      <c r="IM32">
        <f t="shared" si="503"/>
        <v>-1.6399534492437518E-2</v>
      </c>
      <c r="IN32">
        <f t="shared" si="504"/>
        <v>-1.6291943143908232E-2</v>
      </c>
      <c r="IO32">
        <f t="shared" si="505"/>
        <v>-1.6184479151827736E-2</v>
      </c>
      <c r="IP32">
        <f t="shared" si="506"/>
        <v>-1.6077156143433032E-2</v>
      </c>
      <c r="IQ32">
        <f t="shared" si="507"/>
        <v>-1.5969987385380708E-2</v>
      </c>
      <c r="IR32">
        <f t="shared" si="508"/>
        <v>-1.5862985790632285E-2</v>
      </c>
      <c r="IS32">
        <f t="shared" si="509"/>
        <v>-1.5756163925223599E-2</v>
      </c>
      <c r="IT32">
        <f t="shared" si="510"/>
        <v>-1.5649534014920346E-2</v>
      </c>
      <c r="IU32">
        <f t="shared" si="511"/>
        <v>-1.5543107951761359E-2</v>
      </c>
      <c r="IV32">
        <f t="shared" si="512"/>
        <v>-1.5436897300491515E-2</v>
      </c>
    </row>
    <row r="33" spans="1:256" x14ac:dyDescent="0.2">
      <c r="A33" t="s">
        <v>504</v>
      </c>
      <c r="B33">
        <f t="shared" si="258"/>
        <v>5.7098442077636723E-2</v>
      </c>
      <c r="C33">
        <f t="shared" si="259"/>
        <v>5.6384711551666265E-2</v>
      </c>
      <c r="D33">
        <f t="shared" si="260"/>
        <v>5.5679902657270429E-2</v>
      </c>
      <c r="E33">
        <f t="shared" si="261"/>
        <v>5.4983903874054552E-2</v>
      </c>
      <c r="F33">
        <f t="shared" si="262"/>
        <v>5.4296605075628869E-2</v>
      </c>
      <c r="G33">
        <f t="shared" si="263"/>
        <v>5.3617897512183509E-2</v>
      </c>
      <c r="H33">
        <f t="shared" si="264"/>
        <v>5.2947673793281205E-2</v>
      </c>
      <c r="I33">
        <f t="shared" si="265"/>
        <v>5.2285827870865199E-2</v>
      </c>
      <c r="J33">
        <f t="shared" si="266"/>
        <v>3.0010476326525502E-2</v>
      </c>
      <c r="K33">
        <f t="shared" si="267"/>
        <v>2.9635345372443934E-2</v>
      </c>
      <c r="L33">
        <f t="shared" si="268"/>
        <v>2.9264903555288387E-2</v>
      </c>
      <c r="M33">
        <f t="shared" si="269"/>
        <v>2.8899092260847282E-2</v>
      </c>
      <c r="N33">
        <f t="shared" si="270"/>
        <v>2.8537853607586688E-2</v>
      </c>
      <c r="O33">
        <f t="shared" si="271"/>
        <v>2.8181130437491854E-2</v>
      </c>
      <c r="P33">
        <f t="shared" si="272"/>
        <v>2.7828866307023203E-2</v>
      </c>
      <c r="Q33">
        <f t="shared" si="273"/>
        <v>2.7481005478185418E-2</v>
      </c>
      <c r="R33">
        <f t="shared" si="274"/>
        <v>4.8759271605661972E-2</v>
      </c>
      <c r="S33">
        <f t="shared" si="275"/>
        <v>4.8149780710591193E-2</v>
      </c>
      <c r="T33">
        <f t="shared" si="276"/>
        <v>4.7547908451708809E-2</v>
      </c>
      <c r="U33">
        <f t="shared" si="277"/>
        <v>4.6953559596062441E-2</v>
      </c>
      <c r="V33">
        <f t="shared" si="278"/>
        <v>4.6366640101111668E-2</v>
      </c>
      <c r="W33">
        <f t="shared" si="279"/>
        <v>4.5787057099847775E-2</v>
      </c>
      <c r="X33">
        <f t="shared" si="280"/>
        <v>4.5214718886099667E-2</v>
      </c>
      <c r="Y33">
        <f t="shared" si="281"/>
        <v>4.4649534900023422E-2</v>
      </c>
      <c r="Z33">
        <f t="shared" si="282"/>
        <v>4.4091415713773133E-2</v>
      </c>
      <c r="AA33">
        <f t="shared" si="283"/>
        <v>4.3540273017350958E-2</v>
      </c>
      <c r="AB33">
        <f t="shared" si="284"/>
        <v>4.2996019604634075E-2</v>
      </c>
      <c r="AC33">
        <f t="shared" si="285"/>
        <v>4.2458569359576148E-2</v>
      </c>
      <c r="AD33">
        <f t="shared" si="286"/>
        <v>4.1927837242581444E-2</v>
      </c>
      <c r="AE33">
        <f t="shared" si="287"/>
        <v>4.1403739277049177E-2</v>
      </c>
      <c r="AF33">
        <f t="shared" si="288"/>
        <v>4.0886192536086066E-2</v>
      </c>
      <c r="AG33">
        <f t="shared" si="289"/>
        <v>4.0375115129384985E-2</v>
      </c>
      <c r="AH33">
        <f t="shared" si="290"/>
        <v>-1.7228015887369046E-2</v>
      </c>
      <c r="AI33">
        <f t="shared" si="291"/>
        <v>-1.7012665688776935E-2</v>
      </c>
      <c r="AJ33">
        <f t="shared" si="292"/>
        <v>-1.6800007367667218E-2</v>
      </c>
      <c r="AK33">
        <f t="shared" si="293"/>
        <v>-1.6590007275571379E-2</v>
      </c>
      <c r="AL33">
        <f t="shared" si="294"/>
        <v>-1.6382632184626739E-2</v>
      </c>
      <c r="AM33">
        <f t="shared" si="295"/>
        <v>-1.6177849282318905E-2</v>
      </c>
      <c r="AN33">
        <f t="shared" si="296"/>
        <v>-1.5975626166289919E-2</v>
      </c>
      <c r="AO33">
        <f t="shared" si="297"/>
        <v>-1.5775930839211298E-2</v>
      </c>
      <c r="AP33">
        <f t="shared" si="298"/>
        <v>2.7322826218642127E-2</v>
      </c>
      <c r="AQ33">
        <f t="shared" si="299"/>
        <v>2.6981290890909105E-2</v>
      </c>
      <c r="AR33">
        <f t="shared" si="300"/>
        <v>2.6644024754772743E-2</v>
      </c>
      <c r="AS33">
        <f t="shared" si="301"/>
        <v>2.6310974445338087E-2</v>
      </c>
      <c r="AT33">
        <f t="shared" si="302"/>
        <v>2.5982087264771359E-2</v>
      </c>
      <c r="AU33">
        <f t="shared" si="303"/>
        <v>2.5657311173961715E-2</v>
      </c>
      <c r="AV33">
        <f t="shared" si="304"/>
        <v>2.5336594784287191E-2</v>
      </c>
      <c r="AW33">
        <f t="shared" si="305"/>
        <v>2.5019887349483606E-2</v>
      </c>
      <c r="AX33">
        <f t="shared" si="306"/>
        <v>3.8903913208328166E-2</v>
      </c>
      <c r="AY33">
        <f t="shared" si="307"/>
        <v>3.8417614293224066E-2</v>
      </c>
      <c r="AZ33">
        <f t="shared" si="308"/>
        <v>3.7937394114558765E-2</v>
      </c>
      <c r="BA33">
        <f t="shared" si="309"/>
        <v>3.7463176688126779E-2</v>
      </c>
      <c r="BB33">
        <f t="shared" si="310"/>
        <v>3.6994886979525188E-2</v>
      </c>
      <c r="BC33">
        <f t="shared" si="311"/>
        <v>3.6532450892281118E-2</v>
      </c>
      <c r="BD33">
        <f t="shared" si="312"/>
        <v>3.6075795256127606E-2</v>
      </c>
      <c r="BE33">
        <f t="shared" si="313"/>
        <v>3.5624847815426006E-2</v>
      </c>
      <c r="BF33">
        <f t="shared" si="314"/>
        <v>3.5179537217733182E-2</v>
      </c>
      <c r="BG33">
        <f t="shared" si="315"/>
        <v>3.4739793002511524E-2</v>
      </c>
      <c r="BH33">
        <f t="shared" si="316"/>
        <v>3.4305545589980127E-2</v>
      </c>
      <c r="BI33">
        <f t="shared" si="317"/>
        <v>3.3876726270105371E-2</v>
      </c>
      <c r="BJ33">
        <f t="shared" si="318"/>
        <v>3.3453267191729051E-2</v>
      </c>
      <c r="BK33">
        <f t="shared" si="319"/>
        <v>3.3035101351832442E-2</v>
      </c>
      <c r="BL33">
        <f t="shared" si="320"/>
        <v>3.2622162584934535E-2</v>
      </c>
      <c r="BM33">
        <f t="shared" si="321"/>
        <v>3.2214385552622848E-2</v>
      </c>
      <c r="BN33">
        <f t="shared" si="322"/>
        <v>3.1811705733215068E-2</v>
      </c>
      <c r="BO33">
        <f t="shared" si="323"/>
        <v>3.1414059411549879E-2</v>
      </c>
      <c r="BP33">
        <f t="shared" si="324"/>
        <v>3.10213836689055E-2</v>
      </c>
      <c r="BQ33">
        <f t="shared" si="325"/>
        <v>3.0633616373044181E-2</v>
      </c>
      <c r="BR33">
        <f t="shared" si="326"/>
        <v>3.0250696168381129E-2</v>
      </c>
      <c r="BS33">
        <f t="shared" si="327"/>
        <v>2.9872562466276363E-2</v>
      </c>
      <c r="BT33">
        <f t="shared" si="328"/>
        <v>2.9499155435447909E-2</v>
      </c>
      <c r="BU33">
        <f t="shared" si="329"/>
        <v>2.9130415992504811E-2</v>
      </c>
      <c r="BV33">
        <f t="shared" si="330"/>
        <v>2.87662857925985E-2</v>
      </c>
      <c r="BW33">
        <f t="shared" si="331"/>
        <v>2.8406707220191018E-2</v>
      </c>
      <c r="BX33">
        <f t="shared" si="332"/>
        <v>2.8051623379938627E-2</v>
      </c>
      <c r="BY33">
        <f t="shared" si="333"/>
        <v>2.7700978087689399E-2</v>
      </c>
      <c r="BZ33">
        <f t="shared" si="334"/>
        <v>2.7354715861593281E-2</v>
      </c>
      <c r="CA33">
        <f t="shared" si="335"/>
        <v>2.7012781913323368E-2</v>
      </c>
      <c r="CB33">
        <f t="shared" si="336"/>
        <v>2.6675122139406825E-2</v>
      </c>
      <c r="CC33">
        <f t="shared" si="337"/>
        <v>2.6341683112664237E-2</v>
      </c>
      <c r="CD33">
        <f t="shared" si="338"/>
        <v>2.6012412073755931E-2</v>
      </c>
      <c r="CE33">
        <f t="shared" si="339"/>
        <v>2.5687256922833978E-2</v>
      </c>
      <c r="CF33">
        <f t="shared" si="340"/>
        <v>2.5366166211298558E-2</v>
      </c>
      <c r="CG33">
        <f t="shared" si="341"/>
        <v>2.5049089133657321E-2</v>
      </c>
      <c r="CH33">
        <f t="shared" si="342"/>
        <v>2.4735975519486607E-2</v>
      </c>
      <c r="CI33">
        <f t="shared" si="343"/>
        <v>2.4426775825493029E-2</v>
      </c>
      <c r="CJ33">
        <f t="shared" si="344"/>
        <v>2.4121441127674371E-2</v>
      </c>
      <c r="CK33">
        <f t="shared" si="345"/>
        <v>2.3819923113578445E-2</v>
      </c>
      <c r="CL33">
        <f t="shared" si="346"/>
        <v>2.352217407465872E-2</v>
      </c>
      <c r="CM33">
        <f t="shared" si="347"/>
        <v>2.3228146898725488E-2</v>
      </c>
      <c r="CN33">
        <f t="shared" si="348"/>
        <v>2.2937795062491419E-2</v>
      </c>
      <c r="CO33">
        <f t="shared" si="349"/>
        <v>2.2651072624210278E-2</v>
      </c>
      <c r="CP33">
        <f t="shared" si="350"/>
        <v>2.2367934216407648E-2</v>
      </c>
      <c r="CQ33">
        <f t="shared" si="351"/>
        <v>2.2088335038702556E-2</v>
      </c>
      <c r="CR33">
        <f t="shared" si="352"/>
        <v>2.1812230850718772E-2</v>
      </c>
      <c r="CS33">
        <f t="shared" si="353"/>
        <v>2.1539577965084787E-2</v>
      </c>
      <c r="CT33">
        <f t="shared" si="354"/>
        <v>2.1270333240521234E-2</v>
      </c>
      <c r="CU33">
        <f t="shared" si="355"/>
        <v>2.1004454075014722E-2</v>
      </c>
      <c r="CV33">
        <f t="shared" si="356"/>
        <v>2.074189839907704E-2</v>
      </c>
      <c r="CW33">
        <f t="shared" si="357"/>
        <v>2.0482624669088578E-2</v>
      </c>
      <c r="CX33">
        <f t="shared" si="358"/>
        <v>2.0226591860724973E-2</v>
      </c>
      <c r="CY33">
        <f t="shared" si="359"/>
        <v>1.9973759462465913E-2</v>
      </c>
      <c r="CZ33">
        <f t="shared" si="360"/>
        <v>1.9724087469185091E-2</v>
      </c>
      <c r="DA33">
        <f t="shared" si="361"/>
        <v>1.9477536375820281E-2</v>
      </c>
      <c r="DB33">
        <f t="shared" si="362"/>
        <v>1.9234067171122526E-2</v>
      </c>
      <c r="DC33">
        <f t="shared" si="363"/>
        <v>1.8993641331483492E-2</v>
      </c>
      <c r="DD33">
        <f t="shared" si="364"/>
        <v>1.8756220814839953E-2</v>
      </c>
      <c r="DE33">
        <f t="shared" si="365"/>
        <v>1.8521768054654452E-2</v>
      </c>
      <c r="DF33">
        <f t="shared" si="366"/>
        <v>1.8290245953971274E-2</v>
      </c>
      <c r="DG33">
        <f t="shared" si="367"/>
        <v>1.8061617879546632E-2</v>
      </c>
      <c r="DH33">
        <f t="shared" si="368"/>
        <v>1.7835847656052294E-2</v>
      </c>
      <c r="DI33">
        <f t="shared" si="369"/>
        <v>1.7612899560351634E-2</v>
      </c>
      <c r="DJ33">
        <f t="shared" si="370"/>
        <v>1.7392738315847246E-2</v>
      </c>
      <c r="DK33">
        <f t="shared" si="371"/>
        <v>1.7175329086899151E-2</v>
      </c>
      <c r="DL33">
        <f t="shared" si="372"/>
        <v>1.696063747331291E-2</v>
      </c>
      <c r="DM33">
        <f t="shared" si="373"/>
        <v>1.6748629504896494E-2</v>
      </c>
      <c r="DN33">
        <f t="shared" si="374"/>
        <v>1.6539271636085283E-2</v>
      </c>
      <c r="DO33">
        <f t="shared" si="375"/>
        <v>1.6332530740634222E-2</v>
      </c>
      <c r="DP33">
        <f t="shared" si="376"/>
        <v>1.6128374106376298E-2</v>
      </c>
      <c r="DQ33">
        <f t="shared" si="377"/>
        <v>1.5926769430046596E-2</v>
      </c>
      <c r="DR33">
        <f t="shared" si="378"/>
        <v>1.5727684812171017E-2</v>
      </c>
      <c r="DS33">
        <f t="shared" si="379"/>
        <v>1.5531088752018873E-2</v>
      </c>
      <c r="DT33">
        <f t="shared" si="380"/>
        <v>1.5336950142618632E-2</v>
      </c>
      <c r="DU33">
        <f t="shared" si="381"/>
        <v>1.5145238265835904E-2</v>
      </c>
      <c r="DV33">
        <f t="shared" si="382"/>
        <v>1.4955922787512954E-2</v>
      </c>
      <c r="DW33">
        <f t="shared" si="383"/>
        <v>1.4768973752669046E-2</v>
      </c>
      <c r="DX33">
        <f t="shared" si="384"/>
        <v>1.4584361580760685E-2</v>
      </c>
      <c r="DY33">
        <f t="shared" si="385"/>
        <v>1.4402057061001172E-2</v>
      </c>
      <c r="DZ33">
        <f t="shared" si="386"/>
        <v>1.4222031347738662E-2</v>
      </c>
      <c r="EA33">
        <f t="shared" si="387"/>
        <v>1.4044255955891927E-2</v>
      </c>
      <c r="EB33">
        <f t="shared" si="388"/>
        <v>1.3868702756443274E-2</v>
      </c>
      <c r="EC33">
        <f t="shared" si="389"/>
        <v>1.3695343971987729E-2</v>
      </c>
      <c r="ED33">
        <f t="shared" si="390"/>
        <v>1.3524152172337878E-2</v>
      </c>
      <c r="EE33">
        <f t="shared" si="391"/>
        <v>1.3355100270183651E-2</v>
      </c>
      <c r="EF33">
        <f t="shared" si="392"/>
        <v>1.3188161516806352E-2</v>
      </c>
      <c r="EG33">
        <f t="shared" si="393"/>
        <v>1.302330949784627E-2</v>
      </c>
      <c r="EH33">
        <f t="shared" si="394"/>
        <v>1.2860518129123189E-2</v>
      </c>
      <c r="EI33">
        <f t="shared" si="395"/>
        <v>1.2699761652509144E-2</v>
      </c>
      <c r="EJ33">
        <f t="shared" si="396"/>
        <v>1.2541014631852776E-2</v>
      </c>
      <c r="EK33">
        <f t="shared" si="397"/>
        <v>1.2384251948954617E-2</v>
      </c>
      <c r="EL33">
        <f t="shared" si="398"/>
        <v>1.2229448799592679E-2</v>
      </c>
      <c r="EM33">
        <f t="shared" si="399"/>
        <v>1.2076580689597771E-2</v>
      </c>
      <c r="EN33">
        <f t="shared" si="400"/>
        <v>1.1925623430977795E-2</v>
      </c>
      <c r="EO33">
        <f t="shared" si="401"/>
        <v>1.1776553138090572E-2</v>
      </c>
      <c r="EP33">
        <f t="shared" si="402"/>
        <v>1.1629346223864445E-2</v>
      </c>
      <c r="EQ33">
        <f t="shared" si="403"/>
        <v>1.1483979396066135E-2</v>
      </c>
      <c r="ER33">
        <f t="shared" si="404"/>
        <v>1.1340429653615314E-2</v>
      </c>
      <c r="ES33">
        <f t="shared" si="405"/>
        <v>1.1198674282945121E-2</v>
      </c>
      <c r="ET33">
        <f t="shared" si="406"/>
        <v>1.1058690854408304E-2</v>
      </c>
      <c r="EU33">
        <f t="shared" si="407"/>
        <v>1.0920457218728197E-2</v>
      </c>
      <c r="EV33">
        <f t="shared" si="408"/>
        <v>1.0783951503494094E-2</v>
      </c>
      <c r="EW33">
        <f t="shared" si="409"/>
        <v>1.0649152109700421E-2</v>
      </c>
      <c r="EX33">
        <f t="shared" si="410"/>
        <v>1.0516037708329162E-2</v>
      </c>
      <c r="EY33">
        <f t="shared" si="411"/>
        <v>1.0384587236975051E-2</v>
      </c>
      <c r="EZ33">
        <f t="shared" si="412"/>
        <v>1.0254779896512866E-2</v>
      </c>
      <c r="FA33">
        <f t="shared" si="413"/>
        <v>1.012659514780646E-2</v>
      </c>
      <c r="FB33">
        <f t="shared" si="414"/>
        <v>1.0000012708458883E-2</v>
      </c>
      <c r="FC33">
        <f t="shared" si="415"/>
        <v>9.8750125496031467E-3</v>
      </c>
      <c r="FD33">
        <f t="shared" si="416"/>
        <v>9.7515748927331052E-3</v>
      </c>
      <c r="FE33">
        <f t="shared" si="417"/>
        <v>9.6296802065739436E-3</v>
      </c>
      <c r="FF33">
        <f t="shared" si="418"/>
        <v>9.5093092039917667E-3</v>
      </c>
      <c r="FG33">
        <f t="shared" si="419"/>
        <v>9.3904428389418697E-3</v>
      </c>
      <c r="FH33">
        <f t="shared" si="420"/>
        <v>9.273062303455093E-3</v>
      </c>
      <c r="FI33">
        <f t="shared" si="421"/>
        <v>9.1571490246619043E-3</v>
      </c>
      <c r="FJ33">
        <f t="shared" si="422"/>
        <v>9.0426846618536279E-3</v>
      </c>
      <c r="FK33">
        <f t="shared" si="423"/>
        <v>8.9296511035804604E-3</v>
      </c>
      <c r="FL33">
        <f t="shared" si="424"/>
        <v>8.8180304647857092E-3</v>
      </c>
      <c r="FM33">
        <f t="shared" si="425"/>
        <v>8.7078050839758843E-3</v>
      </c>
      <c r="FN33">
        <f t="shared" si="426"/>
        <v>8.5989575204261873E-3</v>
      </c>
      <c r="FO33">
        <f t="shared" si="427"/>
        <v>8.4914705514208544E-3</v>
      </c>
      <c r="FP33">
        <f t="shared" si="428"/>
        <v>8.3853271695280892E-3</v>
      </c>
      <c r="FQ33">
        <f t="shared" si="429"/>
        <v>8.2805105799089833E-3</v>
      </c>
      <c r="FR33">
        <f t="shared" si="430"/>
        <v>8.1770041976601208E-3</v>
      </c>
      <c r="FS33">
        <f t="shared" si="431"/>
        <v>8.074791645189372E-3</v>
      </c>
      <c r="FT33">
        <f t="shared" si="432"/>
        <v>7.973856749624508E-3</v>
      </c>
      <c r="FU33">
        <f t="shared" si="433"/>
        <v>7.8741835402541989E-3</v>
      </c>
      <c r="FV33">
        <f t="shared" si="434"/>
        <v>7.7757562460010199E-3</v>
      </c>
      <c r="FW33">
        <f t="shared" si="435"/>
        <v>7.6785592929260018E-3</v>
      </c>
      <c r="FX33">
        <f t="shared" si="436"/>
        <v>7.582577301764426E-3</v>
      </c>
      <c r="FY33">
        <f t="shared" si="437"/>
        <v>7.487795085492366E-3</v>
      </c>
      <c r="FZ33">
        <f t="shared" si="438"/>
        <v>7.3941976469237055E-3</v>
      </c>
      <c r="GA33">
        <f t="shared" si="439"/>
        <v>7.3017701763371636E-3</v>
      </c>
      <c r="GB33">
        <f t="shared" si="440"/>
        <v>7.2104980491329521E-3</v>
      </c>
      <c r="GC33">
        <f t="shared" si="441"/>
        <v>7.1203668235187865E-3</v>
      </c>
      <c r="GD33">
        <f t="shared" si="442"/>
        <v>7.0313622382248029E-3</v>
      </c>
      <c r="GE33">
        <f t="shared" si="443"/>
        <v>6.9434702102469936E-3</v>
      </c>
      <c r="GF33">
        <f t="shared" si="444"/>
        <v>6.8566768326189017E-3</v>
      </c>
      <c r="GG33">
        <f t="shared" si="445"/>
        <v>6.7709683722111617E-3</v>
      </c>
      <c r="GH33">
        <f t="shared" si="446"/>
        <v>6.6863312675585207E-3</v>
      </c>
      <c r="GI33">
        <f t="shared" si="447"/>
        <v>6.6027521267140402E-3</v>
      </c>
      <c r="GJ33">
        <f t="shared" si="448"/>
        <v>6.5202177251301174E-3</v>
      </c>
      <c r="GK33">
        <f t="shared" si="449"/>
        <v>6.4387150035659872E-3</v>
      </c>
      <c r="GL33">
        <f t="shared" si="450"/>
        <v>6.3582310660214138E-3</v>
      </c>
      <c r="GM33">
        <f t="shared" si="451"/>
        <v>6.2787531776961501E-3</v>
      </c>
      <c r="GN33">
        <f t="shared" si="452"/>
        <v>6.2002687629749472E-3</v>
      </c>
      <c r="GO33">
        <f t="shared" si="453"/>
        <v>6.1227654034377577E-3</v>
      </c>
      <c r="GP33">
        <f t="shared" si="454"/>
        <v>6.0462308358947836E-3</v>
      </c>
      <c r="GQ33">
        <f t="shared" si="455"/>
        <v>5.9706529504460985E-3</v>
      </c>
      <c r="GR33">
        <f t="shared" si="456"/>
        <v>5.8960197885655208E-3</v>
      </c>
      <c r="GS33">
        <f t="shared" si="457"/>
        <v>5.8223195412084542E-3</v>
      </c>
      <c r="GT33">
        <f t="shared" si="458"/>
        <v>5.7495405469433439E-3</v>
      </c>
      <c r="GU33">
        <f t="shared" si="459"/>
        <v>5.6776712901065564E-3</v>
      </c>
      <c r="GV33">
        <f t="shared" si="460"/>
        <v>5.6067003989802248E-3</v>
      </c>
      <c r="GW33">
        <f t="shared" si="461"/>
        <v>5.5366166439929755E-3</v>
      </c>
      <c r="GX33">
        <f t="shared" si="462"/>
        <v>5.4674089359430635E-3</v>
      </c>
      <c r="GY33">
        <f t="shared" si="463"/>
        <v>5.3990663242437734E-3</v>
      </c>
      <c r="GZ33">
        <f t="shared" si="464"/>
        <v>5.3315779951907281E-3</v>
      </c>
      <c r="HA33">
        <f t="shared" si="465"/>
        <v>5.2649332702508489E-3</v>
      </c>
      <c r="HB33">
        <f t="shared" si="466"/>
        <v>5.1991216043727143E-3</v>
      </c>
      <c r="HC33">
        <f t="shared" si="467"/>
        <v>5.1341325843180519E-3</v>
      </c>
      <c r="HD33">
        <f t="shared" si="468"/>
        <v>5.0699559270140802E-3</v>
      </c>
      <c r="HE33">
        <f t="shared" si="469"/>
        <v>5.006581477926408E-3</v>
      </c>
      <c r="HF33">
        <f t="shared" si="470"/>
        <v>4.9439992094523324E-3</v>
      </c>
      <c r="HG33">
        <f t="shared" si="471"/>
        <v>4.8821992193341822E-3</v>
      </c>
      <c r="HH33">
        <f t="shared" si="472"/>
        <v>4.8211717290925103E-3</v>
      </c>
      <c r="HI33">
        <f t="shared" si="473"/>
        <v>4.7609070824788493E-3</v>
      </c>
      <c r="HJ33">
        <f t="shared" si="474"/>
        <v>4.7013957439478674E-3</v>
      </c>
      <c r="HK33">
        <f t="shared" si="475"/>
        <v>4.6426282971485213E-3</v>
      </c>
      <c r="HL33">
        <f t="shared" si="476"/>
        <v>4.5845954434341699E-3</v>
      </c>
      <c r="HM33">
        <f t="shared" si="477"/>
        <v>4.5272880003912382E-3</v>
      </c>
      <c r="HN33">
        <f t="shared" si="478"/>
        <v>4.4706969003863502E-3</v>
      </c>
      <c r="HO33">
        <f t="shared" si="479"/>
        <v>4.4148131891315169E-3</v>
      </c>
      <c r="HP33">
        <f t="shared" si="480"/>
        <v>4.3596280242673702E-3</v>
      </c>
      <c r="HQ33">
        <f t="shared" si="481"/>
        <v>4.3051326739640293E-3</v>
      </c>
      <c r="HR33">
        <f t="shared" si="482"/>
        <v>4.2513185155394814E-3</v>
      </c>
      <c r="HS33">
        <f t="shared" si="483"/>
        <v>4.1981770340952405E-3</v>
      </c>
      <c r="HT33">
        <f t="shared" si="484"/>
        <v>4.1456998211690469E-3</v>
      </c>
      <c r="HU33">
        <f t="shared" si="485"/>
        <v>4.0938785734044303E-3</v>
      </c>
      <c r="HV33">
        <f t="shared" si="486"/>
        <v>4.0427050912368754E-3</v>
      </c>
      <c r="HW33">
        <f t="shared" si="487"/>
        <v>3.9921712775964121E-3</v>
      </c>
      <c r="HX33">
        <f t="shared" si="488"/>
        <v>3.9422691366264532E-3</v>
      </c>
      <c r="HY33">
        <f t="shared" si="489"/>
        <v>3.8929907724186254E-3</v>
      </c>
      <c r="HZ33">
        <f t="shared" si="490"/>
        <v>3.8443283877633962E-3</v>
      </c>
      <c r="IA33">
        <f t="shared" si="491"/>
        <v>3.7962742829163567E-3</v>
      </c>
      <c r="IB33">
        <f t="shared" si="492"/>
        <v>3.7488208543798975E-3</v>
      </c>
      <c r="IC33">
        <f t="shared" si="493"/>
        <v>3.7019605937001487E-3</v>
      </c>
      <c r="ID33">
        <f t="shared" si="494"/>
        <v>3.6556860862788977E-3</v>
      </c>
      <c r="IE33">
        <f t="shared" si="495"/>
        <v>3.6099900102004147E-3</v>
      </c>
      <c r="IF33">
        <f t="shared" si="496"/>
        <v>3.5648651350729142E-3</v>
      </c>
      <c r="IG33">
        <f t="shared" si="497"/>
        <v>3.520304320884504E-3</v>
      </c>
      <c r="IH33">
        <f t="shared" si="498"/>
        <v>3.4763005168734428E-3</v>
      </c>
      <c r="II33">
        <f t="shared" si="499"/>
        <v>3.4328467604125223E-3</v>
      </c>
      <c r="IJ33">
        <f t="shared" si="500"/>
        <v>3.3899361759073708E-3</v>
      </c>
      <c r="IK33">
        <f t="shared" si="501"/>
        <v>3.3475619737085237E-3</v>
      </c>
      <c r="IL33">
        <f t="shared" si="502"/>
        <v>3.3057174490371708E-3</v>
      </c>
      <c r="IM33">
        <f t="shared" si="503"/>
        <v>3.2643959809242062E-3</v>
      </c>
      <c r="IN33">
        <f t="shared" si="504"/>
        <v>3.2235910311626537E-3</v>
      </c>
      <c r="IO33">
        <f t="shared" si="505"/>
        <v>3.1832961432731177E-3</v>
      </c>
      <c r="IP33">
        <f t="shared" si="506"/>
        <v>3.1435049414822005E-3</v>
      </c>
      <c r="IQ33">
        <f t="shared" si="507"/>
        <v>3.1042111297136742E-3</v>
      </c>
      <c r="IR33">
        <f t="shared" si="508"/>
        <v>3.0654084905922586E-3</v>
      </c>
      <c r="IS33">
        <f t="shared" si="509"/>
        <v>3.02709088445986E-3</v>
      </c>
      <c r="IT33">
        <f t="shared" si="510"/>
        <v>2.9892522484041063E-3</v>
      </c>
      <c r="IU33">
        <f t="shared" si="511"/>
        <v>2.9518865952990582E-3</v>
      </c>
      <c r="IV33">
        <f t="shared" si="512"/>
        <v>2.9149880128578219E-3</v>
      </c>
    </row>
    <row r="34" spans="1:256" x14ac:dyDescent="0.2">
      <c r="A34" t="s">
        <v>505</v>
      </c>
      <c r="B34">
        <f t="shared" si="258"/>
        <v>-9.4407337048075021E-3</v>
      </c>
      <c r="C34">
        <f t="shared" si="259"/>
        <v>-9.322724533497407E-3</v>
      </c>
      <c r="D34">
        <f t="shared" si="260"/>
        <v>-9.2061904768286906E-3</v>
      </c>
      <c r="E34">
        <f t="shared" si="261"/>
        <v>-9.0911130958683303E-3</v>
      </c>
      <c r="F34">
        <f t="shared" si="262"/>
        <v>-8.9774741821699762E-3</v>
      </c>
      <c r="G34">
        <f t="shared" si="263"/>
        <v>-8.8652557548928538E-3</v>
      </c>
      <c r="H34">
        <f t="shared" si="264"/>
        <v>-8.754440057956692E-3</v>
      </c>
      <c r="I34">
        <f t="shared" si="265"/>
        <v>-8.6450095572322312E-3</v>
      </c>
      <c r="J34">
        <f t="shared" si="266"/>
        <v>2.8993358175785057E-2</v>
      </c>
      <c r="K34">
        <f t="shared" si="267"/>
        <v>2.8630941198587744E-2</v>
      </c>
      <c r="L34">
        <f t="shared" si="268"/>
        <v>2.82730544336054E-2</v>
      </c>
      <c r="M34">
        <f t="shared" si="269"/>
        <v>2.7919641253185329E-2</v>
      </c>
      <c r="N34">
        <f t="shared" si="270"/>
        <v>2.7570645737520511E-2</v>
      </c>
      <c r="O34">
        <f t="shared" si="271"/>
        <v>2.7226012665801502E-2</v>
      </c>
      <c r="P34">
        <f t="shared" si="272"/>
        <v>2.6885687507478984E-2</v>
      </c>
      <c r="Q34">
        <f t="shared" si="273"/>
        <v>2.6549616413635495E-2</v>
      </c>
      <c r="R34">
        <f t="shared" si="274"/>
        <v>1.5817057750396935E-2</v>
      </c>
      <c r="S34">
        <f t="shared" si="275"/>
        <v>1.561934452851697E-2</v>
      </c>
      <c r="T34">
        <f t="shared" si="276"/>
        <v>1.5424102721910509E-2</v>
      </c>
      <c r="U34">
        <f t="shared" si="277"/>
        <v>1.5231301437886629E-2</v>
      </c>
      <c r="V34">
        <f t="shared" si="278"/>
        <v>1.5040910169913047E-2</v>
      </c>
      <c r="W34">
        <f t="shared" si="279"/>
        <v>1.4852898792789133E-2</v>
      </c>
      <c r="X34">
        <f t="shared" si="280"/>
        <v>1.466723755787927E-2</v>
      </c>
      <c r="Y34">
        <f t="shared" si="281"/>
        <v>1.4483897088405783E-2</v>
      </c>
      <c r="Z34">
        <f t="shared" si="282"/>
        <v>3.6218684504521039E-3</v>
      </c>
      <c r="AA34">
        <f t="shared" si="283"/>
        <v>3.5765950948214555E-3</v>
      </c>
      <c r="AB34">
        <f t="shared" si="284"/>
        <v>3.5318876561361901E-3</v>
      </c>
      <c r="AC34">
        <f t="shared" si="285"/>
        <v>3.4877390604344917E-3</v>
      </c>
      <c r="AD34">
        <f t="shared" si="286"/>
        <v>3.4441423221790559E-3</v>
      </c>
      <c r="AE34">
        <f t="shared" si="287"/>
        <v>3.4010905431518189E-3</v>
      </c>
      <c r="AF34">
        <f t="shared" si="288"/>
        <v>3.3585769113624207E-3</v>
      </c>
      <c r="AG34">
        <f t="shared" si="289"/>
        <v>3.3165946999703876E-3</v>
      </c>
      <c r="AH34">
        <f t="shared" si="290"/>
        <v>-3.7327657601068875E-3</v>
      </c>
      <c r="AI34">
        <f t="shared" si="291"/>
        <v>-3.6861061881055478E-3</v>
      </c>
      <c r="AJ34">
        <f t="shared" si="292"/>
        <v>-3.6400298607542291E-3</v>
      </c>
      <c r="AK34">
        <f t="shared" si="293"/>
        <v>-3.5945294874947962E-3</v>
      </c>
      <c r="AL34">
        <f t="shared" si="294"/>
        <v>-3.5495978689011167E-3</v>
      </c>
      <c r="AM34">
        <f t="shared" si="295"/>
        <v>-3.5052278955398477E-3</v>
      </c>
      <c r="AN34">
        <f t="shared" si="296"/>
        <v>-3.4614125468456049E-3</v>
      </c>
      <c r="AO34">
        <f t="shared" si="297"/>
        <v>-3.4181448900100385E-3</v>
      </c>
      <c r="AP34">
        <f t="shared" si="298"/>
        <v>-4.0346456897244289E-2</v>
      </c>
      <c r="AQ34">
        <f t="shared" si="299"/>
        <v>-3.9842126186028726E-2</v>
      </c>
      <c r="AR34">
        <f t="shared" si="300"/>
        <v>-3.9344099608703366E-2</v>
      </c>
      <c r="AS34">
        <f t="shared" si="301"/>
        <v>-3.8852298363594572E-2</v>
      </c>
      <c r="AT34">
        <f t="shared" si="302"/>
        <v>-3.8366644634049638E-2</v>
      </c>
      <c r="AU34">
        <f t="shared" si="303"/>
        <v>-3.7887061576124023E-2</v>
      </c>
      <c r="AV34">
        <f t="shared" si="304"/>
        <v>-3.7413473306422473E-2</v>
      </c>
      <c r="AW34">
        <f t="shared" si="305"/>
        <v>-3.6945804890092193E-2</v>
      </c>
      <c r="AX34">
        <f t="shared" si="306"/>
        <v>-3.6483982328966033E-2</v>
      </c>
      <c r="AY34">
        <f t="shared" si="307"/>
        <v>-3.602793254985396E-2</v>
      </c>
      <c r="AZ34">
        <f t="shared" si="308"/>
        <v>-3.5577583392980783E-2</v>
      </c>
      <c r="BA34">
        <f t="shared" si="309"/>
        <v>-3.5132863600568533E-2</v>
      </c>
      <c r="BB34">
        <f t="shared" si="310"/>
        <v>-3.4693702805561423E-2</v>
      </c>
      <c r="BC34">
        <f t="shared" si="311"/>
        <v>-3.426003152049191E-2</v>
      </c>
      <c r="BD34">
        <f t="shared" si="312"/>
        <v>-3.3831781126485758E-2</v>
      </c>
      <c r="BE34">
        <f t="shared" si="313"/>
        <v>-3.3408883862404683E-2</v>
      </c>
      <c r="BF34">
        <f t="shared" si="314"/>
        <v>-3.2991272814124631E-2</v>
      </c>
      <c r="BG34">
        <f t="shared" si="315"/>
        <v>-3.2578881903948066E-2</v>
      </c>
      <c r="BH34">
        <f t="shared" si="316"/>
        <v>-3.2171645880148717E-2</v>
      </c>
      <c r="BI34">
        <f t="shared" si="317"/>
        <v>-3.176950030664686E-2</v>
      </c>
      <c r="BJ34">
        <f t="shared" si="318"/>
        <v>-3.1372381552813765E-2</v>
      </c>
      <c r="BK34">
        <f t="shared" si="319"/>
        <v>-3.0980226783403599E-2</v>
      </c>
      <c r="BL34">
        <f t="shared" si="320"/>
        <v>-3.0592973948611046E-2</v>
      </c>
      <c r="BM34">
        <f t="shared" si="321"/>
        <v>-3.0210561774253408E-2</v>
      </c>
      <c r="BN34">
        <f t="shared" si="322"/>
        <v>-2.9832929752075243E-2</v>
      </c>
      <c r="BO34">
        <f t="shared" si="323"/>
        <v>-2.9460018130174303E-2</v>
      </c>
      <c r="BP34">
        <f t="shared" si="324"/>
        <v>-2.9091767903547117E-2</v>
      </c>
      <c r="BQ34">
        <f t="shared" si="325"/>
        <v>-2.8728120804752778E-2</v>
      </c>
      <c r="BR34">
        <f t="shared" si="326"/>
        <v>-2.8369019294693366E-2</v>
      </c>
      <c r="BS34">
        <f t="shared" si="327"/>
        <v>-2.8014406553509695E-2</v>
      </c>
      <c r="BT34">
        <f t="shared" si="328"/>
        <v>-2.7664226471590826E-2</v>
      </c>
      <c r="BU34">
        <f t="shared" si="329"/>
        <v>-2.7318423640695942E-2</v>
      </c>
      <c r="BV34">
        <f t="shared" si="330"/>
        <v>-2.6976943345187243E-2</v>
      </c>
      <c r="BW34">
        <f t="shared" si="331"/>
        <v>-2.6639731553372403E-2</v>
      </c>
      <c r="BX34">
        <f t="shared" si="332"/>
        <v>-2.6306734908955243E-2</v>
      </c>
      <c r="BY34">
        <f t="shared" si="333"/>
        <v>-2.5977900722593306E-2</v>
      </c>
      <c r="BZ34">
        <f t="shared" si="334"/>
        <v>-2.5653176963560887E-2</v>
      </c>
      <c r="CA34">
        <f t="shared" si="335"/>
        <v>-2.5332512251516382E-2</v>
      </c>
      <c r="CB34">
        <f t="shared" si="336"/>
        <v>-2.5015855848372424E-2</v>
      </c>
      <c r="CC34">
        <f t="shared" si="337"/>
        <v>-2.4703157650267767E-2</v>
      </c>
      <c r="CD34">
        <f t="shared" si="338"/>
        <v>-2.4394368179639421E-2</v>
      </c>
      <c r="CE34">
        <f t="shared" si="339"/>
        <v>-2.4089438577393932E-2</v>
      </c>
      <c r="CF34">
        <f t="shared" si="340"/>
        <v>-2.3788320595176507E-2</v>
      </c>
      <c r="CG34">
        <f t="shared" si="341"/>
        <v>-2.3490966587736802E-2</v>
      </c>
      <c r="CH34">
        <f t="shared" si="342"/>
        <v>-2.3197329505390094E-2</v>
      </c>
      <c r="CI34">
        <f t="shared" si="343"/>
        <v>-2.2907362886572715E-2</v>
      </c>
      <c r="CJ34">
        <f t="shared" si="344"/>
        <v>-2.2621020850490555E-2</v>
      </c>
      <c r="CK34">
        <f t="shared" si="345"/>
        <v>-2.2338258089859422E-2</v>
      </c>
      <c r="CL34">
        <f t="shared" si="346"/>
        <v>-2.2059029863736181E-2</v>
      </c>
      <c r="CM34">
        <f t="shared" si="347"/>
        <v>-2.1783291990439484E-2</v>
      </c>
      <c r="CN34">
        <f t="shared" si="348"/>
        <v>-2.1511000840558989E-2</v>
      </c>
      <c r="CO34">
        <f t="shared" si="349"/>
        <v>-2.1242113330052E-2</v>
      </c>
      <c r="CP34">
        <f t="shared" si="350"/>
        <v>-2.097658691342635E-2</v>
      </c>
      <c r="CQ34">
        <f t="shared" si="351"/>
        <v>-2.0714379577008522E-2</v>
      </c>
      <c r="CR34">
        <f t="shared" si="352"/>
        <v>-2.0455449832295917E-2</v>
      </c>
      <c r="CS34">
        <f t="shared" si="353"/>
        <v>-2.0199756709392218E-2</v>
      </c>
      <c r="CT34">
        <f t="shared" si="354"/>
        <v>-1.9947259750524811E-2</v>
      </c>
      <c r="CU34">
        <f t="shared" si="355"/>
        <v>-1.9697919003643254E-2</v>
      </c>
      <c r="CV34">
        <f t="shared" si="356"/>
        <v>-1.9451695016097711E-2</v>
      </c>
      <c r="CW34">
        <f t="shared" si="357"/>
        <v>-1.9208548828396489E-2</v>
      </c>
      <c r="CX34">
        <f t="shared" si="358"/>
        <v>-1.8968441968041535E-2</v>
      </c>
      <c r="CY34">
        <f t="shared" si="359"/>
        <v>-1.8731336443441018E-2</v>
      </c>
      <c r="CZ34">
        <f t="shared" si="360"/>
        <v>-1.8497194737898008E-2</v>
      </c>
      <c r="DA34">
        <f t="shared" si="361"/>
        <v>-1.8265979803674285E-2</v>
      </c>
      <c r="DB34">
        <f t="shared" si="362"/>
        <v>-1.8037655056128359E-2</v>
      </c>
      <c r="DC34">
        <f t="shared" si="363"/>
        <v>-1.781218436792675E-2</v>
      </c>
      <c r="DD34">
        <f t="shared" si="364"/>
        <v>-1.7589532063327664E-2</v>
      </c>
      <c r="DE34">
        <f t="shared" si="365"/>
        <v>-1.7369662912536069E-2</v>
      </c>
      <c r="DF34">
        <f t="shared" si="366"/>
        <v>-1.7152542126129371E-2</v>
      </c>
      <c r="DG34">
        <f t="shared" si="367"/>
        <v>-1.6938135349552755E-2</v>
      </c>
      <c r="DH34">
        <f t="shared" si="368"/>
        <v>-1.6726408657683347E-2</v>
      </c>
      <c r="DI34">
        <f t="shared" si="369"/>
        <v>-1.6517328549462303E-2</v>
      </c>
      <c r="DJ34">
        <f t="shared" si="370"/>
        <v>-1.6310861942594027E-2</v>
      </c>
      <c r="DK34">
        <f t="shared" si="371"/>
        <v>-1.6106976168311603E-2</v>
      </c>
      <c r="DL34">
        <f t="shared" si="372"/>
        <v>-1.5905638966207704E-2</v>
      </c>
      <c r="DM34">
        <f t="shared" si="373"/>
        <v>-1.5706818479130111E-2</v>
      </c>
      <c r="DN34">
        <f t="shared" si="374"/>
        <v>-1.5510483248140985E-2</v>
      </c>
      <c r="DO34">
        <f t="shared" si="375"/>
        <v>-1.5316602207539224E-2</v>
      </c>
      <c r="DP34">
        <f t="shared" si="376"/>
        <v>-1.5125144679944982E-2</v>
      </c>
      <c r="DQ34">
        <f t="shared" si="377"/>
        <v>-1.493608037144567E-2</v>
      </c>
      <c r="DR34">
        <f t="shared" si="378"/>
        <v>-1.4749379366802599E-2</v>
      </c>
      <c r="DS34">
        <f t="shared" si="379"/>
        <v>-1.4565012124717567E-2</v>
      </c>
      <c r="DT34">
        <f t="shared" si="380"/>
        <v>-1.4382949473158596E-2</v>
      </c>
      <c r="DU34">
        <f t="shared" si="381"/>
        <v>-1.4203162604744113E-2</v>
      </c>
      <c r="DV34">
        <f t="shared" si="382"/>
        <v>-1.4025623072184811E-2</v>
      </c>
      <c r="DW34">
        <f t="shared" si="383"/>
        <v>-1.3850302783782501E-2</v>
      </c>
      <c r="DX34">
        <f t="shared" si="384"/>
        <v>-1.367717399898522E-2</v>
      </c>
      <c r="DY34">
        <f t="shared" si="385"/>
        <v>-1.3506209323997907E-2</v>
      </c>
      <c r="DZ34">
        <f t="shared" si="386"/>
        <v>-1.3337381707447932E-2</v>
      </c>
      <c r="EA34">
        <f t="shared" si="387"/>
        <v>-1.3170664436104831E-2</v>
      </c>
      <c r="EB34">
        <f t="shared" si="388"/>
        <v>-1.300603113065352E-2</v>
      </c>
      <c r="EC34">
        <f t="shared" si="389"/>
        <v>-1.2843455741520352E-2</v>
      </c>
      <c r="ED34">
        <f t="shared" si="390"/>
        <v>-1.2682912544751346E-2</v>
      </c>
      <c r="EE34">
        <f t="shared" si="391"/>
        <v>-1.2524376137941953E-2</v>
      </c>
      <c r="EF34">
        <f t="shared" si="392"/>
        <v>-1.2367821436217679E-2</v>
      </c>
      <c r="EG34">
        <f t="shared" si="393"/>
        <v>-1.2213223668264958E-2</v>
      </c>
      <c r="EH34">
        <f t="shared" si="394"/>
        <v>-1.2060558372411646E-2</v>
      </c>
      <c r="EI34">
        <f t="shared" si="395"/>
        <v>-1.19098013927565E-2</v>
      </c>
      <c r="EJ34">
        <f t="shared" si="396"/>
        <v>-1.1760928875347043E-2</v>
      </c>
      <c r="EK34">
        <f t="shared" si="397"/>
        <v>-1.1613917264405204E-2</v>
      </c>
      <c r="EL34">
        <f t="shared" si="398"/>
        <v>-1.1468743298600139E-2</v>
      </c>
      <c r="EM34">
        <f t="shared" si="399"/>
        <v>-1.1325384007367639E-2</v>
      </c>
      <c r="EN34">
        <f t="shared" si="400"/>
        <v>-1.1183816707275543E-2</v>
      </c>
      <c r="EO34">
        <f t="shared" si="401"/>
        <v>-1.1044018998434598E-2</v>
      </c>
      <c r="EP34">
        <f t="shared" si="402"/>
        <v>-1.0905968760954166E-2</v>
      </c>
      <c r="EQ34">
        <f t="shared" si="403"/>
        <v>-1.0769644151442239E-2</v>
      </c>
      <c r="ER34">
        <f t="shared" si="404"/>
        <v>-1.0635023599549213E-2</v>
      </c>
      <c r="ES34">
        <f t="shared" si="405"/>
        <v>-1.0502085804554848E-2</v>
      </c>
      <c r="ET34">
        <f t="shared" si="406"/>
        <v>-1.0370809731997912E-2</v>
      </c>
      <c r="EU34">
        <f t="shared" si="407"/>
        <v>-1.0241174610347939E-2</v>
      </c>
      <c r="EV34">
        <f t="shared" si="408"/>
        <v>-1.0113159927718589E-2</v>
      </c>
      <c r="EW34">
        <f t="shared" si="409"/>
        <v>-9.9867454286221066E-3</v>
      </c>
      <c r="EX34">
        <f t="shared" si="410"/>
        <v>-9.8619111107643292E-3</v>
      </c>
      <c r="EY34">
        <f t="shared" si="411"/>
        <v>-9.7386372218797763E-3</v>
      </c>
      <c r="EZ34">
        <f t="shared" si="412"/>
        <v>-9.6169042566062787E-3</v>
      </c>
      <c r="FA34">
        <f t="shared" si="413"/>
        <v>-9.4966929533986996E-3</v>
      </c>
      <c r="FB34">
        <f t="shared" si="414"/>
        <v>-9.3779842914812166E-3</v>
      </c>
      <c r="FC34">
        <f t="shared" si="415"/>
        <v>-9.2607594878377029E-3</v>
      </c>
      <c r="FD34">
        <f t="shared" si="416"/>
        <v>-9.1449999942397296E-3</v>
      </c>
      <c r="FE34">
        <f t="shared" si="417"/>
        <v>-9.0306874943117347E-3</v>
      </c>
      <c r="FF34">
        <f t="shared" si="418"/>
        <v>-8.9178039006328376E-3</v>
      </c>
      <c r="FG34">
        <f t="shared" si="419"/>
        <v>-8.8063313518749273E-3</v>
      </c>
      <c r="FH34">
        <f t="shared" si="420"/>
        <v>-8.6962522099764909E-3</v>
      </c>
      <c r="FI34">
        <f t="shared" si="421"/>
        <v>-8.5875490573517847E-3</v>
      </c>
      <c r="FJ34">
        <f t="shared" si="422"/>
        <v>-8.4802046941348883E-3</v>
      </c>
      <c r="FK34">
        <f t="shared" si="423"/>
        <v>-8.3742021354582027E-3</v>
      </c>
      <c r="FL34">
        <f t="shared" si="424"/>
        <v>-8.2695246087649745E-3</v>
      </c>
      <c r="FM34">
        <f t="shared" si="425"/>
        <v>-8.1661555511554126E-3</v>
      </c>
      <c r="FN34">
        <f t="shared" si="426"/>
        <v>-8.0640786067659696E-3</v>
      </c>
      <c r="FO34">
        <f t="shared" si="427"/>
        <v>-7.9632776241813953E-3</v>
      </c>
      <c r="FP34">
        <f t="shared" si="428"/>
        <v>-7.8637366538791276E-3</v>
      </c>
      <c r="FQ34">
        <f t="shared" si="429"/>
        <v>-7.7654399457056378E-3</v>
      </c>
      <c r="FR34">
        <f t="shared" si="430"/>
        <v>-7.6683719463843166E-3</v>
      </c>
      <c r="FS34">
        <f t="shared" si="431"/>
        <v>-7.572517297054512E-3</v>
      </c>
      <c r="FT34">
        <f t="shared" si="432"/>
        <v>-7.4778608308413317E-3</v>
      </c>
      <c r="FU34">
        <f t="shared" si="433"/>
        <v>-7.3843875704558163E-3</v>
      </c>
      <c r="FV34">
        <f t="shared" si="434"/>
        <v>-7.2920827258251188E-3</v>
      </c>
      <c r="FW34">
        <f t="shared" si="435"/>
        <v>-7.2009316917523046E-3</v>
      </c>
      <c r="FX34">
        <f t="shared" si="436"/>
        <v>-7.1109200456054011E-3</v>
      </c>
      <c r="FY34">
        <f t="shared" si="437"/>
        <v>-7.0220335450353333E-3</v>
      </c>
      <c r="FZ34">
        <f t="shared" si="438"/>
        <v>-6.9342581257223921E-3</v>
      </c>
      <c r="GA34">
        <f t="shared" si="439"/>
        <v>-6.8475798991508626E-3</v>
      </c>
      <c r="GB34">
        <f t="shared" si="440"/>
        <v>-6.7619851504114757E-3</v>
      </c>
      <c r="GC34">
        <f t="shared" si="441"/>
        <v>-6.6774603360313326E-3</v>
      </c>
      <c r="GD34">
        <f t="shared" si="442"/>
        <v>-6.5939920818309404E-3</v>
      </c>
      <c r="GE34">
        <f t="shared" si="443"/>
        <v>-6.5115671808080536E-3</v>
      </c>
      <c r="GF34">
        <f t="shared" si="444"/>
        <v>-6.4301725910479533E-3</v>
      </c>
      <c r="GG34">
        <f t="shared" si="445"/>
        <v>-6.349795433659852E-3</v>
      </c>
      <c r="GH34">
        <f t="shared" si="446"/>
        <v>-6.2704229907391048E-3</v>
      </c>
      <c r="GI34">
        <f t="shared" si="447"/>
        <v>-6.1920427033548666E-3</v>
      </c>
      <c r="GJ34">
        <f t="shared" si="448"/>
        <v>-6.1146421695629314E-3</v>
      </c>
      <c r="GK34">
        <f t="shared" si="449"/>
        <v>-6.0382091424433931E-3</v>
      </c>
      <c r="GL34">
        <f t="shared" si="450"/>
        <v>-5.9627315281628509E-3</v>
      </c>
      <c r="GM34">
        <f t="shared" si="451"/>
        <v>-5.8881973840608139E-3</v>
      </c>
      <c r="GN34">
        <f t="shared" si="452"/>
        <v>-5.8145949167600543E-3</v>
      </c>
      <c r="GO34">
        <f t="shared" si="453"/>
        <v>-5.7419124803005537E-3</v>
      </c>
      <c r="GP34">
        <f t="shared" si="454"/>
        <v>-5.6701385742967958E-3</v>
      </c>
      <c r="GQ34">
        <f t="shared" si="455"/>
        <v>-5.5992618421180865E-3</v>
      </c>
      <c r="GR34">
        <f t="shared" si="456"/>
        <v>-5.5292710690916097E-3</v>
      </c>
      <c r="GS34">
        <f t="shared" si="457"/>
        <v>-5.460155180727966E-3</v>
      </c>
      <c r="GT34">
        <f t="shared" si="458"/>
        <v>-5.3919032409688646E-3</v>
      </c>
      <c r="GU34">
        <f t="shared" si="459"/>
        <v>-5.3245044504567542E-3</v>
      </c>
      <c r="GV34">
        <f t="shared" si="460"/>
        <v>-5.2579481448260437E-3</v>
      </c>
      <c r="GW34">
        <f t="shared" si="461"/>
        <v>-5.1922237930157183E-3</v>
      </c>
      <c r="GX34">
        <f t="shared" si="462"/>
        <v>-5.1273209956030213E-3</v>
      </c>
      <c r="GY34">
        <f t="shared" si="463"/>
        <v>-5.0632294831579831E-3</v>
      </c>
      <c r="GZ34">
        <f t="shared" si="464"/>
        <v>-4.9999391146185066E-3</v>
      </c>
      <c r="HA34">
        <f t="shared" si="465"/>
        <v>-4.9374398756857757E-3</v>
      </c>
      <c r="HB34">
        <f t="shared" si="466"/>
        <v>-4.8757218772397023E-3</v>
      </c>
      <c r="HC34">
        <f t="shared" si="467"/>
        <v>-4.8147753537742064E-3</v>
      </c>
      <c r="HD34">
        <f t="shared" si="468"/>
        <v>-4.7545906618520293E-3</v>
      </c>
      <c r="HE34">
        <f t="shared" si="469"/>
        <v>-4.6951582785788783E-3</v>
      </c>
      <c r="HF34">
        <f t="shared" si="470"/>
        <v>-4.6364688000966438E-3</v>
      </c>
      <c r="HG34">
        <f t="shared" si="471"/>
        <v>-4.5785129400954363E-3</v>
      </c>
      <c r="HH34">
        <f t="shared" si="472"/>
        <v>-4.5212815283442427E-3</v>
      </c>
      <c r="HI34">
        <f t="shared" si="473"/>
        <v>-4.46476550923994E-3</v>
      </c>
      <c r="HJ34">
        <f t="shared" si="474"/>
        <v>-4.4089559403744398E-3</v>
      </c>
      <c r="HK34">
        <f t="shared" si="475"/>
        <v>-4.3538439911197605E-3</v>
      </c>
      <c r="HL34">
        <f t="shared" si="476"/>
        <v>-4.2994209412307634E-3</v>
      </c>
      <c r="HM34">
        <f t="shared" si="477"/>
        <v>-4.2456781794653784E-3</v>
      </c>
      <c r="HN34">
        <f t="shared" si="478"/>
        <v>-4.1926072022220621E-3</v>
      </c>
      <c r="HO34">
        <f t="shared" si="479"/>
        <v>-4.1401996121942872E-3</v>
      </c>
      <c r="HP34">
        <f t="shared" si="480"/>
        <v>-4.0884471170418574E-3</v>
      </c>
      <c r="HQ34">
        <f t="shared" si="481"/>
        <v>-4.0373415280788331E-3</v>
      </c>
      <c r="HR34">
        <f t="shared" si="482"/>
        <v>-3.9868747589778489E-3</v>
      </c>
      <c r="HS34">
        <f t="shared" si="483"/>
        <v>-3.9370388244906272E-3</v>
      </c>
      <c r="HT34">
        <f t="shared" si="484"/>
        <v>-3.8878258391844946E-3</v>
      </c>
      <c r="HU34">
        <f t="shared" si="485"/>
        <v>-3.8392280161946872E-3</v>
      </c>
      <c r="HV34">
        <f t="shared" si="486"/>
        <v>-3.7912376659922529E-3</v>
      </c>
      <c r="HW34">
        <f t="shared" si="487"/>
        <v>-3.7438471951673491E-3</v>
      </c>
      <c r="HX34">
        <f t="shared" si="488"/>
        <v>-3.6970491052277566E-3</v>
      </c>
      <c r="HY34">
        <f t="shared" si="489"/>
        <v>-3.6508359914124099E-3</v>
      </c>
      <c r="HZ34">
        <f t="shared" si="490"/>
        <v>-3.6052005415197542E-3</v>
      </c>
      <c r="IA34">
        <f t="shared" si="491"/>
        <v>-3.5601355347507579E-3</v>
      </c>
      <c r="IB34">
        <f t="shared" si="492"/>
        <v>-3.5156338405663732E-3</v>
      </c>
      <c r="IC34">
        <f t="shared" si="493"/>
        <v>-3.4716884175592932E-3</v>
      </c>
      <c r="ID34">
        <f t="shared" si="494"/>
        <v>-3.4282923123398006E-3</v>
      </c>
      <c r="IE34">
        <f t="shared" si="495"/>
        <v>-3.3854386584355523E-3</v>
      </c>
      <c r="IF34">
        <f t="shared" si="496"/>
        <v>-3.3431206752051077E-3</v>
      </c>
      <c r="IG34">
        <f t="shared" si="497"/>
        <v>-3.3013316667650449E-3</v>
      </c>
      <c r="IH34">
        <f t="shared" si="498"/>
        <v>-3.2600650209304834E-3</v>
      </c>
      <c r="II34">
        <f t="shared" si="499"/>
        <v>-3.2193142081688524E-3</v>
      </c>
      <c r="IJ34">
        <f t="shared" si="500"/>
        <v>-3.1790727805667413E-3</v>
      </c>
      <c r="IK34">
        <f t="shared" si="501"/>
        <v>-3.139334370809657E-3</v>
      </c>
      <c r="IL34">
        <f t="shared" si="502"/>
        <v>-3.1000926911745356E-3</v>
      </c>
      <c r="IM34">
        <f t="shared" si="503"/>
        <v>-3.061341532534853E-3</v>
      </c>
      <c r="IN34">
        <f t="shared" si="504"/>
        <v>-3.0230747633781668E-3</v>
      </c>
      <c r="IO34">
        <f t="shared" si="505"/>
        <v>-2.98528632883594E-3</v>
      </c>
      <c r="IP34">
        <f t="shared" si="506"/>
        <v>-2.9479702497254901E-3</v>
      </c>
      <c r="IQ34">
        <f t="shared" si="507"/>
        <v>-2.9111206216039217E-3</v>
      </c>
      <c r="IR34">
        <f t="shared" si="508"/>
        <v>-2.8747316138338723E-3</v>
      </c>
      <c r="IS34">
        <f t="shared" si="509"/>
        <v>-2.83879746866095E-3</v>
      </c>
      <c r="IT34">
        <f t="shared" si="510"/>
        <v>-2.8033125003026878E-3</v>
      </c>
      <c r="IU34">
        <f t="shared" si="511"/>
        <v>-2.7682710940489046E-3</v>
      </c>
      <c r="IV34">
        <f t="shared" si="512"/>
        <v>-2.733667705373294E-3</v>
      </c>
    </row>
    <row r="35" spans="1:256" x14ac:dyDescent="0.2">
      <c r="A35" t="s">
        <v>506</v>
      </c>
      <c r="B35">
        <f t="shared" si="258"/>
        <v>-6.4730190464175885E-2</v>
      </c>
      <c r="C35">
        <f t="shared" si="259"/>
        <v>3.138268237347798E-2</v>
      </c>
      <c r="D35">
        <f t="shared" si="260"/>
        <v>3.0990398843809497E-2</v>
      </c>
      <c r="E35">
        <f t="shared" si="261"/>
        <v>3.0603018858261877E-2</v>
      </c>
      <c r="F35">
        <f t="shared" si="262"/>
        <v>3.0220481122533605E-2</v>
      </c>
      <c r="G35">
        <f t="shared" si="263"/>
        <v>2.9842725108501934E-2</v>
      </c>
      <c r="H35">
        <f t="shared" si="264"/>
        <v>2.9469691044645661E-2</v>
      </c>
      <c r="I35">
        <f t="shared" si="265"/>
        <v>2.9101319906587597E-2</v>
      </c>
      <c r="J35">
        <f t="shared" si="266"/>
        <v>-5.7632100014176027E-2</v>
      </c>
      <c r="K35">
        <f t="shared" si="267"/>
        <v>-5.6948535808136913E-2</v>
      </c>
      <c r="L35">
        <f t="shared" si="268"/>
        <v>-5.6280750580642712E-2</v>
      </c>
      <c r="M35">
        <f t="shared" si="269"/>
        <v>-5.5628145905724381E-2</v>
      </c>
      <c r="N35">
        <f t="shared" si="270"/>
        <v>-5.4990148883572967E-2</v>
      </c>
      <c r="O35">
        <f t="shared" si="271"/>
        <v>-5.4366211038939363E-2</v>
      </c>
      <c r="P35">
        <f t="shared" si="272"/>
        <v>-5.3755807263562758E-2</v>
      </c>
      <c r="Q35">
        <f t="shared" si="273"/>
        <v>-5.3158434800649412E-2</v>
      </c>
      <c r="R35">
        <f t="shared" si="274"/>
        <v>-4.7571787913035679E-2</v>
      </c>
      <c r="S35">
        <f t="shared" si="275"/>
        <v>-4.7074734311753116E-2</v>
      </c>
      <c r="T35">
        <f t="shared" si="276"/>
        <v>-4.6595060881598274E-2</v>
      </c>
      <c r="U35">
        <f t="shared" si="277"/>
        <v>-4.6131822061954854E-2</v>
      </c>
      <c r="V35">
        <f t="shared" si="278"/>
        <v>-4.5684122892032671E-2</v>
      </c>
      <c r="W35">
        <f t="shared" si="279"/>
        <v>-4.5251115819594831E-2</v>
      </c>
      <c r="X35">
        <f t="shared" si="280"/>
        <v>-4.4831997744656779E-2</v>
      </c>
      <c r="Y35">
        <f t="shared" si="281"/>
        <v>-4.4426007280717904E-2</v>
      </c>
      <c r="Z35">
        <f t="shared" si="282"/>
        <v>-2.6931482632411984E-2</v>
      </c>
      <c r="AA35">
        <f t="shared" si="283"/>
        <v>-2.635553974832084E-2</v>
      </c>
      <c r="AB35">
        <f t="shared" si="284"/>
        <v>-2.578993200102404E-2</v>
      </c>
      <c r="AC35">
        <f t="shared" si="285"/>
        <v>-2.5234330624304541E-2</v>
      </c>
      <c r="AD35">
        <f t="shared" si="286"/>
        <v>-2.4688441151327734E-2</v>
      </c>
      <c r="AE35">
        <f t="shared" si="287"/>
        <v>-2.415200011904E-2</v>
      </c>
      <c r="AF35">
        <f t="shared" si="288"/>
        <v>-2.3624772037659086E-2</v>
      </c>
      <c r="AG35">
        <f t="shared" si="289"/>
        <v>-2.310654660635254E-2</v>
      </c>
      <c r="AH35">
        <f t="shared" si="290"/>
        <v>1.2636183799061163E-2</v>
      </c>
      <c r="AI35">
        <f t="shared" si="291"/>
        <v>1.2834640933759555E-2</v>
      </c>
      <c r="AJ35">
        <f t="shared" si="292"/>
        <v>1.3039680058781778E-2</v>
      </c>
      <c r="AK35">
        <f t="shared" si="293"/>
        <v>1.3251475254770828E-2</v>
      </c>
      <c r="AL35">
        <f t="shared" si="294"/>
        <v>1.3470202085615635E-2</v>
      </c>
      <c r="AM35">
        <f t="shared" si="295"/>
        <v>1.3696038092606055E-2</v>
      </c>
      <c r="AN35">
        <f t="shared" si="296"/>
        <v>1.3929163246611975E-2</v>
      </c>
      <c r="AO35">
        <f t="shared" si="297"/>
        <v>1.4169760368105777E-2</v>
      </c>
      <c r="AP35">
        <f t="shared" si="298"/>
        <v>-4.9257628075536707E-2</v>
      </c>
      <c r="AQ35">
        <f t="shared" si="299"/>
        <v>-4.847267910322204E-2</v>
      </c>
      <c r="AR35">
        <f t="shared" si="300"/>
        <v>-4.7694224711864061E-2</v>
      </c>
      <c r="AS35">
        <f t="shared" si="301"/>
        <v>-4.6922189115251388E-2</v>
      </c>
      <c r="AT35">
        <f t="shared" si="302"/>
        <v>-4.6156495539718588E-2</v>
      </c>
      <c r="AU35">
        <f t="shared" si="303"/>
        <v>-4.5397066185028589E-2</v>
      </c>
      <c r="AV35">
        <f t="shared" si="304"/>
        <v>-4.464382219171302E-2</v>
      </c>
      <c r="AW35">
        <f t="shared" si="305"/>
        <v>-4.3896683614158008E-2</v>
      </c>
      <c r="AX35">
        <f t="shared" si="306"/>
        <v>-4.3155569398732135E-2</v>
      </c>
      <c r="AY35">
        <f t="shared" si="307"/>
        <v>-4.2572862209588939E-2</v>
      </c>
      <c r="AZ35">
        <f t="shared" si="308"/>
        <v>-4.1985513318847631E-2</v>
      </c>
      <c r="BA35">
        <f t="shared" si="309"/>
        <v>-4.1392988406862015E-2</v>
      </c>
      <c r="BB35">
        <f t="shared" si="310"/>
        <v>-4.0794694343119185E-2</v>
      </c>
      <c r="BC35">
        <f t="shared" si="311"/>
        <v>-4.0189971977601865E-2</v>
      </c>
      <c r="BD35">
        <f t="shared" si="312"/>
        <v>-3.9578087958628806E-2</v>
      </c>
      <c r="BE35">
        <f t="shared" si="313"/>
        <v>-3.8958225409144821E-2</v>
      </c>
      <c r="BF35">
        <f t="shared" si="314"/>
        <v>-3.8329473263098532E-2</v>
      </c>
      <c r="BG35">
        <f t="shared" si="315"/>
        <v>-3.769081402677639E-2</v>
      </c>
      <c r="BH35">
        <f t="shared" si="316"/>
        <v>-3.7041109685274118E-2</v>
      </c>
      <c r="BI35">
        <f t="shared" si="317"/>
        <v>-3.6379085419822613E-2</v>
      </c>
      <c r="BJ35">
        <f t="shared" si="318"/>
        <v>-3.5703472314372445E-2</v>
      </c>
      <c r="BK35">
        <f t="shared" si="319"/>
        <v>-3.5013194675216797E-2</v>
      </c>
      <c r="BL35">
        <f t="shared" si="320"/>
        <v>-3.4307042029339749E-2</v>
      </c>
      <c r="BM35">
        <f t="shared" si="321"/>
        <v>-3.3583655344347416E-2</v>
      </c>
      <c r="BN35">
        <f t="shared" si="322"/>
        <v>-3.2847747072505172E-2</v>
      </c>
      <c r="BO35">
        <f t="shared" si="323"/>
        <v>-3.210601713341258E-2</v>
      </c>
      <c r="BP35">
        <f t="shared" si="324"/>
        <v>-3.1357904975124994E-2</v>
      </c>
      <c r="BQ35">
        <f t="shared" si="325"/>
        <v>-3.0602824167986448E-2</v>
      </c>
      <c r="BR35">
        <f t="shared" si="326"/>
        <v>-2.9840159857882676E-2</v>
      </c>
      <c r="BS35">
        <f t="shared" si="327"/>
        <v>-2.9071114526991616E-2</v>
      </c>
      <c r="BT35">
        <f t="shared" si="328"/>
        <v>-2.8304895616869403E-2</v>
      </c>
      <c r="BU35">
        <f t="shared" si="329"/>
        <v>-2.7541116651822895E-2</v>
      </c>
      <c r="BV35">
        <f t="shared" si="330"/>
        <v>-2.6779420464037564E-2</v>
      </c>
      <c r="BW35">
        <f t="shared" si="331"/>
        <v>-2.6019466875932949E-2</v>
      </c>
      <c r="BX35">
        <f t="shared" si="332"/>
        <v>-2.5260915301539687E-2</v>
      </c>
      <c r="BY35">
        <f t="shared" si="333"/>
        <v>-2.450342457411938E-2</v>
      </c>
      <c r="BZ35">
        <f t="shared" si="334"/>
        <v>-2.3746652760929389E-2</v>
      </c>
      <c r="CA35">
        <f t="shared" si="335"/>
        <v>-2.2990256964451415E-2</v>
      </c>
      <c r="CB35">
        <f t="shared" si="336"/>
        <v>-2.2233893109351723E-2</v>
      </c>
      <c r="CC35">
        <f t="shared" si="337"/>
        <v>-2.147721571439646E-2</v>
      </c>
      <c r="CD35">
        <f t="shared" si="338"/>
        <v>-2.0719877648508453E-2</v>
      </c>
      <c r="CE35">
        <f t="shared" si="339"/>
        <v>-1.9961529870121255E-2</v>
      </c>
      <c r="CF35">
        <f t="shared" si="340"/>
        <v>-1.9201821148960584E-2</v>
      </c>
      <c r="CG35">
        <f t="shared" si="341"/>
        <v>-1.8440397769363657E-2</v>
      </c>
      <c r="CH35">
        <f t="shared" si="342"/>
        <v>-1.7676903214231026E-2</v>
      </c>
      <c r="CI35">
        <f t="shared" si="343"/>
        <v>-1.6910977828694003E-2</v>
      </c>
      <c r="CJ35">
        <f t="shared" si="344"/>
        <v>-1.6142258462572171E-2</v>
      </c>
      <c r="CK35">
        <f t="shared" si="345"/>
        <v>-1.5370378090689658E-2</v>
      </c>
      <c r="CL35">
        <f t="shared" si="346"/>
        <v>-1.4594965410114786E-2</v>
      </c>
      <c r="CM35">
        <f t="shared" si="347"/>
        <v>-1.3815644413385463E-2</v>
      </c>
      <c r="CN35">
        <f t="shared" si="348"/>
        <v>-1.3032033936780596E-2</v>
      </c>
      <c r="CO35">
        <f t="shared" si="349"/>
        <v>-1.2246877101126269E-2</v>
      </c>
      <c r="CP35">
        <f t="shared" si="350"/>
        <v>-1.1461010206662259E-2</v>
      </c>
      <c r="CQ35">
        <f t="shared" si="351"/>
        <v>-1.0674091450505064E-2</v>
      </c>
      <c r="CR35">
        <f t="shared" si="352"/>
        <v>-9.8857740856730658E-3</v>
      </c>
      <c r="CS35">
        <f t="shared" si="353"/>
        <v>-9.0957062158933902E-3</v>
      </c>
      <c r="CT35">
        <f t="shared" si="354"/>
        <v>-8.3035305602668138E-3</v>
      </c>
      <c r="CU35">
        <f t="shared" si="355"/>
        <v>-7.5088841883907739E-3</v>
      </c>
      <c r="CV35">
        <f t="shared" si="356"/>
        <v>-6.711398226528437E-3</v>
      </c>
      <c r="CW35">
        <f t="shared" si="357"/>
        <v>-5.9106975353937549E-3</v>
      </c>
      <c r="CX35">
        <f t="shared" si="358"/>
        <v>-5.1064098118475511E-3</v>
      </c>
      <c r="CY35">
        <f t="shared" si="359"/>
        <v>-4.2981653338620644E-3</v>
      </c>
      <c r="CZ35">
        <f t="shared" si="360"/>
        <v>-3.4855891938988526E-3</v>
      </c>
      <c r="DA35">
        <f t="shared" si="361"/>
        <v>-2.6683009611694784E-3</v>
      </c>
      <c r="DB35">
        <f t="shared" si="362"/>
        <v>-1.8459143208574447E-3</v>
      </c>
      <c r="DC35">
        <f t="shared" si="363"/>
        <v>-1.0180366911067829E-3</v>
      </c>
      <c r="DD35">
        <f t="shared" si="364"/>
        <v>-1.8426881855308498E-4</v>
      </c>
      <c r="DE35">
        <f t="shared" si="365"/>
        <v>6.5579564686388812E-4</v>
      </c>
      <c r="DF35">
        <f t="shared" si="366"/>
        <v>1.502570597105668E-3</v>
      </c>
      <c r="DG35">
        <f t="shared" si="367"/>
        <v>2.3564779306027737E-3</v>
      </c>
      <c r="DH35">
        <f t="shared" si="368"/>
        <v>3.2179480355765178E-3</v>
      </c>
      <c r="DI35">
        <f t="shared" si="369"/>
        <v>4.0874202915572918E-3</v>
      </c>
      <c r="DJ35">
        <f t="shared" si="370"/>
        <v>4.9653435885961827E-3</v>
      </c>
      <c r="DK35">
        <f t="shared" si="371"/>
        <v>5.8521768637241622E-3</v>
      </c>
      <c r="DL35">
        <f t="shared" si="372"/>
        <v>6.7483896542718247E-3</v>
      </c>
      <c r="DM35">
        <f t="shared" si="373"/>
        <v>7.6544626677252257E-3</v>
      </c>
      <c r="DN35">
        <f t="shared" si="374"/>
        <v>8.5708883678564489E-3</v>
      </c>
      <c r="DO35">
        <f t="shared" si="375"/>
        <v>9.4981715769338788E-3</v>
      </c>
      <c r="DP35">
        <f t="shared" si="376"/>
        <v>1.0436830093883071E-2</v>
      </c>
      <c r="DQ35">
        <f t="shared" si="377"/>
        <v>1.1387395328338629E-2</v>
      </c>
      <c r="DR35">
        <f t="shared" si="378"/>
        <v>1.2350412950595368E-2</v>
      </c>
      <c r="DS35">
        <f t="shared" si="379"/>
        <v>1.332644355753842E-2</v>
      </c>
      <c r="DT35">
        <f t="shared" si="380"/>
        <v>1.4316063354701652E-2</v>
      </c>
      <c r="DU35">
        <f t="shared" si="381"/>
        <v>1.5319864854675602E-2</v>
      </c>
      <c r="DV35">
        <f t="shared" si="382"/>
        <v>1.6338457592156908E-2</v>
      </c>
      <c r="DW35">
        <f t="shared" si="383"/>
        <v>1.7372468856003638E-2</v>
      </c>
      <c r="DX35">
        <f t="shared" si="384"/>
        <v>1.8422544438731488E-2</v>
      </c>
      <c r="DY35">
        <f t="shared" si="385"/>
        <v>1.9489349403958182E-2</v>
      </c>
      <c r="DZ35">
        <f t="shared" si="386"/>
        <v>2.0573568872373854E-2</v>
      </c>
      <c r="EA35">
        <f t="shared" si="387"/>
        <v>2.1675908826887174E-2</v>
      </c>
      <c r="EB35">
        <f t="shared" si="388"/>
        <v>2.2797096937665972E-2</v>
      </c>
      <c r="EC35">
        <f t="shared" si="389"/>
        <v>2.393788340786332E-2</v>
      </c>
      <c r="ED35">
        <f t="shared" si="390"/>
        <v>2.509904184088773E-2</v>
      </c>
      <c r="EE35">
        <f t="shared" si="391"/>
        <v>2.6249974020376578E-2</v>
      </c>
      <c r="EF35">
        <f t="shared" si="392"/>
        <v>2.7389149760030311E-2</v>
      </c>
      <c r="EG35">
        <f t="shared" si="393"/>
        <v>2.8516357158385047E-2</v>
      </c>
      <c r="EH35">
        <f t="shared" si="394"/>
        <v>2.9631393411454189E-2</v>
      </c>
      <c r="EI35">
        <f t="shared" si="395"/>
        <v>3.0734064747565199E-2</v>
      </c>
      <c r="EJ35">
        <f t="shared" si="396"/>
        <v>3.1824186354866883E-2</v>
      </c>
      <c r="EK35">
        <f t="shared" si="397"/>
        <v>3.2901582301947771E-2</v>
      </c>
      <c r="EL35">
        <f t="shared" si="398"/>
        <v>3.3966085451990473E-2</v>
      </c>
      <c r="EM35">
        <f t="shared" si="399"/>
        <v>3.5017537370874728E-2</v>
      </c>
      <c r="EN35">
        <f t="shared" si="400"/>
        <v>3.6055788229627336E-2</v>
      </c>
      <c r="EO35">
        <f t="shared" si="401"/>
        <v>3.7080696701604243E-2</v>
      </c>
      <c r="EP35">
        <f t="shared" si="402"/>
        <v>3.8092129854777265E-2</v>
      </c>
      <c r="EQ35">
        <f t="shared" si="403"/>
        <v>3.9089963039483935E-2</v>
      </c>
      <c r="ER35">
        <f t="shared" si="404"/>
        <v>4.0074079771987042E-2</v>
      </c>
      <c r="ES35">
        <f t="shared" si="405"/>
        <v>4.1044371614177427E-2</v>
      </c>
      <c r="ET35">
        <f t="shared" si="406"/>
        <v>4.2000738049741061E-2</v>
      </c>
      <c r="EU35">
        <f t="shared" si="407"/>
        <v>4.2943086357099904E-2</v>
      </c>
      <c r="EV35">
        <f t="shared" si="408"/>
        <v>4.3871331479422987E-2</v>
      </c>
      <c r="EW35">
        <f t="shared" si="409"/>
        <v>4.4785395891993575E-2</v>
      </c>
      <c r="EX35">
        <f t="shared" si="410"/>
        <v>4.5685209467206465E-2</v>
      </c>
      <c r="EY35">
        <f t="shared" si="411"/>
        <v>4.6570709337457258E-2</v>
      </c>
      <c r="EZ35">
        <f t="shared" si="412"/>
        <v>4.7441839756176475E-2</v>
      </c>
      <c r="FA35">
        <f t="shared" si="413"/>
        <v>4.7166741597709408E-2</v>
      </c>
      <c r="FB35">
        <f t="shared" si="414"/>
        <v>4.6577157327738039E-2</v>
      </c>
      <c r="FC35">
        <f t="shared" si="415"/>
        <v>4.5994942861141322E-2</v>
      </c>
      <c r="FD35">
        <f t="shared" si="416"/>
        <v>4.5420006075377051E-2</v>
      </c>
      <c r="FE35">
        <f t="shared" si="417"/>
        <v>4.4852255999434841E-2</v>
      </c>
      <c r="FF35">
        <f t="shared" si="418"/>
        <v>4.4291602799441908E-2</v>
      </c>
      <c r="FG35">
        <f t="shared" si="419"/>
        <v>4.3737957764448887E-2</v>
      </c>
      <c r="FH35">
        <f t="shared" si="420"/>
        <v>4.3191233292393272E-2</v>
      </c>
      <c r="FI35">
        <f t="shared" si="421"/>
        <v>4.2651342876238355E-2</v>
      </c>
      <c r="FJ35">
        <f t="shared" si="422"/>
        <v>4.211820109028537E-2</v>
      </c>
      <c r="FK35">
        <f t="shared" si="423"/>
        <v>4.1591723576656803E-2</v>
      </c>
      <c r="FL35">
        <f t="shared" si="424"/>
        <v>4.1071827031948595E-2</v>
      </c>
      <c r="FM35">
        <f t="shared" si="425"/>
        <v>4.0558429194049242E-2</v>
      </c>
      <c r="FN35">
        <f t="shared" si="426"/>
        <v>4.0051448829123627E-2</v>
      </c>
      <c r="FO35">
        <f t="shared" si="427"/>
        <v>3.9550805718759588E-2</v>
      </c>
      <c r="FP35">
        <f t="shared" si="428"/>
        <v>3.9056420647275089E-2</v>
      </c>
      <c r="FQ35">
        <f t="shared" si="429"/>
        <v>3.856821538918416E-2</v>
      </c>
      <c r="FR35">
        <f t="shared" si="430"/>
        <v>3.8086112696819351E-2</v>
      </c>
      <c r="FS35">
        <f t="shared" si="431"/>
        <v>3.7610036288109105E-2</v>
      </c>
      <c r="FT35">
        <f t="shared" si="432"/>
        <v>3.7139910834507739E-2</v>
      </c>
      <c r="FU35">
        <f t="shared" si="433"/>
        <v>3.6675661949076385E-2</v>
      </c>
      <c r="FV35">
        <f t="shared" si="434"/>
        <v>3.6217216174712928E-2</v>
      </c>
      <c r="FW35">
        <f t="shared" si="435"/>
        <v>3.576450097252902E-2</v>
      </c>
      <c r="FX35">
        <f t="shared" si="436"/>
        <v>3.5317444710372417E-2</v>
      </c>
      <c r="FY35">
        <f t="shared" si="437"/>
        <v>3.4875976651492759E-2</v>
      </c>
      <c r="FZ35">
        <f t="shared" si="438"/>
        <v>3.4440026943349099E-2</v>
      </c>
      <c r="GA35">
        <f t="shared" si="439"/>
        <v>3.400952660655724E-2</v>
      </c>
      <c r="GB35">
        <f t="shared" si="440"/>
        <v>3.358440752397527E-2</v>
      </c>
      <c r="GC35">
        <f t="shared" si="441"/>
        <v>3.3164602429925583E-2</v>
      </c>
      <c r="GD35">
        <f t="shared" si="442"/>
        <v>3.2750044899551509E-2</v>
      </c>
      <c r="GE35">
        <f t="shared" si="443"/>
        <v>3.2340669338307114E-2</v>
      </c>
      <c r="GF35">
        <f t="shared" si="444"/>
        <v>3.1936410971578275E-2</v>
      </c>
      <c r="GG35">
        <f t="shared" si="445"/>
        <v>3.1537205834433549E-2</v>
      </c>
      <c r="GH35">
        <f t="shared" si="446"/>
        <v>3.114299076150313E-2</v>
      </c>
      <c r="GI35">
        <f t="shared" si="447"/>
        <v>3.0753703376984343E-2</v>
      </c>
      <c r="GJ35">
        <f t="shared" si="448"/>
        <v>3.0369282084772041E-2</v>
      </c>
      <c r="GK35">
        <f t="shared" si="449"/>
        <v>2.9989666058712394E-2</v>
      </c>
      <c r="GL35">
        <f t="shared" si="450"/>
        <v>2.9614795232978487E-2</v>
      </c>
      <c r="GM35">
        <f t="shared" si="451"/>
        <v>2.9244610292566253E-2</v>
      </c>
      <c r="GN35">
        <f t="shared" si="452"/>
        <v>2.8879052663909176E-2</v>
      </c>
      <c r="GO35">
        <f t="shared" si="453"/>
        <v>2.8518064505610306E-2</v>
      </c>
      <c r="GP35">
        <f t="shared" si="454"/>
        <v>2.8161588699290176E-2</v>
      </c>
      <c r="GQ35">
        <f t="shared" si="455"/>
        <v>2.7809568840549047E-2</v>
      </c>
      <c r="GR35">
        <f t="shared" si="456"/>
        <v>2.7461949230042183E-2</v>
      </c>
      <c r="GS35">
        <f t="shared" si="457"/>
        <v>2.711867486466666E-2</v>
      </c>
      <c r="GT35">
        <f t="shared" si="458"/>
        <v>2.6779691428858322E-2</v>
      </c>
      <c r="GU35">
        <f t="shared" si="459"/>
        <v>2.6444945285997591E-2</v>
      </c>
      <c r="GV35">
        <f t="shared" si="460"/>
        <v>2.611438346992262E-2</v>
      </c>
      <c r="GW35">
        <f t="shared" si="461"/>
        <v>2.578795367654859E-2</v>
      </c>
      <c r="GX35">
        <f t="shared" si="462"/>
        <v>2.5465604255591735E-2</v>
      </c>
      <c r="GY35">
        <f t="shared" si="463"/>
        <v>2.5147284202396834E-2</v>
      </c>
      <c r="GZ35">
        <f t="shared" si="464"/>
        <v>2.4832943149866872E-2</v>
      </c>
      <c r="HA35">
        <f t="shared" si="465"/>
        <v>2.4522531360493538E-2</v>
      </c>
      <c r="HB35">
        <f t="shared" si="466"/>
        <v>2.4215999718487369E-2</v>
      </c>
      <c r="HC35">
        <f t="shared" si="467"/>
        <v>2.3913299722006277E-2</v>
      </c>
      <c r="HD35">
        <f t="shared" si="468"/>
        <v>2.3614383475481192E-2</v>
      </c>
      <c r="HE35">
        <f t="shared" si="469"/>
        <v>2.331920368203768E-2</v>
      </c>
      <c r="HF35">
        <f t="shared" si="470"/>
        <v>2.3027713636012213E-2</v>
      </c>
      <c r="HG35">
        <f t="shared" si="471"/>
        <v>2.2739867215562058E-2</v>
      </c>
      <c r="HH35">
        <f t="shared" si="472"/>
        <v>2.2455618875367532E-2</v>
      </c>
      <c r="HI35">
        <f t="shared" si="473"/>
        <v>2.2174923639425435E-2</v>
      </c>
      <c r="HJ35">
        <f t="shared" si="474"/>
        <v>2.1897737093932623E-2</v>
      </c>
      <c r="HK35">
        <f t="shared" si="475"/>
        <v>2.1624015380258467E-2</v>
      </c>
      <c r="HL35">
        <f t="shared" si="476"/>
        <v>2.1353715188005239E-2</v>
      </c>
      <c r="HM35">
        <f t="shared" si="477"/>
        <v>2.1086793748155176E-2</v>
      </c>
      <c r="HN35">
        <f t="shared" si="478"/>
        <v>2.082320882630323E-2</v>
      </c>
      <c r="HO35">
        <f t="shared" si="479"/>
        <v>2.0562918715974442E-2</v>
      </c>
      <c r="HP35">
        <f t="shared" si="480"/>
        <v>2.0305882232024765E-2</v>
      </c>
      <c r="HQ35">
        <f t="shared" si="481"/>
        <v>2.0052058704124454E-2</v>
      </c>
      <c r="HR35">
        <f t="shared" si="482"/>
        <v>1.9801407970322892E-2</v>
      </c>
      <c r="HS35">
        <f t="shared" si="483"/>
        <v>1.9553890370693862E-2</v>
      </c>
      <c r="HT35">
        <f t="shared" si="484"/>
        <v>1.930946674106019E-2</v>
      </c>
      <c r="HU35">
        <f t="shared" si="485"/>
        <v>1.9068098406796942E-2</v>
      </c>
      <c r="HV35">
        <f t="shared" si="486"/>
        <v>1.8829747176711976E-2</v>
      </c>
      <c r="HW35">
        <f t="shared" si="487"/>
        <v>1.8594375337003078E-2</v>
      </c>
      <c r="HX35">
        <f t="shared" si="488"/>
        <v>1.8361945645290534E-2</v>
      </c>
      <c r="HY35">
        <f t="shared" si="489"/>
        <v>1.8132421324724403E-2</v>
      </c>
      <c r="HZ35">
        <f t="shared" si="490"/>
        <v>1.7905766058165351E-2</v>
      </c>
      <c r="IA35">
        <f t="shared" si="491"/>
        <v>1.7681943982438286E-2</v>
      </c>
      <c r="IB35">
        <f t="shared" si="492"/>
        <v>1.7460919682657804E-2</v>
      </c>
      <c r="IC35">
        <f t="shared" si="493"/>
        <v>1.7242658186624581E-2</v>
      </c>
      <c r="ID35">
        <f t="shared" si="494"/>
        <v>1.7027124959291772E-2</v>
      </c>
      <c r="IE35">
        <f t="shared" si="495"/>
        <v>1.6814285897300628E-2</v>
      </c>
      <c r="IF35">
        <f t="shared" si="496"/>
        <v>1.6604107323584371E-2</v>
      </c>
      <c r="IG35">
        <f t="shared" si="497"/>
        <v>1.6396555982039561E-2</v>
      </c>
      <c r="IH35">
        <f t="shared" si="498"/>
        <v>1.6191599032264071E-2</v>
      </c>
      <c r="II35">
        <f t="shared" si="499"/>
        <v>1.5989204044360772E-2</v>
      </c>
      <c r="IJ35">
        <f t="shared" si="500"/>
        <v>1.5789338993806256E-2</v>
      </c>
      <c r="IK35">
        <f t="shared" si="501"/>
        <v>1.5591972256383679E-2</v>
      </c>
      <c r="IL35">
        <f t="shared" si="502"/>
        <v>1.5397072603178885E-2</v>
      </c>
      <c r="IM35">
        <f t="shared" si="503"/>
        <v>1.5204609195639152E-2</v>
      </c>
      <c r="IN35">
        <f t="shared" si="504"/>
        <v>1.5014551580693657E-2</v>
      </c>
      <c r="IO35">
        <f t="shared" si="505"/>
        <v>1.4826869685934985E-2</v>
      </c>
      <c r="IP35">
        <f t="shared" si="506"/>
        <v>1.4641533814860797E-2</v>
      </c>
      <c r="IQ35">
        <f t="shared" si="507"/>
        <v>1.4458514642175036E-2</v>
      </c>
      <c r="IR35">
        <f t="shared" si="508"/>
        <v>1.4277783209147844E-2</v>
      </c>
      <c r="IS35">
        <f t="shared" si="509"/>
        <v>1.4099310919033492E-2</v>
      </c>
      <c r="IT35">
        <f t="shared" si="510"/>
        <v>1.3923069532545573E-2</v>
      </c>
      <c r="IU35">
        <f t="shared" si="511"/>
        <v>1.3749031163388759E-2</v>
      </c>
      <c r="IV35">
        <f t="shared" si="512"/>
        <v>1.3577168273846396E-2</v>
      </c>
    </row>
    <row r="36" spans="1:256" x14ac:dyDescent="0.2">
      <c r="A36" t="s">
        <v>507</v>
      </c>
      <c r="B36">
        <f t="shared" si="258"/>
        <v>-4.9278371334694482E-3</v>
      </c>
      <c r="C36">
        <f t="shared" si="259"/>
        <v>-4.8662391693010789E-3</v>
      </c>
      <c r="D36">
        <f t="shared" si="260"/>
        <v>-4.8054111796848155E-3</v>
      </c>
      <c r="E36">
        <f t="shared" si="261"/>
        <v>-4.7453435399387508E-3</v>
      </c>
      <c r="F36">
        <f t="shared" si="262"/>
        <v>-4.6860267456895199E-3</v>
      </c>
      <c r="G36">
        <f t="shared" si="263"/>
        <v>-4.6274514113683997E-3</v>
      </c>
      <c r="H36">
        <f t="shared" si="264"/>
        <v>-4.5696082687262992E-3</v>
      </c>
      <c r="I36">
        <f t="shared" si="265"/>
        <v>-4.5124881653672236E-3</v>
      </c>
      <c r="J36">
        <f t="shared" si="266"/>
        <v>4.235474352295697E-2</v>
      </c>
      <c r="K36">
        <f t="shared" si="267"/>
        <v>4.1825309228920013E-2</v>
      </c>
      <c r="L36">
        <f t="shared" si="268"/>
        <v>4.1302492863558513E-2</v>
      </c>
      <c r="M36">
        <f t="shared" si="269"/>
        <v>4.078621170276403E-2</v>
      </c>
      <c r="N36">
        <f t="shared" si="270"/>
        <v>4.0276384056479472E-2</v>
      </c>
      <c r="O36">
        <f t="shared" si="271"/>
        <v>3.9772929255773484E-2</v>
      </c>
      <c r="P36">
        <f t="shared" si="272"/>
        <v>3.9275767640076308E-2</v>
      </c>
      <c r="Q36">
        <f t="shared" si="273"/>
        <v>3.8784820544575362E-2</v>
      </c>
      <c r="R36">
        <f t="shared" si="274"/>
        <v>-4.5321640884746051E-2</v>
      </c>
      <c r="S36">
        <f t="shared" si="275"/>
        <v>-4.475512037368673E-2</v>
      </c>
      <c r="T36">
        <f t="shared" si="276"/>
        <v>-4.4195681369015652E-2</v>
      </c>
      <c r="U36">
        <f t="shared" si="277"/>
        <v>-4.3643235351902954E-2</v>
      </c>
      <c r="V36">
        <f t="shared" si="278"/>
        <v>-4.3097694910004168E-2</v>
      </c>
      <c r="W36">
        <f t="shared" si="279"/>
        <v>-4.2558973723629115E-2</v>
      </c>
      <c r="X36">
        <f t="shared" si="280"/>
        <v>-4.2026986552083742E-2</v>
      </c>
      <c r="Y36">
        <f t="shared" si="281"/>
        <v>-4.15016492201827E-2</v>
      </c>
      <c r="Z36">
        <f t="shared" si="282"/>
        <v>-3.098287860493042E-2</v>
      </c>
      <c r="AA36">
        <f t="shared" si="283"/>
        <v>-3.0595592622368793E-2</v>
      </c>
      <c r="AB36">
        <f t="shared" si="284"/>
        <v>-3.0213147714589182E-2</v>
      </c>
      <c r="AC36">
        <f t="shared" si="285"/>
        <v>-2.9835483368156817E-2</v>
      </c>
      <c r="AD36">
        <f t="shared" si="286"/>
        <v>-2.9462539826054856E-2</v>
      </c>
      <c r="AE36">
        <f t="shared" si="287"/>
        <v>-2.9094258078229168E-2</v>
      </c>
      <c r="AF36">
        <f t="shared" si="288"/>
        <v>-2.8730579852251303E-2</v>
      </c>
      <c r="AG36">
        <f t="shared" si="289"/>
        <v>-2.8371447604098161E-2</v>
      </c>
      <c r="AH36">
        <f t="shared" si="290"/>
        <v>3.7218582106796293E-3</v>
      </c>
      <c r="AI36">
        <f t="shared" si="291"/>
        <v>3.6753349830461355E-3</v>
      </c>
      <c r="AJ36">
        <f t="shared" si="292"/>
        <v>3.6293932957580598E-3</v>
      </c>
      <c r="AK36">
        <f t="shared" si="293"/>
        <v>3.584025879561087E-3</v>
      </c>
      <c r="AL36">
        <f t="shared" si="294"/>
        <v>3.5392255560665721E-3</v>
      </c>
      <c r="AM36">
        <f t="shared" si="295"/>
        <v>3.4949852366157387E-3</v>
      </c>
      <c r="AN36">
        <f t="shared" si="296"/>
        <v>3.4512979211580421E-3</v>
      </c>
      <c r="AO36">
        <f t="shared" si="297"/>
        <v>3.4081566971435663E-3</v>
      </c>
      <c r="AP36">
        <f t="shared" si="298"/>
        <v>5.1626892018702721E-2</v>
      </c>
      <c r="AQ36">
        <f t="shared" si="299"/>
        <v>5.0981555868468934E-2</v>
      </c>
      <c r="AR36">
        <f t="shared" si="300"/>
        <v>5.0344286420113071E-2</v>
      </c>
      <c r="AS36">
        <f t="shared" si="301"/>
        <v>4.9714982839861657E-2</v>
      </c>
      <c r="AT36">
        <f t="shared" si="302"/>
        <v>4.9093545554363384E-2</v>
      </c>
      <c r="AU36">
        <f t="shared" si="303"/>
        <v>4.8479876234933841E-2</v>
      </c>
      <c r="AV36">
        <f t="shared" si="304"/>
        <v>4.7873877781997164E-2</v>
      </c>
      <c r="AW36">
        <f t="shared" si="305"/>
        <v>4.7275454309722201E-2</v>
      </c>
      <c r="AX36">
        <f t="shared" si="306"/>
        <v>4.6684503604700014E-2</v>
      </c>
      <c r="AY36">
        <f t="shared" si="307"/>
        <v>4.610094730964126E-2</v>
      </c>
      <c r="AZ36">
        <f t="shared" si="308"/>
        <v>4.5524685468270744E-2</v>
      </c>
      <c r="BA36">
        <f t="shared" si="309"/>
        <v>4.4955626899917354E-2</v>
      </c>
      <c r="BB36">
        <f t="shared" si="310"/>
        <v>4.4393681563668387E-2</v>
      </c>
      <c r="BC36">
        <f t="shared" si="311"/>
        <v>4.3838760544122536E-2</v>
      </c>
      <c r="BD36">
        <f t="shared" si="312"/>
        <v>4.3290776037320997E-2</v>
      </c>
      <c r="BE36">
        <f t="shared" si="313"/>
        <v>4.274964133685448E-2</v>
      </c>
      <c r="BF36">
        <f t="shared" si="314"/>
        <v>4.2215270820143799E-2</v>
      </c>
      <c r="BG36">
        <f t="shared" si="315"/>
        <v>4.1687579934892006E-2</v>
      </c>
      <c r="BH36">
        <f t="shared" si="316"/>
        <v>4.1166485185705856E-2</v>
      </c>
      <c r="BI36">
        <f t="shared" si="317"/>
        <v>4.0651904120884541E-2</v>
      </c>
      <c r="BJ36">
        <f t="shared" si="318"/>
        <v>4.0143755319373489E-2</v>
      </c>
      <c r="BK36">
        <f t="shared" si="319"/>
        <v>3.9641958377881314E-2</v>
      </c>
      <c r="BL36">
        <f t="shared" si="320"/>
        <v>3.9146433898157793E-2</v>
      </c>
      <c r="BM36">
        <f t="shared" si="321"/>
        <v>3.8657103474430819E-2</v>
      </c>
      <c r="BN36">
        <f t="shared" si="322"/>
        <v>3.8173889681000439E-2</v>
      </c>
      <c r="BO36">
        <f t="shared" si="323"/>
        <v>3.7696716059987936E-2</v>
      </c>
      <c r="BP36">
        <f t="shared" si="324"/>
        <v>3.7225507109238089E-2</v>
      </c>
      <c r="BQ36">
        <f t="shared" si="325"/>
        <v>3.6760188270372605E-2</v>
      </c>
      <c r="BR36">
        <f t="shared" si="326"/>
        <v>3.6300685916992946E-2</v>
      </c>
      <c r="BS36">
        <f t="shared" si="327"/>
        <v>3.5846927343030535E-2</v>
      </c>
      <c r="BT36">
        <f t="shared" si="328"/>
        <v>3.5398840751242652E-2</v>
      </c>
      <c r="BU36">
        <f t="shared" si="329"/>
        <v>3.4956355241852123E-2</v>
      </c>
      <c r="BV36">
        <f t="shared" si="330"/>
        <v>3.4519400801328967E-2</v>
      </c>
      <c r="BW36">
        <f t="shared" si="331"/>
        <v>3.4087908291312363E-2</v>
      </c>
      <c r="BX36">
        <f t="shared" si="332"/>
        <v>3.3661809437670963E-2</v>
      </c>
      <c r="BY36">
        <f t="shared" si="333"/>
        <v>3.3241036819700073E-2</v>
      </c>
      <c r="BZ36">
        <f t="shared" si="334"/>
        <v>3.2825523859453823E-2</v>
      </c>
      <c r="CA36">
        <f t="shared" si="335"/>
        <v>3.241520481121065E-2</v>
      </c>
      <c r="CB36">
        <f t="shared" si="336"/>
        <v>3.2010014751070515E-2</v>
      </c>
      <c r="CC36">
        <f t="shared" si="337"/>
        <v>3.1609889566682134E-2</v>
      </c>
      <c r="CD36">
        <f t="shared" si="338"/>
        <v>3.121476594709861E-2</v>
      </c>
      <c r="CE36">
        <f t="shared" si="339"/>
        <v>3.0824581372759875E-2</v>
      </c>
      <c r="CF36">
        <f t="shared" si="340"/>
        <v>3.0439274105600378E-2</v>
      </c>
      <c r="CG36">
        <f t="shared" si="341"/>
        <v>3.0058783179280367E-2</v>
      </c>
      <c r="CH36">
        <f t="shared" si="342"/>
        <v>2.968304838953937E-2</v>
      </c>
      <c r="CI36">
        <f t="shared" si="343"/>
        <v>2.9312010284670131E-2</v>
      </c>
      <c r="CJ36">
        <f t="shared" si="344"/>
        <v>2.8945610156111756E-2</v>
      </c>
      <c r="CK36">
        <f t="shared" si="345"/>
        <v>2.8583790029160359E-2</v>
      </c>
      <c r="CL36">
        <f t="shared" si="346"/>
        <v>2.8226492653795853E-2</v>
      </c>
      <c r="CM36">
        <f t="shared" si="347"/>
        <v>2.7873661495623404E-2</v>
      </c>
      <c r="CN36">
        <f t="shared" si="348"/>
        <v>2.7525240726928114E-2</v>
      </c>
      <c r="CO36">
        <f t="shared" si="349"/>
        <v>2.7181175217841514E-2</v>
      </c>
      <c r="CP36">
        <f t="shared" si="350"/>
        <v>2.6841410527618494E-2</v>
      </c>
      <c r="CQ36">
        <f t="shared" si="351"/>
        <v>2.6505892896023266E-2</v>
      </c>
      <c r="CR36">
        <f t="shared" si="352"/>
        <v>2.6174569234822975E-2</v>
      </c>
      <c r="CS36">
        <f t="shared" si="353"/>
        <v>2.5847387119387687E-2</v>
      </c>
      <c r="CT36">
        <f t="shared" si="354"/>
        <v>2.5524294780395342E-2</v>
      </c>
      <c r="CU36">
        <f t="shared" si="355"/>
        <v>2.5205241095640395E-2</v>
      </c>
      <c r="CV36">
        <f t="shared" si="356"/>
        <v>2.4890175581944896E-2</v>
      </c>
      <c r="CW36">
        <f t="shared" si="357"/>
        <v>2.4579048387170586E-2</v>
      </c>
      <c r="CX36">
        <f t="shared" si="358"/>
        <v>2.4271810282330952E-2</v>
      </c>
      <c r="CY36">
        <f t="shared" si="359"/>
        <v>2.396841265380182E-2</v>
      </c>
      <c r="CZ36">
        <f t="shared" si="360"/>
        <v>2.3668807495629295E-2</v>
      </c>
      <c r="DA36">
        <f t="shared" si="361"/>
        <v>2.3372947401933929E-2</v>
      </c>
      <c r="DB36">
        <f t="shared" si="362"/>
        <v>2.3080785559409754E-2</v>
      </c>
      <c r="DC36">
        <f t="shared" si="363"/>
        <v>2.2792275739917135E-2</v>
      </c>
      <c r="DD36">
        <f t="shared" si="364"/>
        <v>2.2507372293168171E-2</v>
      </c>
      <c r="DE36">
        <f t="shared" si="365"/>
        <v>2.2226030139503573E-2</v>
      </c>
      <c r="DF36">
        <f t="shared" si="366"/>
        <v>2.1948204762759781E-2</v>
      </c>
      <c r="DG36">
        <f t="shared" si="367"/>
        <v>2.1673852203225284E-2</v>
      </c>
      <c r="DH36">
        <f t="shared" si="368"/>
        <v>2.1402929050684971E-2</v>
      </c>
      <c r="DI36">
        <f t="shared" si="369"/>
        <v>2.1135392437551404E-2</v>
      </c>
      <c r="DJ36">
        <f t="shared" si="370"/>
        <v>2.0871200032082017E-2</v>
      </c>
      <c r="DK36">
        <f t="shared" si="371"/>
        <v>2.0610310031680991E-2</v>
      </c>
      <c r="DL36">
        <f t="shared" si="372"/>
        <v>2.0352681156284979E-2</v>
      </c>
      <c r="DM36">
        <f t="shared" si="373"/>
        <v>2.0098272641831415E-2</v>
      </c>
      <c r="DN36">
        <f t="shared" si="374"/>
        <v>1.9847044233808519E-2</v>
      </c>
      <c r="DO36">
        <f t="shared" si="375"/>
        <v>1.9598956180885918E-2</v>
      </c>
      <c r="DP36">
        <f t="shared" si="376"/>
        <v>1.9353969228624847E-2</v>
      </c>
      <c r="DQ36">
        <f t="shared" si="377"/>
        <v>1.9112044613267033E-2</v>
      </c>
      <c r="DR36">
        <f t="shared" si="378"/>
        <v>1.8873144055601199E-2</v>
      </c>
      <c r="DS36">
        <f t="shared" si="379"/>
        <v>1.8637229754906181E-2</v>
      </c>
      <c r="DT36">
        <f t="shared" si="380"/>
        <v>1.8404264382969861E-2</v>
      </c>
      <c r="DU36">
        <f t="shared" si="381"/>
        <v>1.8174211078182734E-2</v>
      </c>
      <c r="DV36">
        <f t="shared" si="382"/>
        <v>1.794703343970545E-2</v>
      </c>
      <c r="DW36">
        <f t="shared" si="383"/>
        <v>1.7722695521709131E-2</v>
      </c>
      <c r="DX36">
        <f t="shared" si="384"/>
        <v>1.7501161827687774E-2</v>
      </c>
      <c r="DY36">
        <f t="shared" si="385"/>
        <v>1.7282397304841678E-2</v>
      </c>
      <c r="DZ36">
        <f t="shared" si="386"/>
        <v>1.7066367338531164E-2</v>
      </c>
      <c r="EA36">
        <f t="shared" si="387"/>
        <v>1.6853037746799526E-2</v>
      </c>
      <c r="EB36">
        <f t="shared" si="388"/>
        <v>1.6642374774964531E-2</v>
      </c>
      <c r="EC36">
        <f t="shared" si="389"/>
        <v>1.6434345090277469E-2</v>
      </c>
      <c r="ED36">
        <f t="shared" si="390"/>
        <v>1.6228915776648999E-2</v>
      </c>
      <c r="EE36">
        <f t="shared" si="391"/>
        <v>1.6026054329440886E-2</v>
      </c>
      <c r="EF36">
        <f t="shared" si="392"/>
        <v>1.582572865032288E-2</v>
      </c>
      <c r="EG36">
        <f t="shared" si="393"/>
        <v>1.5627907042193846E-2</v>
      </c>
      <c r="EH36">
        <f t="shared" si="394"/>
        <v>1.5432558204166424E-2</v>
      </c>
      <c r="EI36">
        <f t="shared" si="395"/>
        <v>1.5239651226614349E-2</v>
      </c>
      <c r="EJ36">
        <f t="shared" si="396"/>
        <v>1.5049155586281671E-2</v>
      </c>
      <c r="EK36">
        <f t="shared" si="397"/>
        <v>1.4861041141453146E-2</v>
      </c>
      <c r="EL36">
        <f t="shared" si="398"/>
        <v>1.4675278127184988E-2</v>
      </c>
      <c r="EM36">
        <f t="shared" si="399"/>
        <v>1.4491837150595177E-2</v>
      </c>
      <c r="EN36">
        <f t="shared" si="400"/>
        <v>1.4310689186212732E-2</v>
      </c>
      <c r="EO36">
        <f t="shared" si="401"/>
        <v>1.413180557138507E-2</v>
      </c>
      <c r="EP36">
        <f t="shared" si="402"/>
        <v>1.3955158001742751E-2</v>
      </c>
      <c r="EQ36">
        <f t="shared" si="403"/>
        <v>1.378071852672097E-2</v>
      </c>
      <c r="ER36">
        <f t="shared" si="404"/>
        <v>1.3608459545136953E-2</v>
      </c>
      <c r="ES36">
        <f t="shared" si="405"/>
        <v>1.3438353800822745E-2</v>
      </c>
      <c r="ET36">
        <f t="shared" si="406"/>
        <v>1.3270374378312456E-2</v>
      </c>
      <c r="EU36">
        <f t="shared" si="407"/>
        <v>1.3104494698583546E-2</v>
      </c>
      <c r="EV36">
        <f t="shared" si="408"/>
        <v>1.2940688514851251E-2</v>
      </c>
      <c r="EW36">
        <f t="shared" si="409"/>
        <v>1.2778929908415615E-2</v>
      </c>
      <c r="EX36">
        <f t="shared" si="410"/>
        <v>1.2619193284560414E-2</v>
      </c>
      <c r="EY36">
        <f t="shared" si="411"/>
        <v>1.2461453368503406E-2</v>
      </c>
      <c r="EZ36">
        <f t="shared" si="412"/>
        <v>1.2305685201397109E-2</v>
      </c>
      <c r="FA36">
        <f t="shared" si="413"/>
        <v>1.2151864136379642E-2</v>
      </c>
      <c r="FB36">
        <f t="shared" si="414"/>
        <v>1.1999965834674896E-2</v>
      </c>
      <c r="FC36">
        <f t="shared" si="415"/>
        <v>1.1849966261741462E-2</v>
      </c>
      <c r="FD36">
        <f t="shared" si="416"/>
        <v>1.1701841683469693E-2</v>
      </c>
      <c r="FE36">
        <f t="shared" si="417"/>
        <v>1.1555568662426319E-2</v>
      </c>
      <c r="FF36">
        <f t="shared" si="418"/>
        <v>1.1411124054145993E-2</v>
      </c>
      <c r="FG36">
        <f t="shared" si="419"/>
        <v>1.1268485003469164E-2</v>
      </c>
      <c r="FH36">
        <f t="shared" si="420"/>
        <v>1.1127628940925805E-2</v>
      </c>
      <c r="FI36">
        <f t="shared" si="421"/>
        <v>1.0988533579164229E-2</v>
      </c>
      <c r="FJ36">
        <f t="shared" si="422"/>
        <v>1.0851176909424675E-2</v>
      </c>
      <c r="FK36">
        <f t="shared" si="423"/>
        <v>1.0715537198056868E-2</v>
      </c>
      <c r="FL36">
        <f t="shared" si="424"/>
        <v>1.0581592983081155E-2</v>
      </c>
      <c r="FM36">
        <f t="shared" si="425"/>
        <v>1.0449323070792637E-2</v>
      </c>
      <c r="FN36">
        <f t="shared" si="426"/>
        <v>1.0318706532407729E-2</v>
      </c>
      <c r="FO36">
        <f t="shared" si="427"/>
        <v>1.0189722700752635E-2</v>
      </c>
      <c r="FP36">
        <f t="shared" si="428"/>
        <v>1.0062351166993222E-2</v>
      </c>
      <c r="FQ36">
        <f t="shared" si="429"/>
        <v>9.9365717774058115E-3</v>
      </c>
      <c r="FR36">
        <f t="shared" si="430"/>
        <v>9.8123646301882424E-3</v>
      </c>
      <c r="FS36">
        <f t="shared" si="431"/>
        <v>9.6897100723108871E-3</v>
      </c>
      <c r="FT36">
        <f t="shared" si="432"/>
        <v>9.5685886964069992E-3</v>
      </c>
      <c r="FU36">
        <f t="shared" si="433"/>
        <v>9.448981337701912E-3</v>
      </c>
      <c r="FV36">
        <f t="shared" si="434"/>
        <v>9.3308690709806401E-3</v>
      </c>
      <c r="FW36">
        <f t="shared" si="435"/>
        <v>9.2142332075933805E-3</v>
      </c>
      <c r="FX36">
        <f t="shared" si="436"/>
        <v>9.0990552924984595E-3</v>
      </c>
      <c r="FY36">
        <f t="shared" si="437"/>
        <v>8.9853171013422276E-3</v>
      </c>
      <c r="FZ36">
        <f t="shared" si="438"/>
        <v>8.8730006375754462E-3</v>
      </c>
      <c r="GA36">
        <f t="shared" si="439"/>
        <v>8.7620881296057492E-3</v>
      </c>
      <c r="GB36">
        <f t="shared" si="440"/>
        <v>8.6525620279856771E-3</v>
      </c>
      <c r="GC36">
        <f t="shared" si="441"/>
        <v>8.5444050026358583E-3</v>
      </c>
      <c r="GD36">
        <f t="shared" si="442"/>
        <v>8.4375999401029127E-3</v>
      </c>
      <c r="GE36">
        <f t="shared" si="443"/>
        <v>8.3321299408516299E-3</v>
      </c>
      <c r="GF36">
        <f t="shared" si="444"/>
        <v>8.2279783165909899E-3</v>
      </c>
      <c r="GG36">
        <f t="shared" si="445"/>
        <v>8.1251285876336003E-3</v>
      </c>
      <c r="GH36">
        <f t="shared" si="446"/>
        <v>8.0235644802881811E-3</v>
      </c>
      <c r="GI36">
        <f t="shared" si="447"/>
        <v>7.9232699242845813E-3</v>
      </c>
      <c r="GJ36">
        <f t="shared" si="448"/>
        <v>7.8242290502310245E-3</v>
      </c>
      <c r="GK36">
        <f t="shared" si="449"/>
        <v>7.7264261871031418E-3</v>
      </c>
      <c r="GL36">
        <f t="shared" si="450"/>
        <v>7.6298458597643505E-3</v>
      </c>
      <c r="GM36">
        <f t="shared" si="451"/>
        <v>7.5344727865172987E-3</v>
      </c>
      <c r="GN36">
        <f t="shared" si="452"/>
        <v>7.4402918766858341E-3</v>
      </c>
      <c r="GO36">
        <f t="shared" si="453"/>
        <v>7.3472882282272552E-3</v>
      </c>
      <c r="GP36">
        <f t="shared" si="454"/>
        <v>7.2554471253744148E-3</v>
      </c>
      <c r="GQ36">
        <f t="shared" si="455"/>
        <v>7.1647540363072304E-3</v>
      </c>
      <c r="GR36">
        <f t="shared" si="456"/>
        <v>7.075194610853386E-3</v>
      </c>
      <c r="GS36">
        <f t="shared" si="457"/>
        <v>6.9867546782177211E-3</v>
      </c>
      <c r="GT36">
        <f t="shared" si="458"/>
        <v>6.8994202447399955E-3</v>
      </c>
      <c r="GU36">
        <f t="shared" si="459"/>
        <v>6.813177491680744E-3</v>
      </c>
      <c r="GV36">
        <f t="shared" si="460"/>
        <v>6.7280127730347302E-3</v>
      </c>
      <c r="GW36">
        <f t="shared" si="461"/>
        <v>6.6439126133717944E-3</v>
      </c>
      <c r="GX36">
        <f t="shared" si="462"/>
        <v>6.560863705704645E-3</v>
      </c>
      <c r="GY36">
        <f t="shared" si="463"/>
        <v>6.4788529093833371E-3</v>
      </c>
      <c r="GZ36">
        <f t="shared" si="464"/>
        <v>6.3978672480160424E-3</v>
      </c>
      <c r="HA36">
        <f t="shared" si="465"/>
        <v>6.3178939074158393E-3</v>
      </c>
      <c r="HB36">
        <f t="shared" si="466"/>
        <v>6.238920233573142E-3</v>
      </c>
      <c r="HC36">
        <f t="shared" si="467"/>
        <v>6.160933730653473E-3</v>
      </c>
      <c r="HD36">
        <f t="shared" si="468"/>
        <v>6.083922059020308E-3</v>
      </c>
      <c r="HE36">
        <f t="shared" si="469"/>
        <v>6.0078730332825516E-3</v>
      </c>
      <c r="HF36">
        <f t="shared" si="470"/>
        <v>5.9327746203665212E-3</v>
      </c>
      <c r="HG36">
        <f t="shared" si="471"/>
        <v>5.8586149376119393E-3</v>
      </c>
      <c r="HH36">
        <f t="shared" si="472"/>
        <v>5.7853822508917904E-3</v>
      </c>
      <c r="HI36">
        <f t="shared" si="473"/>
        <v>5.7130649727556437E-3</v>
      </c>
      <c r="HJ36">
        <f t="shared" si="474"/>
        <v>5.6416516605962029E-3</v>
      </c>
      <c r="HK36">
        <f t="shared" si="475"/>
        <v>5.5711310148387483E-3</v>
      </c>
      <c r="HL36">
        <f t="shared" si="476"/>
        <v>5.5014918771532639E-3</v>
      </c>
      <c r="HM36">
        <f t="shared" si="477"/>
        <v>5.4327232286888513E-3</v>
      </c>
      <c r="HN36">
        <f t="shared" si="478"/>
        <v>5.3648141883302358E-3</v>
      </c>
      <c r="HO36">
        <f t="shared" si="479"/>
        <v>5.297754010976108E-3</v>
      </c>
      <c r="HP36">
        <f t="shared" si="480"/>
        <v>5.2315320858389077E-3</v>
      </c>
      <c r="HQ36">
        <f t="shared" si="481"/>
        <v>5.1661379347659239E-3</v>
      </c>
      <c r="HR36">
        <f t="shared" si="482"/>
        <v>5.1015612105813511E-3</v>
      </c>
      <c r="HS36">
        <f t="shared" si="483"/>
        <v>5.0377916954490896E-3</v>
      </c>
      <c r="HT36">
        <f t="shared" si="484"/>
        <v>4.9748192992559725E-3</v>
      </c>
      <c r="HU36">
        <f t="shared" si="485"/>
        <v>4.9126340580152748E-3</v>
      </c>
      <c r="HV36">
        <f t="shared" si="486"/>
        <v>4.851226132290087E-3</v>
      </c>
      <c r="HW36">
        <f t="shared" si="487"/>
        <v>4.7905858056364603E-3</v>
      </c>
      <c r="HX36">
        <f t="shared" si="488"/>
        <v>4.7307034830660014E-3</v>
      </c>
      <c r="HY36">
        <f t="shared" si="489"/>
        <v>4.6715696895276767E-3</v>
      </c>
      <c r="HZ36">
        <f t="shared" si="490"/>
        <v>4.6131750684085815E-3</v>
      </c>
      <c r="IA36">
        <f t="shared" si="491"/>
        <v>4.5555103800534735E-3</v>
      </c>
      <c r="IB36">
        <f t="shared" si="492"/>
        <v>4.4985665003028034E-3</v>
      </c>
      <c r="IC36">
        <f t="shared" si="493"/>
        <v>4.4423344190490212E-3</v>
      </c>
      <c r="ID36">
        <f t="shared" si="494"/>
        <v>4.3868052388109091E-3</v>
      </c>
      <c r="IE36">
        <f t="shared" si="495"/>
        <v>4.3319701733257722E-3</v>
      </c>
      <c r="IF36">
        <f t="shared" si="496"/>
        <v>4.2778205461591941E-3</v>
      </c>
      <c r="IG36">
        <f t="shared" si="497"/>
        <v>4.2243477893322053E-3</v>
      </c>
      <c r="IH36">
        <f t="shared" si="498"/>
        <v>4.1715434419655525E-3</v>
      </c>
      <c r="II36">
        <f t="shared" si="499"/>
        <v>4.119399148940983E-3</v>
      </c>
      <c r="IJ36">
        <f t="shared" si="500"/>
        <v>4.0679066595792233E-3</v>
      </c>
      <c r="IK36">
        <f t="shared" si="501"/>
        <v>4.0170578263344801E-3</v>
      </c>
      <c r="IL36">
        <f t="shared" si="502"/>
        <v>3.9668446035053036E-3</v>
      </c>
      <c r="IM36">
        <f t="shared" si="503"/>
        <v>3.9172590459614857E-3</v>
      </c>
      <c r="IN36">
        <f t="shared" si="504"/>
        <v>3.8682933078869721E-3</v>
      </c>
      <c r="IO36">
        <f t="shared" si="505"/>
        <v>3.8199396415383837E-3</v>
      </c>
      <c r="IP36">
        <f t="shared" si="506"/>
        <v>3.7721903960191484E-3</v>
      </c>
      <c r="IQ36">
        <f t="shared" si="507"/>
        <v>3.7250380160689044E-3</v>
      </c>
      <c r="IR36">
        <f t="shared" si="508"/>
        <v>3.6784750408680456E-3</v>
      </c>
      <c r="IS36">
        <f t="shared" si="509"/>
        <v>3.6324941028571976E-3</v>
      </c>
      <c r="IT36">
        <f t="shared" si="510"/>
        <v>3.5870879265714863E-3</v>
      </c>
      <c r="IU36">
        <f t="shared" si="511"/>
        <v>3.5422493274893442E-3</v>
      </c>
      <c r="IV36">
        <f t="shared" si="512"/>
        <v>3.4979712108957227E-3</v>
      </c>
    </row>
    <row r="37" spans="1:256" x14ac:dyDescent="0.2">
      <c r="A37" t="s">
        <v>508</v>
      </c>
      <c r="B37">
        <f t="shared" ref="B37:B53" si="513">$B139</f>
        <v>1.0673875529533474</v>
      </c>
      <c r="C37">
        <f t="shared" ref="C37:C53" si="514">$B139</f>
        <v>1.0673875529533474</v>
      </c>
      <c r="D37">
        <f t="shared" ref="D37:D53" si="515">$B139</f>
        <v>1.0673875529533474</v>
      </c>
      <c r="E37">
        <f t="shared" ref="E37:E53" si="516">$B139</f>
        <v>1.0673875529533474</v>
      </c>
      <c r="F37">
        <f t="shared" ref="F37:F53" si="517">$B139</f>
        <v>1.0673875529533474</v>
      </c>
      <c r="G37">
        <f t="shared" ref="G37:G53" si="518">$B139</f>
        <v>1.0673875529533474</v>
      </c>
      <c r="H37">
        <f t="shared" ref="H37:H53" si="519">$B139</f>
        <v>1.0673875529533474</v>
      </c>
      <c r="I37">
        <f t="shared" ref="I37:I53" si="520">$B139</f>
        <v>1.0673875529533474</v>
      </c>
      <c r="J37">
        <f t="shared" ref="J37:J53" si="521">$C139</f>
        <v>0.93385078430175783</v>
      </c>
      <c r="K37">
        <f t="shared" ref="K37:K53" si="522">$C139</f>
        <v>0.93385078430175783</v>
      </c>
      <c r="L37">
        <f t="shared" ref="L37:L53" si="523">$C139</f>
        <v>0.93385078430175783</v>
      </c>
      <c r="M37">
        <f t="shared" ref="M37:M53" si="524">$C139</f>
        <v>0.93385078430175783</v>
      </c>
      <c r="N37">
        <f t="shared" ref="N37:N53" si="525">$C139</f>
        <v>0.93385078430175783</v>
      </c>
      <c r="O37">
        <f t="shared" ref="O37:O53" si="526">$C139</f>
        <v>0.93385078430175783</v>
      </c>
      <c r="P37">
        <f t="shared" ref="P37:P53" si="527">$C139</f>
        <v>0.93385078430175783</v>
      </c>
      <c r="Q37">
        <f t="shared" ref="Q37:Q53" si="528">$C139</f>
        <v>0.93385078430175783</v>
      </c>
      <c r="R37">
        <f t="shared" ref="R37:R53" si="529">$D139</f>
        <v>0.93385078430175783</v>
      </c>
      <c r="S37">
        <f t="shared" ref="S37:S53" si="530">$D139</f>
        <v>0.93385078430175783</v>
      </c>
      <c r="T37">
        <f t="shared" ref="T37:T53" si="531">$D139</f>
        <v>0.93385078430175783</v>
      </c>
      <c r="U37">
        <f t="shared" ref="U37:U53" si="532">$D139</f>
        <v>0.93385078430175783</v>
      </c>
      <c r="V37">
        <f t="shared" ref="V37:V53" si="533">$D139</f>
        <v>0.93385078430175783</v>
      </c>
      <c r="W37">
        <f t="shared" ref="W37:W53" si="534">$D139</f>
        <v>0.93385078430175783</v>
      </c>
      <c r="X37">
        <f t="shared" ref="X37:X53" si="535">$D139</f>
        <v>0.93385078430175783</v>
      </c>
      <c r="Y37">
        <f t="shared" ref="Y37:Y53" si="536">$D139</f>
        <v>0.93385078430175783</v>
      </c>
      <c r="Z37">
        <f t="shared" ref="Z37:Z53" si="537">$E139</f>
        <v>0.10000000000000003</v>
      </c>
      <c r="AA37">
        <f t="shared" ref="AA37:AA53" si="538">$E139</f>
        <v>0.10000000000000003</v>
      </c>
      <c r="AB37">
        <f t="shared" ref="AB37:AB53" si="539">$E139</f>
        <v>0.10000000000000003</v>
      </c>
      <c r="AC37">
        <f t="shared" ref="AC37:AC53" si="540">$E139</f>
        <v>0.10000000000000003</v>
      </c>
      <c r="AD37">
        <f t="shared" ref="AD37:AD53" si="541">$E139</f>
        <v>0.10000000000000003</v>
      </c>
      <c r="AE37">
        <f t="shared" ref="AE37:AE53" si="542">$E139</f>
        <v>0.10000000000000003</v>
      </c>
      <c r="AF37">
        <f t="shared" ref="AF37:AF53" si="543">$E139</f>
        <v>0.10000000000000003</v>
      </c>
      <c r="AG37">
        <f t="shared" ref="AG37:AG53" si="544">$E139</f>
        <v>0.10000000000000003</v>
      </c>
      <c r="AH37">
        <f t="shared" ref="AH37:AH53" si="545">$F139</f>
        <v>0.93385078430175783</v>
      </c>
      <c r="AI37">
        <f t="shared" ref="AI37:AI53" si="546">$F139</f>
        <v>0.93385078430175783</v>
      </c>
      <c r="AJ37">
        <f t="shared" ref="AJ37:AJ53" si="547">$F139</f>
        <v>0.93385078430175783</v>
      </c>
      <c r="AK37">
        <f t="shared" ref="AK37:AK53" si="548">$F139</f>
        <v>0.93385078430175783</v>
      </c>
      <c r="AL37">
        <f t="shared" ref="AL37:AL53" si="549">$F139</f>
        <v>0.93385078430175783</v>
      </c>
      <c r="AM37">
        <f t="shared" ref="AM37:AM53" si="550">$F139</f>
        <v>0.93385078430175783</v>
      </c>
      <c r="AN37">
        <f t="shared" ref="AN37:AN53" si="551">$F139</f>
        <v>0.93385078430175783</v>
      </c>
      <c r="AO37">
        <f t="shared" ref="AO37:AO53" si="552">$F139</f>
        <v>0.93385078430175783</v>
      </c>
      <c r="AP37">
        <f t="shared" ref="AP37:AP53" si="553">$G139</f>
        <v>0.93385078430175783</v>
      </c>
      <c r="AQ37">
        <f t="shared" ref="AQ37:AQ53" si="554">$G139</f>
        <v>0.93385078430175783</v>
      </c>
      <c r="AR37">
        <f t="shared" ref="AR37:AR53" si="555">$G139</f>
        <v>0.93385078430175783</v>
      </c>
      <c r="AS37">
        <f t="shared" ref="AS37:AS53" si="556">$G139</f>
        <v>0.93385078430175783</v>
      </c>
      <c r="AT37">
        <f t="shared" ref="AT37:AT53" si="557">$G139</f>
        <v>0.93385078430175783</v>
      </c>
      <c r="AU37">
        <f t="shared" ref="AU37:AU53" si="558">$G139</f>
        <v>0.93385078430175783</v>
      </c>
      <c r="AV37">
        <f t="shared" ref="AV37:AV53" si="559">$G139</f>
        <v>0.93385078430175783</v>
      </c>
      <c r="AW37">
        <f t="shared" ref="AW37:AW53" si="560">$G139</f>
        <v>0.93385078430175783</v>
      </c>
      <c r="AX37">
        <f t="shared" ref="AX37:AX53" si="561">$H139</f>
        <v>0.51570788946024437</v>
      </c>
      <c r="AY37">
        <f t="shared" ref="AY37:AY53" si="562">$H139</f>
        <v>0.51570788946024437</v>
      </c>
      <c r="AZ37">
        <f t="shared" ref="AZ37:AZ53" si="563">$H139</f>
        <v>0.51570788946024437</v>
      </c>
      <c r="BA37">
        <f t="shared" ref="BA37:BA53" si="564">$H139</f>
        <v>0.51570788946024437</v>
      </c>
      <c r="BB37">
        <f t="shared" ref="BB37:BB53" si="565">$H139</f>
        <v>0.51570788946024437</v>
      </c>
      <c r="BC37">
        <f t="shared" ref="BC37:BC53" si="566">$H139</f>
        <v>0.51570788946024437</v>
      </c>
      <c r="BD37">
        <f t="shared" ref="BD37:BD53" si="567">$H139</f>
        <v>0.51570788946024437</v>
      </c>
      <c r="BE37">
        <f t="shared" ref="BE37:BE53" si="568">$H139</f>
        <v>0.51570788946024437</v>
      </c>
      <c r="BF37">
        <f t="shared" ref="BF37:BF53" si="569">$H139</f>
        <v>0.51570788946024437</v>
      </c>
      <c r="BG37">
        <f t="shared" ref="BG37:BG53" si="570">$H139</f>
        <v>0.51570788946024437</v>
      </c>
      <c r="BH37">
        <f t="shared" ref="BH37:BH53" si="571">$H139</f>
        <v>0.51570788946024437</v>
      </c>
      <c r="BI37">
        <f t="shared" ref="BI37:BI53" si="572">$H139</f>
        <v>0.51570788946024437</v>
      </c>
      <c r="BJ37">
        <f t="shared" ref="BJ37:BJ53" si="573">$H139</f>
        <v>0.51570788946024437</v>
      </c>
      <c r="BK37">
        <f t="shared" ref="BK37:BK53" si="574">$H139</f>
        <v>0.51570788946024437</v>
      </c>
      <c r="BL37">
        <f t="shared" ref="BL37:BL53" si="575">$H139</f>
        <v>0.51570788946024437</v>
      </c>
      <c r="BM37">
        <f t="shared" ref="BM37:BM53" si="576">$H139</f>
        <v>0.51570788946024437</v>
      </c>
      <c r="BN37">
        <f t="shared" ref="BN37:BN53" si="577">$H139</f>
        <v>0.51570788946024437</v>
      </c>
      <c r="BO37">
        <f t="shared" ref="BO37:BO53" si="578">$H139</f>
        <v>0.51570788946024437</v>
      </c>
      <c r="BP37">
        <f t="shared" ref="BP37:BP53" si="579">$H139</f>
        <v>0.51570788946024437</v>
      </c>
      <c r="BQ37">
        <f t="shared" ref="BQ37:BQ53" si="580">$H139</f>
        <v>0.51570788946024437</v>
      </c>
      <c r="BR37">
        <f t="shared" ref="BR37:BR53" si="581">$H139</f>
        <v>0.51570788946024437</v>
      </c>
      <c r="BS37">
        <f t="shared" ref="BS37:BS53" si="582">$H139</f>
        <v>0.51570788946024437</v>
      </c>
      <c r="BT37">
        <f t="shared" ref="BT37:BT53" si="583">$H139</f>
        <v>0.51570788946024437</v>
      </c>
      <c r="BU37">
        <f t="shared" ref="BU37:BU53" si="584">$H139</f>
        <v>0.51570788946024437</v>
      </c>
      <c r="BV37">
        <f t="shared" ref="BV37:BV53" si="585">$H139</f>
        <v>0.51570788946024437</v>
      </c>
      <c r="BW37">
        <f t="shared" ref="BW37:BW53" si="586">$H139</f>
        <v>0.51570788946024437</v>
      </c>
      <c r="BX37">
        <f t="shared" ref="BX37:BX53" si="587">$H139</f>
        <v>0.51570788946024437</v>
      </c>
      <c r="BY37">
        <f t="shared" ref="BY37:BY53" si="588">$H139</f>
        <v>0.51570788946024437</v>
      </c>
      <c r="BZ37">
        <f t="shared" ref="BZ37:BZ53" si="589">$H139</f>
        <v>0.51570788946024437</v>
      </c>
      <c r="CA37">
        <f t="shared" ref="CA37:CA53" si="590">$H139</f>
        <v>0.51570788946024437</v>
      </c>
      <c r="CB37">
        <f t="shared" ref="CB37:CB53" si="591">$H139</f>
        <v>0.51570788946024437</v>
      </c>
      <c r="CC37">
        <f t="shared" ref="CC37:CC53" si="592">$H139</f>
        <v>0.51570788946024437</v>
      </c>
      <c r="CD37">
        <f t="shared" ref="CD37:CD53" si="593">$H139</f>
        <v>0.51570788946024437</v>
      </c>
      <c r="CE37">
        <f t="shared" ref="CE37:CE53" si="594">$H139</f>
        <v>0.51570788946024437</v>
      </c>
      <c r="CF37">
        <f t="shared" ref="CF37:CF53" si="595">$H139</f>
        <v>0.51570788946024437</v>
      </c>
      <c r="CG37">
        <f t="shared" ref="CG37:CG53" si="596">$H139</f>
        <v>0.51570788946024437</v>
      </c>
      <c r="CH37">
        <f t="shared" ref="CH37:CH53" si="597">$H139</f>
        <v>0.51570788946024437</v>
      </c>
      <c r="CI37">
        <f t="shared" ref="CI37:CI53" si="598">$H139</f>
        <v>0.51570788946024437</v>
      </c>
      <c r="CJ37">
        <f t="shared" ref="CJ37:CJ53" si="599">$H139</f>
        <v>0.51570788946024437</v>
      </c>
      <c r="CK37">
        <f t="shared" ref="CK37:CK53" si="600">$H139</f>
        <v>0.51570788946024437</v>
      </c>
      <c r="CL37">
        <f t="shared" ref="CL37:CL53" si="601">$H139</f>
        <v>0.51570788946024437</v>
      </c>
      <c r="CM37">
        <f t="shared" ref="CM37:CM53" si="602">$H139</f>
        <v>0.51570788946024437</v>
      </c>
      <c r="CN37">
        <f t="shared" ref="CN37:CN53" si="603">$H139</f>
        <v>0.51570788946024437</v>
      </c>
      <c r="CO37">
        <f t="shared" ref="CO37:CO53" si="604">$H139</f>
        <v>0.51570788946024437</v>
      </c>
      <c r="CP37">
        <f t="shared" ref="CP37:CP53" si="605">$H139</f>
        <v>0.51570788946024437</v>
      </c>
      <c r="CQ37">
        <f t="shared" ref="CQ37:CQ53" si="606">$H139</f>
        <v>0.51570788946024437</v>
      </c>
      <c r="CR37">
        <f t="shared" ref="CR37:CR53" si="607">$H139</f>
        <v>0.51570788946024437</v>
      </c>
      <c r="CS37">
        <f t="shared" ref="CS37:CS53" si="608">$H139</f>
        <v>0.51570788946024437</v>
      </c>
      <c r="CT37">
        <f t="shared" ref="CT37:CT53" si="609">$H139</f>
        <v>0.51570788946024437</v>
      </c>
      <c r="CU37">
        <f t="shared" ref="CU37:CU53" si="610">$H139</f>
        <v>0.51570788946024437</v>
      </c>
      <c r="CV37">
        <f t="shared" ref="CV37:CV53" si="611">$H139</f>
        <v>0.51570788946024437</v>
      </c>
      <c r="CW37">
        <f t="shared" ref="CW37:CW53" si="612">$H139</f>
        <v>0.51570788946024437</v>
      </c>
      <c r="CX37">
        <f t="shared" ref="CX37:CX53" si="613">$H139</f>
        <v>0.51570788946024437</v>
      </c>
      <c r="CY37">
        <f t="shared" ref="CY37:CY53" si="614">$H139</f>
        <v>0.51570788946024437</v>
      </c>
      <c r="CZ37">
        <f t="shared" ref="CZ37:CZ53" si="615">$H139</f>
        <v>0.51570788946024437</v>
      </c>
      <c r="DA37">
        <f t="shared" ref="DA37:DA53" si="616">$H139</f>
        <v>0.51570788946024437</v>
      </c>
      <c r="DB37">
        <f t="shared" ref="DB37:DB53" si="617">$H139</f>
        <v>0.51570788946024437</v>
      </c>
      <c r="DC37">
        <f t="shared" ref="DC37:DC53" si="618">$H139</f>
        <v>0.51570788946024437</v>
      </c>
      <c r="DD37">
        <f t="shared" ref="DD37:DD53" si="619">$H139</f>
        <v>0.51570788946024437</v>
      </c>
      <c r="DE37">
        <f t="shared" ref="DE37:DE53" si="620">$H139</f>
        <v>0.51570788946024437</v>
      </c>
      <c r="DF37">
        <f t="shared" ref="DF37:DF53" si="621">$H139</f>
        <v>0.51570788946024437</v>
      </c>
      <c r="DG37">
        <f t="shared" ref="DG37:DG53" si="622">$H139</f>
        <v>0.51570788946024437</v>
      </c>
      <c r="DH37">
        <f t="shared" ref="DH37:DH53" si="623">$H139</f>
        <v>0.51570788946024437</v>
      </c>
      <c r="DI37">
        <f t="shared" ref="DI37:DI53" si="624">$H139</f>
        <v>0.51570788946024437</v>
      </c>
      <c r="DJ37">
        <f t="shared" ref="DJ37:DJ53" si="625">$H139</f>
        <v>0.51570788946024437</v>
      </c>
      <c r="DK37">
        <f t="shared" ref="DK37:DK53" si="626">$H139</f>
        <v>0.51570788946024437</v>
      </c>
      <c r="DL37">
        <f t="shared" ref="DL37:DL53" si="627">$H139</f>
        <v>0.51570788946024437</v>
      </c>
      <c r="DM37">
        <f t="shared" ref="DM37:DM53" si="628">$H139</f>
        <v>0.51570788946024437</v>
      </c>
      <c r="DN37">
        <f t="shared" ref="DN37:DN53" si="629">$H139</f>
        <v>0.51570788946024437</v>
      </c>
      <c r="DO37">
        <f t="shared" ref="DO37:DO53" si="630">$H139</f>
        <v>0.51570788946024437</v>
      </c>
      <c r="DP37">
        <f t="shared" ref="DP37:DP53" si="631">$H139</f>
        <v>0.51570788946024437</v>
      </c>
      <c r="DQ37">
        <f t="shared" ref="DQ37:DQ53" si="632">$H139</f>
        <v>0.51570788946024437</v>
      </c>
      <c r="DR37">
        <f t="shared" ref="DR37:DR53" si="633">$H139</f>
        <v>0.51570788946024437</v>
      </c>
      <c r="DS37">
        <f t="shared" ref="DS37:DS53" si="634">$H139</f>
        <v>0.51570788946024437</v>
      </c>
      <c r="DT37">
        <f t="shared" ref="DT37:DT53" si="635">$H139</f>
        <v>0.51570788946024437</v>
      </c>
      <c r="DU37">
        <f t="shared" ref="DU37:DU53" si="636">$H139</f>
        <v>0.51570788946024437</v>
      </c>
      <c r="DV37">
        <f t="shared" ref="DV37:DV53" si="637">$H139</f>
        <v>0.51570788946024437</v>
      </c>
      <c r="DW37">
        <f t="shared" ref="DW37:DW53" si="638">$H139</f>
        <v>0.51570788946024437</v>
      </c>
      <c r="DX37">
        <f t="shared" ref="DX37:DX53" si="639">$H139</f>
        <v>0.51570788946024437</v>
      </c>
      <c r="DY37">
        <f t="shared" ref="DY37:DY53" si="640">$H139</f>
        <v>0.51570788946024437</v>
      </c>
      <c r="DZ37">
        <f t="shared" ref="DZ37:DZ53" si="641">$H139</f>
        <v>0.51570788946024437</v>
      </c>
      <c r="EA37">
        <f t="shared" ref="EA37:EA53" si="642">$H139</f>
        <v>0.51570788946024437</v>
      </c>
      <c r="EB37">
        <f t="shared" ref="EB37:EB53" si="643">$H139</f>
        <v>0.51570788946024437</v>
      </c>
      <c r="EC37">
        <f t="shared" ref="EC37:EC53" si="644">$H139</f>
        <v>0.51570788946024437</v>
      </c>
      <c r="ED37">
        <f t="shared" ref="ED37:ED53" si="645">$H139</f>
        <v>0.51570788946024437</v>
      </c>
      <c r="EE37">
        <f t="shared" ref="EE37:EE53" si="646">$H139</f>
        <v>0.51570788946024437</v>
      </c>
      <c r="EF37">
        <f t="shared" ref="EF37:EF53" si="647">$H139</f>
        <v>0.51570788946024437</v>
      </c>
      <c r="EG37">
        <f t="shared" ref="EG37:EG53" si="648">$H139</f>
        <v>0.51570788946024437</v>
      </c>
      <c r="EH37">
        <f t="shared" ref="EH37:EH53" si="649">$H139</f>
        <v>0.51570788946024437</v>
      </c>
      <c r="EI37">
        <f t="shared" ref="EI37:EI53" si="650">$H139</f>
        <v>0.51570788946024437</v>
      </c>
      <c r="EJ37">
        <f t="shared" ref="EJ37:EJ53" si="651">$H139</f>
        <v>0.51570788946024437</v>
      </c>
      <c r="EK37">
        <f t="shared" ref="EK37:EK53" si="652">$H139</f>
        <v>0.51570788946024437</v>
      </c>
      <c r="EL37">
        <f t="shared" ref="EL37:EL53" si="653">$H139</f>
        <v>0.51570788946024437</v>
      </c>
      <c r="EM37">
        <f t="shared" ref="EM37:EM53" si="654">$H139</f>
        <v>0.51570788946024437</v>
      </c>
      <c r="EN37">
        <f t="shared" ref="EN37:EN53" si="655">$H139</f>
        <v>0.51570788946024437</v>
      </c>
      <c r="EO37">
        <f t="shared" ref="EO37:EO53" si="656">$H139</f>
        <v>0.51570788946024437</v>
      </c>
      <c r="EP37">
        <f t="shared" ref="EP37:EP53" si="657">$H139</f>
        <v>0.51570788946024437</v>
      </c>
      <c r="EQ37">
        <f t="shared" ref="EQ37:EQ53" si="658">$H139</f>
        <v>0.51570788946024437</v>
      </c>
      <c r="ER37">
        <f t="shared" ref="ER37:ER53" si="659">$H139</f>
        <v>0.51570788946024437</v>
      </c>
      <c r="ES37">
        <f t="shared" ref="ES37:ES53" si="660">$H139</f>
        <v>0.51570788946024437</v>
      </c>
      <c r="ET37">
        <f t="shared" ref="ET37:ET53" si="661">$H139</f>
        <v>0.51570788946024437</v>
      </c>
      <c r="EU37">
        <f t="shared" ref="EU37:EU53" si="662">$H139</f>
        <v>0.51570788946024437</v>
      </c>
      <c r="EV37">
        <f t="shared" ref="EV37:EV53" si="663">$H139</f>
        <v>0.51570788946024437</v>
      </c>
      <c r="EW37">
        <f t="shared" ref="EW37:EW53" si="664">$H139</f>
        <v>0.51570788946024437</v>
      </c>
      <c r="EX37">
        <f t="shared" ref="EX37:EX53" si="665">$H139</f>
        <v>0.51570788946024437</v>
      </c>
      <c r="EY37">
        <f t="shared" ref="EY37:EY53" si="666">$H139</f>
        <v>0.51570788946024437</v>
      </c>
      <c r="EZ37">
        <f t="shared" ref="EZ37:EZ53" si="667">$H139</f>
        <v>0.51570788946024437</v>
      </c>
      <c r="FA37">
        <f t="shared" ref="FA37:FA53" si="668">$H139</f>
        <v>0.51570788946024437</v>
      </c>
      <c r="FB37">
        <f t="shared" ref="FB37:FB53" si="669">$H139</f>
        <v>0.51570788946024437</v>
      </c>
      <c r="FC37">
        <f t="shared" ref="FC37:FC53" si="670">$H139</f>
        <v>0.51570788946024437</v>
      </c>
      <c r="FD37">
        <f t="shared" ref="FD37:FD53" si="671">$H139</f>
        <v>0.51570788946024437</v>
      </c>
      <c r="FE37">
        <f t="shared" ref="FE37:FE53" si="672">$H139</f>
        <v>0.51570788946024437</v>
      </c>
      <c r="FF37">
        <f t="shared" ref="FF37:FF53" si="673">$H139</f>
        <v>0.51570788946024437</v>
      </c>
      <c r="FG37">
        <f t="shared" ref="FG37:FG53" si="674">$H139</f>
        <v>0.51570788946024437</v>
      </c>
      <c r="FH37">
        <f t="shared" ref="FH37:FH53" si="675">$H139</f>
        <v>0.51570788946024437</v>
      </c>
      <c r="FI37">
        <f t="shared" ref="FI37:FI53" si="676">$H139</f>
        <v>0.51570788946024437</v>
      </c>
      <c r="FJ37">
        <f t="shared" ref="FJ37:FJ53" si="677">$H139</f>
        <v>0.51570788946024437</v>
      </c>
      <c r="FK37">
        <f t="shared" ref="FK37:FK53" si="678">$H139</f>
        <v>0.51570788946024437</v>
      </c>
      <c r="FL37">
        <f t="shared" ref="FL37:FL53" si="679">$H139</f>
        <v>0.51570788946024437</v>
      </c>
      <c r="FM37">
        <f t="shared" ref="FM37:FM53" si="680">$H139</f>
        <v>0.51570788946024437</v>
      </c>
      <c r="FN37">
        <f t="shared" ref="FN37:FN53" si="681">$H139</f>
        <v>0.51570788946024437</v>
      </c>
      <c r="FO37">
        <f t="shared" ref="FO37:FO53" si="682">$H139</f>
        <v>0.51570788946024437</v>
      </c>
      <c r="FP37">
        <f t="shared" ref="FP37:FP53" si="683">$H139</f>
        <v>0.51570788946024437</v>
      </c>
      <c r="FQ37">
        <f t="shared" ref="FQ37:FQ53" si="684">$H139</f>
        <v>0.51570788946024437</v>
      </c>
      <c r="FR37">
        <f t="shared" ref="FR37:FR53" si="685">$H139</f>
        <v>0.51570788946024437</v>
      </c>
      <c r="FS37">
        <f t="shared" ref="FS37:FS53" si="686">$H139</f>
        <v>0.51570788946024437</v>
      </c>
      <c r="FT37">
        <f t="shared" ref="FT37:FT53" si="687">$H139</f>
        <v>0.51570788946024437</v>
      </c>
      <c r="FU37">
        <f t="shared" ref="FU37:FU53" si="688">$H139</f>
        <v>0.51570788946024437</v>
      </c>
      <c r="FV37">
        <f t="shared" ref="FV37:FV53" si="689">$H139</f>
        <v>0.51570788946024437</v>
      </c>
      <c r="FW37">
        <f t="shared" ref="FW37:FW53" si="690">$H139</f>
        <v>0.51570788946024437</v>
      </c>
      <c r="FX37">
        <f t="shared" ref="FX37:FX53" si="691">$H139</f>
        <v>0.51570788946024437</v>
      </c>
      <c r="FY37">
        <f t="shared" ref="FY37:FY53" si="692">$H139</f>
        <v>0.51570788946024437</v>
      </c>
      <c r="FZ37">
        <f t="shared" ref="FZ37:FZ53" si="693">$H139</f>
        <v>0.51570788946024437</v>
      </c>
      <c r="GA37">
        <f t="shared" ref="GA37:GA53" si="694">$H139</f>
        <v>0.51570788946024437</v>
      </c>
      <c r="GB37">
        <f t="shared" ref="GB37:GB53" si="695">$H139</f>
        <v>0.51570788946024437</v>
      </c>
      <c r="GC37">
        <f t="shared" ref="GC37:GC53" si="696">$H139</f>
        <v>0.51570788946024437</v>
      </c>
      <c r="GD37">
        <f t="shared" ref="GD37:GD53" si="697">$H139</f>
        <v>0.51570788946024437</v>
      </c>
      <c r="GE37">
        <f t="shared" ref="GE37:GE53" si="698">$H139</f>
        <v>0.51570788946024437</v>
      </c>
      <c r="GF37">
        <f t="shared" ref="GF37:GF53" si="699">$H139</f>
        <v>0.51570788946024437</v>
      </c>
      <c r="GG37">
        <f t="shared" ref="GG37:GG53" si="700">$H139</f>
        <v>0.51570788946024437</v>
      </c>
      <c r="GH37">
        <f t="shared" ref="GH37:GH53" si="701">$H139</f>
        <v>0.51570788946024437</v>
      </c>
      <c r="GI37">
        <f t="shared" ref="GI37:GI53" si="702">$H139</f>
        <v>0.51570788946024437</v>
      </c>
      <c r="GJ37">
        <f t="shared" ref="GJ37:GJ53" si="703">$H139</f>
        <v>0.51570788946024437</v>
      </c>
      <c r="GK37">
        <f t="shared" ref="GK37:GK53" si="704">$H139</f>
        <v>0.51570788946024437</v>
      </c>
      <c r="GL37">
        <f t="shared" ref="GL37:GL53" si="705">$H139</f>
        <v>0.51570788946024437</v>
      </c>
      <c r="GM37">
        <f t="shared" ref="GM37:GM53" si="706">$H139</f>
        <v>0.51570788946024437</v>
      </c>
      <c r="GN37">
        <f t="shared" ref="GN37:GN53" si="707">$H139</f>
        <v>0.51570788946024437</v>
      </c>
      <c r="GO37">
        <f t="shared" ref="GO37:GO53" si="708">$H139</f>
        <v>0.51570788946024437</v>
      </c>
      <c r="GP37">
        <f t="shared" ref="GP37:GP53" si="709">$H139</f>
        <v>0.51570788946024437</v>
      </c>
      <c r="GQ37">
        <f t="shared" ref="GQ37:GQ53" si="710">$H139</f>
        <v>0.51570788946024437</v>
      </c>
      <c r="GR37">
        <f t="shared" ref="GR37:GR53" si="711">$H139</f>
        <v>0.51570788946024437</v>
      </c>
      <c r="GS37">
        <f t="shared" ref="GS37:GS53" si="712">$H139</f>
        <v>0.51570788946024437</v>
      </c>
      <c r="GT37">
        <f t="shared" ref="GT37:GT53" si="713">$H139</f>
        <v>0.51570788946024437</v>
      </c>
      <c r="GU37">
        <f t="shared" ref="GU37:GU53" si="714">$H139</f>
        <v>0.51570788946024437</v>
      </c>
      <c r="GV37">
        <f t="shared" ref="GV37:GV53" si="715">$H139</f>
        <v>0.51570788946024437</v>
      </c>
      <c r="GW37">
        <f t="shared" ref="GW37:GW53" si="716">$H139</f>
        <v>0.51570788946024437</v>
      </c>
      <c r="GX37">
        <f t="shared" ref="GX37:GX53" si="717">$H139</f>
        <v>0.51570788946024437</v>
      </c>
      <c r="GY37">
        <f t="shared" ref="GY37:GY53" si="718">$H139</f>
        <v>0.51570788946024437</v>
      </c>
      <c r="GZ37">
        <f t="shared" ref="GZ37:GZ53" si="719">$H139</f>
        <v>0.51570788946024437</v>
      </c>
      <c r="HA37">
        <f t="shared" ref="HA37:HA53" si="720">$H139</f>
        <v>0.51570788946024437</v>
      </c>
      <c r="HB37">
        <f t="shared" ref="HB37:HB53" si="721">$H139</f>
        <v>0.51570788946024437</v>
      </c>
      <c r="HC37">
        <f t="shared" ref="HC37:HC53" si="722">$H139</f>
        <v>0.51570788946024437</v>
      </c>
      <c r="HD37">
        <f t="shared" ref="HD37:HD53" si="723">$H139</f>
        <v>0.51570788946024437</v>
      </c>
      <c r="HE37">
        <f t="shared" ref="HE37:HE53" si="724">$H139</f>
        <v>0.51570788946024437</v>
      </c>
      <c r="HF37">
        <f t="shared" ref="HF37:HF53" si="725">$H139</f>
        <v>0.51570788946024437</v>
      </c>
      <c r="HG37">
        <f t="shared" ref="HG37:HG53" si="726">$H139</f>
        <v>0.51570788946024437</v>
      </c>
      <c r="HH37">
        <f t="shared" ref="HH37:HH53" si="727">$H139</f>
        <v>0.51570788946024437</v>
      </c>
      <c r="HI37">
        <f t="shared" ref="HI37:HI53" si="728">$H139</f>
        <v>0.51570788946024437</v>
      </c>
      <c r="HJ37">
        <f t="shared" ref="HJ37:HJ53" si="729">$H139</f>
        <v>0.51570788946024437</v>
      </c>
      <c r="HK37">
        <f t="shared" ref="HK37:HK53" si="730">$H139</f>
        <v>0.51570788946024437</v>
      </c>
      <c r="HL37">
        <f t="shared" ref="HL37:HL53" si="731">$H139</f>
        <v>0.51570788946024437</v>
      </c>
      <c r="HM37">
        <f t="shared" ref="HM37:HM53" si="732">$H139</f>
        <v>0.51570788946024437</v>
      </c>
      <c r="HN37">
        <f t="shared" ref="HN37:HN53" si="733">$H139</f>
        <v>0.51570788946024437</v>
      </c>
      <c r="HO37">
        <f t="shared" ref="HO37:HO53" si="734">$H139</f>
        <v>0.51570788946024437</v>
      </c>
      <c r="HP37">
        <f t="shared" ref="HP37:HP53" si="735">$H139</f>
        <v>0.51570788946024437</v>
      </c>
      <c r="HQ37">
        <f t="shared" ref="HQ37:HQ53" si="736">$H139</f>
        <v>0.51570788946024437</v>
      </c>
      <c r="HR37">
        <f t="shared" ref="HR37:HR53" si="737">$H139</f>
        <v>0.51570788946024437</v>
      </c>
      <c r="HS37">
        <f t="shared" ref="HS37:HS53" si="738">$H139</f>
        <v>0.51570788946024437</v>
      </c>
      <c r="HT37">
        <f t="shared" ref="HT37:HT53" si="739">$H139</f>
        <v>0.51570788946024437</v>
      </c>
      <c r="HU37">
        <f t="shared" ref="HU37:HU53" si="740">$H139</f>
        <v>0.51570788946024437</v>
      </c>
      <c r="HV37">
        <f t="shared" ref="HV37:HV53" si="741">$H139</f>
        <v>0.51570788946024437</v>
      </c>
      <c r="HW37">
        <f t="shared" ref="HW37:HW53" si="742">$H139</f>
        <v>0.51570788946024437</v>
      </c>
      <c r="HX37">
        <f t="shared" ref="HX37:HX53" si="743">$H139</f>
        <v>0.51570788946024437</v>
      </c>
      <c r="HY37">
        <f t="shared" ref="HY37:HY53" si="744">$H139</f>
        <v>0.51570788946024437</v>
      </c>
      <c r="HZ37">
        <f t="shared" ref="HZ37:HZ53" si="745">$H139</f>
        <v>0.51570788946024437</v>
      </c>
      <c r="IA37">
        <f t="shared" ref="IA37:IA53" si="746">$H139</f>
        <v>0.51570788946024437</v>
      </c>
      <c r="IB37">
        <f t="shared" ref="IB37:IB53" si="747">$H139</f>
        <v>0.51570788946024437</v>
      </c>
      <c r="IC37">
        <f t="shared" ref="IC37:IC53" si="748">$H139</f>
        <v>0.51570788946024437</v>
      </c>
      <c r="ID37">
        <f t="shared" ref="ID37:ID53" si="749">$H139</f>
        <v>0.51570788946024437</v>
      </c>
      <c r="IE37">
        <f t="shared" ref="IE37:IE53" si="750">$H139</f>
        <v>0.51570788946024437</v>
      </c>
      <c r="IF37">
        <f t="shared" ref="IF37:IF53" si="751">$H139</f>
        <v>0.51570788946024437</v>
      </c>
      <c r="IG37">
        <f t="shared" ref="IG37:IG53" si="752">$H139</f>
        <v>0.51570788946024437</v>
      </c>
      <c r="IH37">
        <f t="shared" ref="IH37:IH53" si="753">$H139</f>
        <v>0.51570788946024437</v>
      </c>
      <c r="II37">
        <f t="shared" ref="II37:II53" si="754">$H139</f>
        <v>0.51570788946024437</v>
      </c>
      <c r="IJ37">
        <f t="shared" ref="IJ37:IJ53" si="755">$H139</f>
        <v>0.51570788946024437</v>
      </c>
      <c r="IK37">
        <f t="shared" ref="IK37:IK53" si="756">$H139</f>
        <v>0.51570788946024437</v>
      </c>
      <c r="IL37">
        <f t="shared" ref="IL37:IL53" si="757">$H139</f>
        <v>0.51570788946024437</v>
      </c>
      <c r="IM37">
        <f t="shared" ref="IM37:IM53" si="758">$H139</f>
        <v>0.51570788946024437</v>
      </c>
      <c r="IN37">
        <f t="shared" ref="IN37:IN53" si="759">$H139</f>
        <v>0.51570788946024437</v>
      </c>
      <c r="IO37">
        <f t="shared" ref="IO37:IO53" si="760">$H139</f>
        <v>0.51570788946024437</v>
      </c>
      <c r="IP37">
        <f t="shared" ref="IP37:IP53" si="761">$H139</f>
        <v>0.51570788946024437</v>
      </c>
      <c r="IQ37">
        <f t="shared" ref="IQ37:IQ53" si="762">$H139</f>
        <v>0.51570788946024437</v>
      </c>
      <c r="IR37">
        <f t="shared" ref="IR37:IR53" si="763">$H139</f>
        <v>0.51570788946024437</v>
      </c>
      <c r="IS37">
        <f t="shared" ref="IS37:IS53" si="764">$H139</f>
        <v>0.51570788946024437</v>
      </c>
      <c r="IT37">
        <f t="shared" ref="IT37:IT53" si="765">$H139</f>
        <v>0.51570788946024437</v>
      </c>
      <c r="IU37">
        <f t="shared" ref="IU37:IU53" si="766">$H139</f>
        <v>0.51570788946024437</v>
      </c>
      <c r="IV37">
        <f t="shared" ref="IV37:IV53" si="767">$H139</f>
        <v>0.51570788946024437</v>
      </c>
    </row>
    <row r="38" spans="1:256" x14ac:dyDescent="0.2">
      <c r="A38" t="s">
        <v>509</v>
      </c>
      <c r="B38">
        <f t="shared" si="513"/>
        <v>0.65156536753638106</v>
      </c>
      <c r="C38">
        <f t="shared" si="514"/>
        <v>0.65156536753638106</v>
      </c>
      <c r="D38">
        <f t="shared" si="515"/>
        <v>0.65156536753638106</v>
      </c>
      <c r="E38">
        <f t="shared" si="516"/>
        <v>0.65156536753638106</v>
      </c>
      <c r="F38">
        <f t="shared" si="517"/>
        <v>0.65156536753638106</v>
      </c>
      <c r="G38">
        <f t="shared" si="518"/>
        <v>0.65156536753638106</v>
      </c>
      <c r="H38">
        <f t="shared" si="519"/>
        <v>0.65156536753638106</v>
      </c>
      <c r="I38">
        <f t="shared" si="520"/>
        <v>0.65156536753638106</v>
      </c>
      <c r="J38">
        <f t="shared" si="521"/>
        <v>0.85235775314179441</v>
      </c>
      <c r="K38">
        <f t="shared" si="522"/>
        <v>0.85235775314179441</v>
      </c>
      <c r="L38">
        <f t="shared" si="523"/>
        <v>0.85235775314179441</v>
      </c>
      <c r="M38">
        <f t="shared" si="524"/>
        <v>0.85235775314179441</v>
      </c>
      <c r="N38">
        <f t="shared" si="525"/>
        <v>0.85235775314179441</v>
      </c>
      <c r="O38">
        <f t="shared" si="526"/>
        <v>0.85235775314179441</v>
      </c>
      <c r="P38">
        <f t="shared" si="527"/>
        <v>0.85235775314179441</v>
      </c>
      <c r="Q38">
        <f t="shared" si="528"/>
        <v>0.85235775314179441</v>
      </c>
      <c r="R38">
        <f t="shared" si="529"/>
        <v>0.82536560906436585</v>
      </c>
      <c r="S38">
        <f t="shared" si="530"/>
        <v>0.82536560906436585</v>
      </c>
      <c r="T38">
        <f t="shared" si="531"/>
        <v>0.82536560906436585</v>
      </c>
      <c r="U38">
        <f t="shared" si="532"/>
        <v>0.82536560906436585</v>
      </c>
      <c r="V38">
        <f t="shared" si="533"/>
        <v>0.82536560906436585</v>
      </c>
      <c r="W38">
        <f t="shared" si="534"/>
        <v>0.82536560906436585</v>
      </c>
      <c r="X38">
        <f t="shared" si="535"/>
        <v>0.82536560906436585</v>
      </c>
      <c r="Y38">
        <f t="shared" si="536"/>
        <v>0.82536560906436585</v>
      </c>
      <c r="Z38">
        <f t="shared" si="537"/>
        <v>1.5964915543789506</v>
      </c>
      <c r="AA38">
        <f t="shared" si="538"/>
        <v>1.5964915543789506</v>
      </c>
      <c r="AB38">
        <f t="shared" si="539"/>
        <v>1.5964915543789506</v>
      </c>
      <c r="AC38">
        <f t="shared" si="540"/>
        <v>1.5964915543789506</v>
      </c>
      <c r="AD38">
        <f t="shared" si="541"/>
        <v>1.5964915543789506</v>
      </c>
      <c r="AE38">
        <f t="shared" si="542"/>
        <v>1.5964915543789506</v>
      </c>
      <c r="AF38">
        <f t="shared" si="543"/>
        <v>1.5964915543789506</v>
      </c>
      <c r="AG38">
        <f t="shared" si="544"/>
        <v>1.5964915543789506</v>
      </c>
      <c r="AH38">
        <f t="shared" si="545"/>
        <v>0.36852024078369139</v>
      </c>
      <c r="AI38">
        <f t="shared" si="546"/>
        <v>0.36852024078369139</v>
      </c>
      <c r="AJ38">
        <f t="shared" si="547"/>
        <v>0.36852024078369139</v>
      </c>
      <c r="AK38">
        <f t="shared" si="548"/>
        <v>0.36852024078369139</v>
      </c>
      <c r="AL38">
        <f t="shared" si="549"/>
        <v>0.36852024078369139</v>
      </c>
      <c r="AM38">
        <f t="shared" si="550"/>
        <v>0.36852024078369139</v>
      </c>
      <c r="AN38">
        <f t="shared" si="551"/>
        <v>0.36852024078369139</v>
      </c>
      <c r="AO38">
        <f t="shared" si="552"/>
        <v>0.36852024078369139</v>
      </c>
      <c r="AP38">
        <f t="shared" si="553"/>
        <v>0.73704048156738278</v>
      </c>
      <c r="AQ38">
        <f t="shared" si="554"/>
        <v>0.73704048156738278</v>
      </c>
      <c r="AR38">
        <f t="shared" si="555"/>
        <v>0.73704048156738278</v>
      </c>
      <c r="AS38">
        <f t="shared" si="556"/>
        <v>0.73704048156738278</v>
      </c>
      <c r="AT38">
        <f t="shared" si="557"/>
        <v>0.73704048156738278</v>
      </c>
      <c r="AU38">
        <f t="shared" si="558"/>
        <v>0.73704048156738278</v>
      </c>
      <c r="AV38">
        <f t="shared" si="559"/>
        <v>0.73704048156738278</v>
      </c>
      <c r="AW38">
        <f t="shared" si="560"/>
        <v>0.73704048156738278</v>
      </c>
      <c r="AX38">
        <f t="shared" si="561"/>
        <v>0.85448825850330457</v>
      </c>
      <c r="AY38">
        <f t="shared" si="562"/>
        <v>0.85448825850330457</v>
      </c>
      <c r="AZ38">
        <f t="shared" si="563"/>
        <v>0.85448825850330457</v>
      </c>
      <c r="BA38">
        <f t="shared" si="564"/>
        <v>0.85448825850330457</v>
      </c>
      <c r="BB38">
        <f t="shared" si="565"/>
        <v>0.85448825850330457</v>
      </c>
      <c r="BC38">
        <f t="shared" si="566"/>
        <v>0.85448825850330457</v>
      </c>
      <c r="BD38">
        <f t="shared" si="567"/>
        <v>0.85448825850330457</v>
      </c>
      <c r="BE38">
        <f t="shared" si="568"/>
        <v>0.85448825850330457</v>
      </c>
      <c r="BF38">
        <f t="shared" si="569"/>
        <v>0.85448825850330457</v>
      </c>
      <c r="BG38">
        <f t="shared" si="570"/>
        <v>0.85448825850330457</v>
      </c>
      <c r="BH38">
        <f t="shared" si="571"/>
        <v>0.85448825850330457</v>
      </c>
      <c r="BI38">
        <f t="shared" si="572"/>
        <v>0.85448825850330457</v>
      </c>
      <c r="BJ38">
        <f t="shared" si="573"/>
        <v>0.85448825850330457</v>
      </c>
      <c r="BK38">
        <f t="shared" si="574"/>
        <v>0.85448825850330457</v>
      </c>
      <c r="BL38">
        <f t="shared" si="575"/>
        <v>0.85448825850330457</v>
      </c>
      <c r="BM38">
        <f t="shared" si="576"/>
        <v>0.85448825850330457</v>
      </c>
      <c r="BN38">
        <f t="shared" si="577"/>
        <v>0.85448825850330457</v>
      </c>
      <c r="BO38">
        <f t="shared" si="578"/>
        <v>0.85448825850330457</v>
      </c>
      <c r="BP38">
        <f t="shared" si="579"/>
        <v>0.85448825850330457</v>
      </c>
      <c r="BQ38">
        <f t="shared" si="580"/>
        <v>0.85448825850330457</v>
      </c>
      <c r="BR38">
        <f t="shared" si="581"/>
        <v>0.85448825850330457</v>
      </c>
      <c r="BS38">
        <f t="shared" si="582"/>
        <v>0.85448825850330457</v>
      </c>
      <c r="BT38">
        <f t="shared" si="583"/>
        <v>0.85448825850330457</v>
      </c>
      <c r="BU38">
        <f t="shared" si="584"/>
        <v>0.85448825850330457</v>
      </c>
      <c r="BV38">
        <f t="shared" si="585"/>
        <v>0.85448825850330457</v>
      </c>
      <c r="BW38">
        <f t="shared" si="586"/>
        <v>0.85448825850330457</v>
      </c>
      <c r="BX38">
        <f t="shared" si="587"/>
        <v>0.85448825850330457</v>
      </c>
      <c r="BY38">
        <f t="shared" si="588"/>
        <v>0.85448825850330457</v>
      </c>
      <c r="BZ38">
        <f t="shared" si="589"/>
        <v>0.85448825850330457</v>
      </c>
      <c r="CA38">
        <f t="shared" si="590"/>
        <v>0.85448825850330457</v>
      </c>
      <c r="CB38">
        <f t="shared" si="591"/>
        <v>0.85448825850330457</v>
      </c>
      <c r="CC38">
        <f t="shared" si="592"/>
        <v>0.85448825850330457</v>
      </c>
      <c r="CD38">
        <f t="shared" si="593"/>
        <v>0.85448825850330457</v>
      </c>
      <c r="CE38">
        <f t="shared" si="594"/>
        <v>0.85448825850330457</v>
      </c>
      <c r="CF38">
        <f t="shared" si="595"/>
        <v>0.85448825850330457</v>
      </c>
      <c r="CG38">
        <f t="shared" si="596"/>
        <v>0.85448825850330457</v>
      </c>
      <c r="CH38">
        <f t="shared" si="597"/>
        <v>0.85448825850330457</v>
      </c>
      <c r="CI38">
        <f t="shared" si="598"/>
        <v>0.85448825850330457</v>
      </c>
      <c r="CJ38">
        <f t="shared" si="599"/>
        <v>0.85448825850330457</v>
      </c>
      <c r="CK38">
        <f t="shared" si="600"/>
        <v>0.85448825850330457</v>
      </c>
      <c r="CL38">
        <f t="shared" si="601"/>
        <v>0.85448825850330457</v>
      </c>
      <c r="CM38">
        <f t="shared" si="602"/>
        <v>0.85448825850330457</v>
      </c>
      <c r="CN38">
        <f t="shared" si="603"/>
        <v>0.85448825850330457</v>
      </c>
      <c r="CO38">
        <f t="shared" si="604"/>
        <v>0.85448825850330457</v>
      </c>
      <c r="CP38">
        <f t="shared" si="605"/>
        <v>0.85448825850330457</v>
      </c>
      <c r="CQ38">
        <f t="shared" si="606"/>
        <v>0.85448825850330457</v>
      </c>
      <c r="CR38">
        <f t="shared" si="607"/>
        <v>0.85448825850330457</v>
      </c>
      <c r="CS38">
        <f t="shared" si="608"/>
        <v>0.85448825850330457</v>
      </c>
      <c r="CT38">
        <f t="shared" si="609"/>
        <v>0.85448825850330457</v>
      </c>
      <c r="CU38">
        <f t="shared" si="610"/>
        <v>0.85448825850330457</v>
      </c>
      <c r="CV38">
        <f t="shared" si="611"/>
        <v>0.85448825850330457</v>
      </c>
      <c r="CW38">
        <f t="shared" si="612"/>
        <v>0.85448825850330457</v>
      </c>
      <c r="CX38">
        <f t="shared" si="613"/>
        <v>0.85448825850330457</v>
      </c>
      <c r="CY38">
        <f t="shared" si="614"/>
        <v>0.85448825850330457</v>
      </c>
      <c r="CZ38">
        <f t="shared" si="615"/>
        <v>0.85448825850330457</v>
      </c>
      <c r="DA38">
        <f t="shared" si="616"/>
        <v>0.85448825850330457</v>
      </c>
      <c r="DB38">
        <f t="shared" si="617"/>
        <v>0.85448825850330457</v>
      </c>
      <c r="DC38">
        <f t="shared" si="618"/>
        <v>0.85448825850330457</v>
      </c>
      <c r="DD38">
        <f t="shared" si="619"/>
        <v>0.85448825850330457</v>
      </c>
      <c r="DE38">
        <f t="shared" si="620"/>
        <v>0.85448825850330457</v>
      </c>
      <c r="DF38">
        <f t="shared" si="621"/>
        <v>0.85448825850330457</v>
      </c>
      <c r="DG38">
        <f t="shared" si="622"/>
        <v>0.85448825850330457</v>
      </c>
      <c r="DH38">
        <f t="shared" si="623"/>
        <v>0.85448825850330457</v>
      </c>
      <c r="DI38">
        <f t="shared" si="624"/>
        <v>0.85448825850330457</v>
      </c>
      <c r="DJ38">
        <f t="shared" si="625"/>
        <v>0.85448825850330457</v>
      </c>
      <c r="DK38">
        <f t="shared" si="626"/>
        <v>0.85448825850330457</v>
      </c>
      <c r="DL38">
        <f t="shared" si="627"/>
        <v>0.85448825850330457</v>
      </c>
      <c r="DM38">
        <f t="shared" si="628"/>
        <v>0.85448825850330457</v>
      </c>
      <c r="DN38">
        <f t="shared" si="629"/>
        <v>0.85448825850330457</v>
      </c>
      <c r="DO38">
        <f t="shared" si="630"/>
        <v>0.85448825850330457</v>
      </c>
      <c r="DP38">
        <f t="shared" si="631"/>
        <v>0.85448825850330457</v>
      </c>
      <c r="DQ38">
        <f t="shared" si="632"/>
        <v>0.85448825850330457</v>
      </c>
      <c r="DR38">
        <f t="shared" si="633"/>
        <v>0.85448825850330457</v>
      </c>
      <c r="DS38">
        <f t="shared" si="634"/>
        <v>0.85448825850330457</v>
      </c>
      <c r="DT38">
        <f t="shared" si="635"/>
        <v>0.85448825850330457</v>
      </c>
      <c r="DU38">
        <f t="shared" si="636"/>
        <v>0.85448825850330457</v>
      </c>
      <c r="DV38">
        <f t="shared" si="637"/>
        <v>0.85448825850330457</v>
      </c>
      <c r="DW38">
        <f t="shared" si="638"/>
        <v>0.85448825850330457</v>
      </c>
      <c r="DX38">
        <f t="shared" si="639"/>
        <v>0.85448825850330457</v>
      </c>
      <c r="DY38">
        <f t="shared" si="640"/>
        <v>0.85448825850330457</v>
      </c>
      <c r="DZ38">
        <f t="shared" si="641"/>
        <v>0.85448825850330457</v>
      </c>
      <c r="EA38">
        <f t="shared" si="642"/>
        <v>0.85448825850330457</v>
      </c>
      <c r="EB38">
        <f t="shared" si="643"/>
        <v>0.85448825850330457</v>
      </c>
      <c r="EC38">
        <f t="shared" si="644"/>
        <v>0.85448825850330457</v>
      </c>
      <c r="ED38">
        <f t="shared" si="645"/>
        <v>0.85448825850330457</v>
      </c>
      <c r="EE38">
        <f t="shared" si="646"/>
        <v>0.85448825850330457</v>
      </c>
      <c r="EF38">
        <f t="shared" si="647"/>
        <v>0.85448825850330457</v>
      </c>
      <c r="EG38">
        <f t="shared" si="648"/>
        <v>0.85448825850330457</v>
      </c>
      <c r="EH38">
        <f t="shared" si="649"/>
        <v>0.85448825850330457</v>
      </c>
      <c r="EI38">
        <f t="shared" si="650"/>
        <v>0.85448825850330457</v>
      </c>
      <c r="EJ38">
        <f t="shared" si="651"/>
        <v>0.85448825850330457</v>
      </c>
      <c r="EK38">
        <f t="shared" si="652"/>
        <v>0.85448825850330457</v>
      </c>
      <c r="EL38">
        <f t="shared" si="653"/>
        <v>0.85448825850330457</v>
      </c>
      <c r="EM38">
        <f t="shared" si="654"/>
        <v>0.85448825850330457</v>
      </c>
      <c r="EN38">
        <f t="shared" si="655"/>
        <v>0.85448825850330457</v>
      </c>
      <c r="EO38">
        <f t="shared" si="656"/>
        <v>0.85448825850330457</v>
      </c>
      <c r="EP38">
        <f t="shared" si="657"/>
        <v>0.85448825850330457</v>
      </c>
      <c r="EQ38">
        <f t="shared" si="658"/>
        <v>0.85448825850330457</v>
      </c>
      <c r="ER38">
        <f t="shared" si="659"/>
        <v>0.85448825850330457</v>
      </c>
      <c r="ES38">
        <f t="shared" si="660"/>
        <v>0.85448825850330457</v>
      </c>
      <c r="ET38">
        <f t="shared" si="661"/>
        <v>0.85448825850330457</v>
      </c>
      <c r="EU38">
        <f t="shared" si="662"/>
        <v>0.85448825850330457</v>
      </c>
      <c r="EV38">
        <f t="shared" si="663"/>
        <v>0.85448825850330457</v>
      </c>
      <c r="EW38">
        <f t="shared" si="664"/>
        <v>0.85448825850330457</v>
      </c>
      <c r="EX38">
        <f t="shared" si="665"/>
        <v>0.85448825850330457</v>
      </c>
      <c r="EY38">
        <f t="shared" si="666"/>
        <v>0.85448825850330457</v>
      </c>
      <c r="EZ38">
        <f t="shared" si="667"/>
        <v>0.85448825850330457</v>
      </c>
      <c r="FA38">
        <f t="shared" si="668"/>
        <v>0.85448825850330457</v>
      </c>
      <c r="FB38">
        <f t="shared" si="669"/>
        <v>0.85448825850330457</v>
      </c>
      <c r="FC38">
        <f t="shared" si="670"/>
        <v>0.85448825850330457</v>
      </c>
      <c r="FD38">
        <f t="shared" si="671"/>
        <v>0.85448825850330457</v>
      </c>
      <c r="FE38">
        <f t="shared" si="672"/>
        <v>0.85448825850330457</v>
      </c>
      <c r="FF38">
        <f t="shared" si="673"/>
        <v>0.85448825850330457</v>
      </c>
      <c r="FG38">
        <f t="shared" si="674"/>
        <v>0.85448825850330457</v>
      </c>
      <c r="FH38">
        <f t="shared" si="675"/>
        <v>0.85448825850330457</v>
      </c>
      <c r="FI38">
        <f t="shared" si="676"/>
        <v>0.85448825850330457</v>
      </c>
      <c r="FJ38">
        <f t="shared" si="677"/>
        <v>0.85448825850330457</v>
      </c>
      <c r="FK38">
        <f t="shared" si="678"/>
        <v>0.85448825850330457</v>
      </c>
      <c r="FL38">
        <f t="shared" si="679"/>
        <v>0.85448825850330457</v>
      </c>
      <c r="FM38">
        <f t="shared" si="680"/>
        <v>0.85448825850330457</v>
      </c>
      <c r="FN38">
        <f t="shared" si="681"/>
        <v>0.85448825850330457</v>
      </c>
      <c r="FO38">
        <f t="shared" si="682"/>
        <v>0.85448825850330457</v>
      </c>
      <c r="FP38">
        <f t="shared" si="683"/>
        <v>0.85448825850330457</v>
      </c>
      <c r="FQ38">
        <f t="shared" si="684"/>
        <v>0.85448825850330457</v>
      </c>
      <c r="FR38">
        <f t="shared" si="685"/>
        <v>0.85448825850330457</v>
      </c>
      <c r="FS38">
        <f t="shared" si="686"/>
        <v>0.85448825850330457</v>
      </c>
      <c r="FT38">
        <f t="shared" si="687"/>
        <v>0.85448825850330457</v>
      </c>
      <c r="FU38">
        <f t="shared" si="688"/>
        <v>0.85448825850330457</v>
      </c>
      <c r="FV38">
        <f t="shared" si="689"/>
        <v>0.85448825850330457</v>
      </c>
      <c r="FW38">
        <f t="shared" si="690"/>
        <v>0.85448825850330457</v>
      </c>
      <c r="FX38">
        <f t="shared" si="691"/>
        <v>0.85448825850330457</v>
      </c>
      <c r="FY38">
        <f t="shared" si="692"/>
        <v>0.85448825850330457</v>
      </c>
      <c r="FZ38">
        <f t="shared" si="693"/>
        <v>0.85448825850330457</v>
      </c>
      <c r="GA38">
        <f t="shared" si="694"/>
        <v>0.85448825850330457</v>
      </c>
      <c r="GB38">
        <f t="shared" si="695"/>
        <v>0.85448825850330457</v>
      </c>
      <c r="GC38">
        <f t="shared" si="696"/>
        <v>0.85448825850330457</v>
      </c>
      <c r="GD38">
        <f t="shared" si="697"/>
        <v>0.85448825850330457</v>
      </c>
      <c r="GE38">
        <f t="shared" si="698"/>
        <v>0.85448825850330457</v>
      </c>
      <c r="GF38">
        <f t="shared" si="699"/>
        <v>0.85448825850330457</v>
      </c>
      <c r="GG38">
        <f t="shared" si="700"/>
        <v>0.85448825850330457</v>
      </c>
      <c r="GH38">
        <f t="shared" si="701"/>
        <v>0.85448825850330457</v>
      </c>
      <c r="GI38">
        <f t="shared" si="702"/>
        <v>0.85448825850330457</v>
      </c>
      <c r="GJ38">
        <f t="shared" si="703"/>
        <v>0.85448825850330457</v>
      </c>
      <c r="GK38">
        <f t="shared" si="704"/>
        <v>0.85448825850330457</v>
      </c>
      <c r="GL38">
        <f t="shared" si="705"/>
        <v>0.85448825850330457</v>
      </c>
      <c r="GM38">
        <f t="shared" si="706"/>
        <v>0.85448825850330457</v>
      </c>
      <c r="GN38">
        <f t="shared" si="707"/>
        <v>0.85448825850330457</v>
      </c>
      <c r="GO38">
        <f t="shared" si="708"/>
        <v>0.85448825850330457</v>
      </c>
      <c r="GP38">
        <f t="shared" si="709"/>
        <v>0.85448825850330457</v>
      </c>
      <c r="GQ38">
        <f t="shared" si="710"/>
        <v>0.85448825850330457</v>
      </c>
      <c r="GR38">
        <f t="shared" si="711"/>
        <v>0.85448825850330457</v>
      </c>
      <c r="GS38">
        <f t="shared" si="712"/>
        <v>0.85448825850330457</v>
      </c>
      <c r="GT38">
        <f t="shared" si="713"/>
        <v>0.85448825850330457</v>
      </c>
      <c r="GU38">
        <f t="shared" si="714"/>
        <v>0.85448825850330457</v>
      </c>
      <c r="GV38">
        <f t="shared" si="715"/>
        <v>0.85448825850330457</v>
      </c>
      <c r="GW38">
        <f t="shared" si="716"/>
        <v>0.85448825850330457</v>
      </c>
      <c r="GX38">
        <f t="shared" si="717"/>
        <v>0.85448825850330457</v>
      </c>
      <c r="GY38">
        <f t="shared" si="718"/>
        <v>0.85448825850330457</v>
      </c>
      <c r="GZ38">
        <f t="shared" si="719"/>
        <v>0.85448825850330457</v>
      </c>
      <c r="HA38">
        <f t="shared" si="720"/>
        <v>0.85448825850330457</v>
      </c>
      <c r="HB38">
        <f t="shared" si="721"/>
        <v>0.85448825850330457</v>
      </c>
      <c r="HC38">
        <f t="shared" si="722"/>
        <v>0.85448825850330457</v>
      </c>
      <c r="HD38">
        <f t="shared" si="723"/>
        <v>0.85448825850330457</v>
      </c>
      <c r="HE38">
        <f t="shared" si="724"/>
        <v>0.85448825850330457</v>
      </c>
      <c r="HF38">
        <f t="shared" si="725"/>
        <v>0.85448825850330457</v>
      </c>
      <c r="HG38">
        <f t="shared" si="726"/>
        <v>0.85448825850330457</v>
      </c>
      <c r="HH38">
        <f t="shared" si="727"/>
        <v>0.85448825850330457</v>
      </c>
      <c r="HI38">
        <f t="shared" si="728"/>
        <v>0.85448825850330457</v>
      </c>
      <c r="HJ38">
        <f t="shared" si="729"/>
        <v>0.85448825850330457</v>
      </c>
      <c r="HK38">
        <f t="shared" si="730"/>
        <v>0.85448825850330457</v>
      </c>
      <c r="HL38">
        <f t="shared" si="731"/>
        <v>0.85448825850330457</v>
      </c>
      <c r="HM38">
        <f t="shared" si="732"/>
        <v>0.85448825850330457</v>
      </c>
      <c r="HN38">
        <f t="shared" si="733"/>
        <v>0.85448825850330457</v>
      </c>
      <c r="HO38">
        <f t="shared" si="734"/>
        <v>0.85448825850330457</v>
      </c>
      <c r="HP38">
        <f t="shared" si="735"/>
        <v>0.85448825850330457</v>
      </c>
      <c r="HQ38">
        <f t="shared" si="736"/>
        <v>0.85448825850330457</v>
      </c>
      <c r="HR38">
        <f t="shared" si="737"/>
        <v>0.85448825850330457</v>
      </c>
      <c r="HS38">
        <f t="shared" si="738"/>
        <v>0.85448825850330457</v>
      </c>
      <c r="HT38">
        <f t="shared" si="739"/>
        <v>0.85448825850330457</v>
      </c>
      <c r="HU38">
        <f t="shared" si="740"/>
        <v>0.85448825850330457</v>
      </c>
      <c r="HV38">
        <f t="shared" si="741"/>
        <v>0.85448825850330457</v>
      </c>
      <c r="HW38">
        <f t="shared" si="742"/>
        <v>0.85448825850330457</v>
      </c>
      <c r="HX38">
        <f t="shared" si="743"/>
        <v>0.85448825850330457</v>
      </c>
      <c r="HY38">
        <f t="shared" si="744"/>
        <v>0.85448825850330457</v>
      </c>
      <c r="HZ38">
        <f t="shared" si="745"/>
        <v>0.85448825850330457</v>
      </c>
      <c r="IA38">
        <f t="shared" si="746"/>
        <v>0.85448825850330457</v>
      </c>
      <c r="IB38">
        <f t="shared" si="747"/>
        <v>0.85448825850330457</v>
      </c>
      <c r="IC38">
        <f t="shared" si="748"/>
        <v>0.85448825850330457</v>
      </c>
      <c r="ID38">
        <f t="shared" si="749"/>
        <v>0.85448825850330457</v>
      </c>
      <c r="IE38">
        <f t="shared" si="750"/>
        <v>0.85448825850330457</v>
      </c>
      <c r="IF38">
        <f t="shared" si="751"/>
        <v>0.85448825850330457</v>
      </c>
      <c r="IG38">
        <f t="shared" si="752"/>
        <v>0.85448825850330457</v>
      </c>
      <c r="IH38">
        <f t="shared" si="753"/>
        <v>0.85448825850330457</v>
      </c>
      <c r="II38">
        <f t="shared" si="754"/>
        <v>0.85448825850330457</v>
      </c>
      <c r="IJ38">
        <f t="shared" si="755"/>
        <v>0.85448825850330457</v>
      </c>
      <c r="IK38">
        <f t="shared" si="756"/>
        <v>0.85448825850330457</v>
      </c>
      <c r="IL38">
        <f t="shared" si="757"/>
        <v>0.85448825850330457</v>
      </c>
      <c r="IM38">
        <f t="shared" si="758"/>
        <v>0.85448825850330457</v>
      </c>
      <c r="IN38">
        <f t="shared" si="759"/>
        <v>0.85448825850330457</v>
      </c>
      <c r="IO38">
        <f t="shared" si="760"/>
        <v>0.85448825850330457</v>
      </c>
      <c r="IP38">
        <f t="shared" si="761"/>
        <v>0.85448825850330457</v>
      </c>
      <c r="IQ38">
        <f t="shared" si="762"/>
        <v>0.85448825850330457</v>
      </c>
      <c r="IR38">
        <f t="shared" si="763"/>
        <v>0.85448825850330457</v>
      </c>
      <c r="IS38">
        <f t="shared" si="764"/>
        <v>0.85448825850330457</v>
      </c>
      <c r="IT38">
        <f t="shared" si="765"/>
        <v>0.85448825850330457</v>
      </c>
      <c r="IU38">
        <f t="shared" si="766"/>
        <v>0.85448825850330457</v>
      </c>
      <c r="IV38">
        <f t="shared" si="767"/>
        <v>0.85448825850330457</v>
      </c>
    </row>
    <row r="39" spans="1:256" x14ac:dyDescent="0.2">
      <c r="A39" t="s">
        <v>510</v>
      </c>
      <c r="B39">
        <f t="shared" si="513"/>
        <v>1.0638187134491128</v>
      </c>
      <c r="C39">
        <f t="shared" si="514"/>
        <v>1.0638187134491128</v>
      </c>
      <c r="D39">
        <f t="shared" si="515"/>
        <v>1.0638187134491128</v>
      </c>
      <c r="E39">
        <f t="shared" si="516"/>
        <v>1.0638187134491128</v>
      </c>
      <c r="F39">
        <f t="shared" si="517"/>
        <v>1.0638187134491128</v>
      </c>
      <c r="G39">
        <f t="shared" si="518"/>
        <v>1.0638187134491128</v>
      </c>
      <c r="H39">
        <f t="shared" si="519"/>
        <v>1.0638187134491128</v>
      </c>
      <c r="I39">
        <f t="shared" si="520"/>
        <v>1.0638187134491128</v>
      </c>
      <c r="J39">
        <f t="shared" si="521"/>
        <v>0.47543063501986632</v>
      </c>
      <c r="K39">
        <f t="shared" si="522"/>
        <v>0.47543063501986632</v>
      </c>
      <c r="L39">
        <f t="shared" si="523"/>
        <v>0.47543063501986632</v>
      </c>
      <c r="M39">
        <f t="shared" si="524"/>
        <v>0.47543063501986632</v>
      </c>
      <c r="N39">
        <f t="shared" si="525"/>
        <v>0.47543063501986632</v>
      </c>
      <c r="O39">
        <f t="shared" si="526"/>
        <v>0.47543063501986632</v>
      </c>
      <c r="P39">
        <f t="shared" si="527"/>
        <v>0.47543063501986632</v>
      </c>
      <c r="Q39">
        <f t="shared" si="528"/>
        <v>0.47543063501986632</v>
      </c>
      <c r="R39">
        <f t="shared" si="529"/>
        <v>0.21489134857731723</v>
      </c>
      <c r="S39">
        <f t="shared" si="530"/>
        <v>0.21489134857731723</v>
      </c>
      <c r="T39">
        <f t="shared" si="531"/>
        <v>0.21489134857731723</v>
      </c>
      <c r="U39">
        <f t="shared" si="532"/>
        <v>0.21489134857731723</v>
      </c>
      <c r="V39">
        <f t="shared" si="533"/>
        <v>0.21489134857731723</v>
      </c>
      <c r="W39">
        <f t="shared" si="534"/>
        <v>0.21489134857731723</v>
      </c>
      <c r="X39">
        <f t="shared" si="535"/>
        <v>0.21489134857731723</v>
      </c>
      <c r="Y39">
        <f t="shared" si="536"/>
        <v>0.21489134857731723</v>
      </c>
      <c r="Z39">
        <f t="shared" si="537"/>
        <v>0.42978269715463446</v>
      </c>
      <c r="AA39">
        <f t="shared" si="538"/>
        <v>0.42978269715463446</v>
      </c>
      <c r="AB39">
        <f t="shared" si="539"/>
        <v>0.42978269715463446</v>
      </c>
      <c r="AC39">
        <f t="shared" si="540"/>
        <v>0.42978269715463446</v>
      </c>
      <c r="AD39">
        <f t="shared" si="541"/>
        <v>0.42978269715463446</v>
      </c>
      <c r="AE39">
        <f t="shared" si="542"/>
        <v>0.42978269715463446</v>
      </c>
      <c r="AF39">
        <f t="shared" si="543"/>
        <v>0.42978269715463446</v>
      </c>
      <c r="AG39">
        <f t="shared" si="544"/>
        <v>0.42978269715463446</v>
      </c>
      <c r="AH39">
        <f t="shared" si="545"/>
        <v>0.55213714599609376</v>
      </c>
      <c r="AI39">
        <f t="shared" si="546"/>
        <v>0.55213714599609376</v>
      </c>
      <c r="AJ39">
        <f t="shared" si="547"/>
        <v>0.55213714599609376</v>
      </c>
      <c r="AK39">
        <f t="shared" si="548"/>
        <v>0.55213714599609376</v>
      </c>
      <c r="AL39">
        <f t="shared" si="549"/>
        <v>0.55213714599609376</v>
      </c>
      <c r="AM39">
        <f t="shared" si="550"/>
        <v>0.55213714599609376</v>
      </c>
      <c r="AN39">
        <f t="shared" si="551"/>
        <v>0.55213714599609376</v>
      </c>
      <c r="AO39">
        <f t="shared" si="552"/>
        <v>0.55213714599609376</v>
      </c>
      <c r="AP39">
        <f t="shared" si="553"/>
        <v>0.69839349954030705</v>
      </c>
      <c r="AQ39">
        <f t="shared" si="554"/>
        <v>0.69839349954030705</v>
      </c>
      <c r="AR39">
        <f t="shared" si="555"/>
        <v>0.69839349954030705</v>
      </c>
      <c r="AS39">
        <f t="shared" si="556"/>
        <v>0.69839349954030705</v>
      </c>
      <c r="AT39">
        <f t="shared" si="557"/>
        <v>0.69839349954030705</v>
      </c>
      <c r="AU39">
        <f t="shared" si="558"/>
        <v>0.69839349954030705</v>
      </c>
      <c r="AV39">
        <f t="shared" si="559"/>
        <v>0.69839349954030705</v>
      </c>
      <c r="AW39">
        <f t="shared" si="560"/>
        <v>0.69839349954030705</v>
      </c>
      <c r="AX39">
        <f t="shared" si="561"/>
        <v>0.50716483054016959</v>
      </c>
      <c r="AY39">
        <f t="shared" si="562"/>
        <v>0.50716483054016959</v>
      </c>
      <c r="AZ39">
        <f t="shared" si="563"/>
        <v>0.50716483054016959</v>
      </c>
      <c r="BA39">
        <f t="shared" si="564"/>
        <v>0.50716483054016959</v>
      </c>
      <c r="BB39">
        <f t="shared" si="565"/>
        <v>0.50716483054016959</v>
      </c>
      <c r="BC39">
        <f t="shared" si="566"/>
        <v>0.50716483054016959</v>
      </c>
      <c r="BD39">
        <f t="shared" si="567"/>
        <v>0.50716483054016959</v>
      </c>
      <c r="BE39">
        <f t="shared" si="568"/>
        <v>0.50716483054016959</v>
      </c>
      <c r="BF39">
        <f t="shared" si="569"/>
        <v>0.50716483054016959</v>
      </c>
      <c r="BG39">
        <f t="shared" si="570"/>
        <v>0.50716483054016959</v>
      </c>
      <c r="BH39">
        <f t="shared" si="571"/>
        <v>0.50716483054016959</v>
      </c>
      <c r="BI39">
        <f t="shared" si="572"/>
        <v>0.50716483054016959</v>
      </c>
      <c r="BJ39">
        <f t="shared" si="573"/>
        <v>0.50716483054016959</v>
      </c>
      <c r="BK39">
        <f t="shared" si="574"/>
        <v>0.50716483054016959</v>
      </c>
      <c r="BL39">
        <f t="shared" si="575"/>
        <v>0.50716483054016959</v>
      </c>
      <c r="BM39">
        <f t="shared" si="576"/>
        <v>0.50716483054016959</v>
      </c>
      <c r="BN39">
        <f t="shared" si="577"/>
        <v>0.50716483054016959</v>
      </c>
      <c r="BO39">
        <f t="shared" si="578"/>
        <v>0.50716483054016959</v>
      </c>
      <c r="BP39">
        <f t="shared" si="579"/>
        <v>0.50716483054016959</v>
      </c>
      <c r="BQ39">
        <f t="shared" si="580"/>
        <v>0.50716483054016959</v>
      </c>
      <c r="BR39">
        <f t="shared" si="581"/>
        <v>0.50716483054016959</v>
      </c>
      <c r="BS39">
        <f t="shared" si="582"/>
        <v>0.50716483054016959</v>
      </c>
      <c r="BT39">
        <f t="shared" si="583"/>
        <v>0.50716483054016959</v>
      </c>
      <c r="BU39">
        <f t="shared" si="584"/>
        <v>0.50716483054016959</v>
      </c>
      <c r="BV39">
        <f t="shared" si="585"/>
        <v>0.50716483054016959</v>
      </c>
      <c r="BW39">
        <f t="shared" si="586"/>
        <v>0.50716483054016959</v>
      </c>
      <c r="BX39">
        <f t="shared" si="587"/>
        <v>0.50716483054016959</v>
      </c>
      <c r="BY39">
        <f t="shared" si="588"/>
        <v>0.50716483054016959</v>
      </c>
      <c r="BZ39">
        <f t="shared" si="589"/>
        <v>0.50716483054016959</v>
      </c>
      <c r="CA39">
        <f t="shared" si="590"/>
        <v>0.50716483054016959</v>
      </c>
      <c r="CB39">
        <f t="shared" si="591"/>
        <v>0.50716483054016959</v>
      </c>
      <c r="CC39">
        <f t="shared" si="592"/>
        <v>0.50716483054016959</v>
      </c>
      <c r="CD39">
        <f t="shared" si="593"/>
        <v>0.50716483054016959</v>
      </c>
      <c r="CE39">
        <f t="shared" si="594"/>
        <v>0.50716483054016959</v>
      </c>
      <c r="CF39">
        <f t="shared" si="595"/>
        <v>0.50716483054016959</v>
      </c>
      <c r="CG39">
        <f t="shared" si="596"/>
        <v>0.50716483054016959</v>
      </c>
      <c r="CH39">
        <f t="shared" si="597"/>
        <v>0.50716483054016959</v>
      </c>
      <c r="CI39">
        <f t="shared" si="598"/>
        <v>0.50716483054016959</v>
      </c>
      <c r="CJ39">
        <f t="shared" si="599"/>
        <v>0.50716483054016959</v>
      </c>
      <c r="CK39">
        <f t="shared" si="600"/>
        <v>0.50716483054016959</v>
      </c>
      <c r="CL39">
        <f t="shared" si="601"/>
        <v>0.50716483054016959</v>
      </c>
      <c r="CM39">
        <f t="shared" si="602"/>
        <v>0.50716483054016959</v>
      </c>
      <c r="CN39">
        <f t="shared" si="603"/>
        <v>0.50716483054016959</v>
      </c>
      <c r="CO39">
        <f t="shared" si="604"/>
        <v>0.50716483054016959</v>
      </c>
      <c r="CP39">
        <f t="shared" si="605"/>
        <v>0.50716483054016959</v>
      </c>
      <c r="CQ39">
        <f t="shared" si="606"/>
        <v>0.50716483054016959</v>
      </c>
      <c r="CR39">
        <f t="shared" si="607"/>
        <v>0.50716483054016959</v>
      </c>
      <c r="CS39">
        <f t="shared" si="608"/>
        <v>0.50716483054016959</v>
      </c>
      <c r="CT39">
        <f t="shared" si="609"/>
        <v>0.50716483054016959</v>
      </c>
      <c r="CU39">
        <f t="shared" si="610"/>
        <v>0.50716483054016959</v>
      </c>
      <c r="CV39">
        <f t="shared" si="611"/>
        <v>0.50716483054016959</v>
      </c>
      <c r="CW39">
        <f t="shared" si="612"/>
        <v>0.50716483054016959</v>
      </c>
      <c r="CX39">
        <f t="shared" si="613"/>
        <v>0.50716483054016959</v>
      </c>
      <c r="CY39">
        <f t="shared" si="614"/>
        <v>0.50716483054016959</v>
      </c>
      <c r="CZ39">
        <f t="shared" si="615"/>
        <v>0.50716483054016959</v>
      </c>
      <c r="DA39">
        <f t="shared" si="616"/>
        <v>0.50716483054016959</v>
      </c>
      <c r="DB39">
        <f t="shared" si="617"/>
        <v>0.50716483054016959</v>
      </c>
      <c r="DC39">
        <f t="shared" si="618"/>
        <v>0.50716483054016959</v>
      </c>
      <c r="DD39">
        <f t="shared" si="619"/>
        <v>0.50716483054016959</v>
      </c>
      <c r="DE39">
        <f t="shared" si="620"/>
        <v>0.50716483054016959</v>
      </c>
      <c r="DF39">
        <f t="shared" si="621"/>
        <v>0.50716483054016959</v>
      </c>
      <c r="DG39">
        <f t="shared" si="622"/>
        <v>0.50716483054016959</v>
      </c>
      <c r="DH39">
        <f t="shared" si="623"/>
        <v>0.50716483054016959</v>
      </c>
      <c r="DI39">
        <f t="shared" si="624"/>
        <v>0.50716483054016959</v>
      </c>
      <c r="DJ39">
        <f t="shared" si="625"/>
        <v>0.50716483054016959</v>
      </c>
      <c r="DK39">
        <f t="shared" si="626"/>
        <v>0.50716483054016959</v>
      </c>
      <c r="DL39">
        <f t="shared" si="627"/>
        <v>0.50716483054016959</v>
      </c>
      <c r="DM39">
        <f t="shared" si="628"/>
        <v>0.50716483054016959</v>
      </c>
      <c r="DN39">
        <f t="shared" si="629"/>
        <v>0.50716483054016959</v>
      </c>
      <c r="DO39">
        <f t="shared" si="630"/>
        <v>0.50716483054016959</v>
      </c>
      <c r="DP39">
        <f t="shared" si="631"/>
        <v>0.50716483054016959</v>
      </c>
      <c r="DQ39">
        <f t="shared" si="632"/>
        <v>0.50716483054016959</v>
      </c>
      <c r="DR39">
        <f t="shared" si="633"/>
        <v>0.50716483054016959</v>
      </c>
      <c r="DS39">
        <f t="shared" si="634"/>
        <v>0.50716483054016959</v>
      </c>
      <c r="DT39">
        <f t="shared" si="635"/>
        <v>0.50716483054016959</v>
      </c>
      <c r="DU39">
        <f t="shared" si="636"/>
        <v>0.50716483054016959</v>
      </c>
      <c r="DV39">
        <f t="shared" si="637"/>
        <v>0.50716483054016959</v>
      </c>
      <c r="DW39">
        <f t="shared" si="638"/>
        <v>0.50716483054016959</v>
      </c>
      <c r="DX39">
        <f t="shared" si="639"/>
        <v>0.50716483054016959</v>
      </c>
      <c r="DY39">
        <f t="shared" si="640"/>
        <v>0.50716483054016959</v>
      </c>
      <c r="DZ39">
        <f t="shared" si="641"/>
        <v>0.50716483054016959</v>
      </c>
      <c r="EA39">
        <f t="shared" si="642"/>
        <v>0.50716483054016959</v>
      </c>
      <c r="EB39">
        <f t="shared" si="643"/>
        <v>0.50716483054016959</v>
      </c>
      <c r="EC39">
        <f t="shared" si="644"/>
        <v>0.50716483054016959</v>
      </c>
      <c r="ED39">
        <f t="shared" si="645"/>
        <v>0.50716483054016959</v>
      </c>
      <c r="EE39">
        <f t="shared" si="646"/>
        <v>0.50716483054016959</v>
      </c>
      <c r="EF39">
        <f t="shared" si="647"/>
        <v>0.50716483054016959</v>
      </c>
      <c r="EG39">
        <f t="shared" si="648"/>
        <v>0.50716483054016959</v>
      </c>
      <c r="EH39">
        <f t="shared" si="649"/>
        <v>0.50716483054016959</v>
      </c>
      <c r="EI39">
        <f t="shared" si="650"/>
        <v>0.50716483054016959</v>
      </c>
      <c r="EJ39">
        <f t="shared" si="651"/>
        <v>0.50716483054016959</v>
      </c>
      <c r="EK39">
        <f t="shared" si="652"/>
        <v>0.50716483054016959</v>
      </c>
      <c r="EL39">
        <f t="shared" si="653"/>
        <v>0.50716483054016959</v>
      </c>
      <c r="EM39">
        <f t="shared" si="654"/>
        <v>0.50716483054016959</v>
      </c>
      <c r="EN39">
        <f t="shared" si="655"/>
        <v>0.50716483054016959</v>
      </c>
      <c r="EO39">
        <f t="shared" si="656"/>
        <v>0.50716483054016959</v>
      </c>
      <c r="EP39">
        <f t="shared" si="657"/>
        <v>0.50716483054016959</v>
      </c>
      <c r="EQ39">
        <f t="shared" si="658"/>
        <v>0.50716483054016959</v>
      </c>
      <c r="ER39">
        <f t="shared" si="659"/>
        <v>0.50716483054016959</v>
      </c>
      <c r="ES39">
        <f t="shared" si="660"/>
        <v>0.50716483054016959</v>
      </c>
      <c r="ET39">
        <f t="shared" si="661"/>
        <v>0.50716483054016959</v>
      </c>
      <c r="EU39">
        <f t="shared" si="662"/>
        <v>0.50716483054016959</v>
      </c>
      <c r="EV39">
        <f t="shared" si="663"/>
        <v>0.50716483054016959</v>
      </c>
      <c r="EW39">
        <f t="shared" si="664"/>
        <v>0.50716483054016959</v>
      </c>
      <c r="EX39">
        <f t="shared" si="665"/>
        <v>0.50716483054016959</v>
      </c>
      <c r="EY39">
        <f t="shared" si="666"/>
        <v>0.50716483054016959</v>
      </c>
      <c r="EZ39">
        <f t="shared" si="667"/>
        <v>0.50716483054016959</v>
      </c>
      <c r="FA39">
        <f t="shared" si="668"/>
        <v>0.50716483054016959</v>
      </c>
      <c r="FB39">
        <f t="shared" si="669"/>
        <v>0.50716483054016959</v>
      </c>
      <c r="FC39">
        <f t="shared" si="670"/>
        <v>0.50716483054016959</v>
      </c>
      <c r="FD39">
        <f t="shared" si="671"/>
        <v>0.50716483054016959</v>
      </c>
      <c r="FE39">
        <f t="shared" si="672"/>
        <v>0.50716483054016959</v>
      </c>
      <c r="FF39">
        <f t="shared" si="673"/>
        <v>0.50716483054016959</v>
      </c>
      <c r="FG39">
        <f t="shared" si="674"/>
        <v>0.50716483054016959</v>
      </c>
      <c r="FH39">
        <f t="shared" si="675"/>
        <v>0.50716483054016959</v>
      </c>
      <c r="FI39">
        <f t="shared" si="676"/>
        <v>0.50716483054016959</v>
      </c>
      <c r="FJ39">
        <f t="shared" si="677"/>
        <v>0.50716483054016959</v>
      </c>
      <c r="FK39">
        <f t="shared" si="678"/>
        <v>0.50716483054016959</v>
      </c>
      <c r="FL39">
        <f t="shared" si="679"/>
        <v>0.50716483054016959</v>
      </c>
      <c r="FM39">
        <f t="shared" si="680"/>
        <v>0.50716483054016959</v>
      </c>
      <c r="FN39">
        <f t="shared" si="681"/>
        <v>0.50716483054016959</v>
      </c>
      <c r="FO39">
        <f t="shared" si="682"/>
        <v>0.50716483054016959</v>
      </c>
      <c r="FP39">
        <f t="shared" si="683"/>
        <v>0.50716483054016959</v>
      </c>
      <c r="FQ39">
        <f t="shared" si="684"/>
        <v>0.50716483054016959</v>
      </c>
      <c r="FR39">
        <f t="shared" si="685"/>
        <v>0.50716483054016959</v>
      </c>
      <c r="FS39">
        <f t="shared" si="686"/>
        <v>0.50716483054016959</v>
      </c>
      <c r="FT39">
        <f t="shared" si="687"/>
        <v>0.50716483054016959</v>
      </c>
      <c r="FU39">
        <f t="shared" si="688"/>
        <v>0.50716483054016959</v>
      </c>
      <c r="FV39">
        <f t="shared" si="689"/>
        <v>0.50716483054016959</v>
      </c>
      <c r="FW39">
        <f t="shared" si="690"/>
        <v>0.50716483054016959</v>
      </c>
      <c r="FX39">
        <f t="shared" si="691"/>
        <v>0.50716483054016959</v>
      </c>
      <c r="FY39">
        <f t="shared" si="692"/>
        <v>0.50716483054016959</v>
      </c>
      <c r="FZ39">
        <f t="shared" si="693"/>
        <v>0.50716483054016959</v>
      </c>
      <c r="GA39">
        <f t="shared" si="694"/>
        <v>0.50716483054016959</v>
      </c>
      <c r="GB39">
        <f t="shared" si="695"/>
        <v>0.50716483054016959</v>
      </c>
      <c r="GC39">
        <f t="shared" si="696"/>
        <v>0.50716483054016959</v>
      </c>
      <c r="GD39">
        <f t="shared" si="697"/>
        <v>0.50716483054016959</v>
      </c>
      <c r="GE39">
        <f t="shared" si="698"/>
        <v>0.50716483054016959</v>
      </c>
      <c r="GF39">
        <f t="shared" si="699"/>
        <v>0.50716483054016959</v>
      </c>
      <c r="GG39">
        <f t="shared" si="700"/>
        <v>0.50716483054016959</v>
      </c>
      <c r="GH39">
        <f t="shared" si="701"/>
        <v>0.50716483054016959</v>
      </c>
      <c r="GI39">
        <f t="shared" si="702"/>
        <v>0.50716483054016959</v>
      </c>
      <c r="GJ39">
        <f t="shared" si="703"/>
        <v>0.50716483054016959</v>
      </c>
      <c r="GK39">
        <f t="shared" si="704"/>
        <v>0.50716483054016959</v>
      </c>
      <c r="GL39">
        <f t="shared" si="705"/>
        <v>0.50716483054016959</v>
      </c>
      <c r="GM39">
        <f t="shared" si="706"/>
        <v>0.50716483054016959</v>
      </c>
      <c r="GN39">
        <f t="shared" si="707"/>
        <v>0.50716483054016959</v>
      </c>
      <c r="GO39">
        <f t="shared" si="708"/>
        <v>0.50716483054016959</v>
      </c>
      <c r="GP39">
        <f t="shared" si="709"/>
        <v>0.50716483054016959</v>
      </c>
      <c r="GQ39">
        <f t="shared" si="710"/>
        <v>0.50716483054016959</v>
      </c>
      <c r="GR39">
        <f t="shared" si="711"/>
        <v>0.50716483054016959</v>
      </c>
      <c r="GS39">
        <f t="shared" si="712"/>
        <v>0.50716483054016959</v>
      </c>
      <c r="GT39">
        <f t="shared" si="713"/>
        <v>0.50716483054016959</v>
      </c>
      <c r="GU39">
        <f t="shared" si="714"/>
        <v>0.50716483054016959</v>
      </c>
      <c r="GV39">
        <f t="shared" si="715"/>
        <v>0.50716483054016959</v>
      </c>
      <c r="GW39">
        <f t="shared" si="716"/>
        <v>0.50716483054016959</v>
      </c>
      <c r="GX39">
        <f t="shared" si="717"/>
        <v>0.50716483054016959</v>
      </c>
      <c r="GY39">
        <f t="shared" si="718"/>
        <v>0.50716483054016959</v>
      </c>
      <c r="GZ39">
        <f t="shared" si="719"/>
        <v>0.50716483054016959</v>
      </c>
      <c r="HA39">
        <f t="shared" si="720"/>
        <v>0.50716483054016959</v>
      </c>
      <c r="HB39">
        <f t="shared" si="721"/>
        <v>0.50716483054016959</v>
      </c>
      <c r="HC39">
        <f t="shared" si="722"/>
        <v>0.50716483054016959</v>
      </c>
      <c r="HD39">
        <f t="shared" si="723"/>
        <v>0.50716483054016959</v>
      </c>
      <c r="HE39">
        <f t="shared" si="724"/>
        <v>0.50716483054016959</v>
      </c>
      <c r="HF39">
        <f t="shared" si="725"/>
        <v>0.50716483054016959</v>
      </c>
      <c r="HG39">
        <f t="shared" si="726"/>
        <v>0.50716483054016959</v>
      </c>
      <c r="HH39">
        <f t="shared" si="727"/>
        <v>0.50716483054016959</v>
      </c>
      <c r="HI39">
        <f t="shared" si="728"/>
        <v>0.50716483054016959</v>
      </c>
      <c r="HJ39">
        <f t="shared" si="729"/>
        <v>0.50716483054016959</v>
      </c>
      <c r="HK39">
        <f t="shared" si="730"/>
        <v>0.50716483054016959</v>
      </c>
      <c r="HL39">
        <f t="shared" si="731"/>
        <v>0.50716483054016959</v>
      </c>
      <c r="HM39">
        <f t="shared" si="732"/>
        <v>0.50716483054016959</v>
      </c>
      <c r="HN39">
        <f t="shared" si="733"/>
        <v>0.50716483054016959</v>
      </c>
      <c r="HO39">
        <f t="shared" si="734"/>
        <v>0.50716483054016959</v>
      </c>
      <c r="HP39">
        <f t="shared" si="735"/>
        <v>0.50716483054016959</v>
      </c>
      <c r="HQ39">
        <f t="shared" si="736"/>
        <v>0.50716483054016959</v>
      </c>
      <c r="HR39">
        <f t="shared" si="737"/>
        <v>0.50716483054016959</v>
      </c>
      <c r="HS39">
        <f t="shared" si="738"/>
        <v>0.50716483054016959</v>
      </c>
      <c r="HT39">
        <f t="shared" si="739"/>
        <v>0.50716483054016959</v>
      </c>
      <c r="HU39">
        <f t="shared" si="740"/>
        <v>0.50716483054016959</v>
      </c>
      <c r="HV39">
        <f t="shared" si="741"/>
        <v>0.50716483054016959</v>
      </c>
      <c r="HW39">
        <f t="shared" si="742"/>
        <v>0.50716483054016959</v>
      </c>
      <c r="HX39">
        <f t="shared" si="743"/>
        <v>0.50716483054016959</v>
      </c>
      <c r="HY39">
        <f t="shared" si="744"/>
        <v>0.50716483054016959</v>
      </c>
      <c r="HZ39">
        <f t="shared" si="745"/>
        <v>0.50716483054016959</v>
      </c>
      <c r="IA39">
        <f t="shared" si="746"/>
        <v>0.50716483054016959</v>
      </c>
      <c r="IB39">
        <f t="shared" si="747"/>
        <v>0.50716483054016959</v>
      </c>
      <c r="IC39">
        <f t="shared" si="748"/>
        <v>0.50716483054016959</v>
      </c>
      <c r="ID39">
        <f t="shared" si="749"/>
        <v>0.50716483054016959</v>
      </c>
      <c r="IE39">
        <f t="shared" si="750"/>
        <v>0.50716483054016959</v>
      </c>
      <c r="IF39">
        <f t="shared" si="751"/>
        <v>0.50716483054016959</v>
      </c>
      <c r="IG39">
        <f t="shared" si="752"/>
        <v>0.50716483054016959</v>
      </c>
      <c r="IH39">
        <f t="shared" si="753"/>
        <v>0.50716483054016959</v>
      </c>
      <c r="II39">
        <f t="shared" si="754"/>
        <v>0.50716483054016959</v>
      </c>
      <c r="IJ39">
        <f t="shared" si="755"/>
        <v>0.50716483054016959</v>
      </c>
      <c r="IK39">
        <f t="shared" si="756"/>
        <v>0.50716483054016959</v>
      </c>
      <c r="IL39">
        <f t="shared" si="757"/>
        <v>0.50716483054016959</v>
      </c>
      <c r="IM39">
        <f t="shared" si="758"/>
        <v>0.50716483054016959</v>
      </c>
      <c r="IN39">
        <f t="shared" si="759"/>
        <v>0.50716483054016959</v>
      </c>
      <c r="IO39">
        <f t="shared" si="760"/>
        <v>0.50716483054016959</v>
      </c>
      <c r="IP39">
        <f t="shared" si="761"/>
        <v>0.50716483054016959</v>
      </c>
      <c r="IQ39">
        <f t="shared" si="762"/>
        <v>0.50716483054016959</v>
      </c>
      <c r="IR39">
        <f t="shared" si="763"/>
        <v>0.50716483054016959</v>
      </c>
      <c r="IS39">
        <f t="shared" si="764"/>
        <v>0.50716483054016959</v>
      </c>
      <c r="IT39">
        <f t="shared" si="765"/>
        <v>0.50716483054016959</v>
      </c>
      <c r="IU39">
        <f t="shared" si="766"/>
        <v>0.50716483054016959</v>
      </c>
      <c r="IV39">
        <f t="shared" si="767"/>
        <v>0.50716483054016959</v>
      </c>
    </row>
    <row r="40" spans="1:256" x14ac:dyDescent="0.2">
      <c r="A40" t="s">
        <v>511</v>
      </c>
      <c r="B40">
        <f t="shared" si="513"/>
        <v>0.62411544673630581</v>
      </c>
      <c r="C40">
        <f t="shared" si="514"/>
        <v>0.62411544673630581</v>
      </c>
      <c r="D40">
        <f t="shared" si="515"/>
        <v>0.62411544673630581</v>
      </c>
      <c r="E40">
        <f t="shared" si="516"/>
        <v>0.62411544673630581</v>
      </c>
      <c r="F40">
        <f t="shared" si="517"/>
        <v>0.62411544673630581</v>
      </c>
      <c r="G40">
        <f t="shared" si="518"/>
        <v>0.62411544673630581</v>
      </c>
      <c r="H40">
        <f t="shared" si="519"/>
        <v>0.62411544673630581</v>
      </c>
      <c r="I40">
        <f t="shared" si="520"/>
        <v>0.62411544673630581</v>
      </c>
      <c r="J40">
        <f t="shared" si="521"/>
        <v>1.0973155493275268</v>
      </c>
      <c r="K40">
        <f t="shared" si="522"/>
        <v>1.0973155493275268</v>
      </c>
      <c r="L40">
        <f t="shared" si="523"/>
        <v>1.0973155493275268</v>
      </c>
      <c r="M40">
        <f t="shared" si="524"/>
        <v>1.0973155493275268</v>
      </c>
      <c r="N40">
        <f t="shared" si="525"/>
        <v>1.0973155493275268</v>
      </c>
      <c r="O40">
        <f t="shared" si="526"/>
        <v>1.0973155493275268</v>
      </c>
      <c r="P40">
        <f t="shared" si="527"/>
        <v>1.0973155493275268</v>
      </c>
      <c r="Q40">
        <f t="shared" si="528"/>
        <v>1.0973155493275268</v>
      </c>
      <c r="R40">
        <f t="shared" si="529"/>
        <v>1.448122768254247</v>
      </c>
      <c r="S40">
        <f t="shared" si="530"/>
        <v>1.448122768254247</v>
      </c>
      <c r="T40">
        <f t="shared" si="531"/>
        <v>1.448122768254247</v>
      </c>
      <c r="U40">
        <f t="shared" si="532"/>
        <v>1.448122768254247</v>
      </c>
      <c r="V40">
        <f t="shared" si="533"/>
        <v>1.448122768254247</v>
      </c>
      <c r="W40">
        <f t="shared" si="534"/>
        <v>1.448122768254247</v>
      </c>
      <c r="X40">
        <f t="shared" si="535"/>
        <v>1.448122768254247</v>
      </c>
      <c r="Y40">
        <f t="shared" si="536"/>
        <v>1.448122768254247</v>
      </c>
      <c r="Z40">
        <f t="shared" si="537"/>
        <v>1.7316711714938484</v>
      </c>
      <c r="AA40">
        <f t="shared" si="538"/>
        <v>1.7316711714938484</v>
      </c>
      <c r="AB40">
        <f t="shared" si="539"/>
        <v>1.7316711714938484</v>
      </c>
      <c r="AC40">
        <f t="shared" si="540"/>
        <v>1.7316711714938484</v>
      </c>
      <c r="AD40">
        <f t="shared" si="541"/>
        <v>1.7316711714938484</v>
      </c>
      <c r="AE40">
        <f t="shared" si="542"/>
        <v>1.7316711714938484</v>
      </c>
      <c r="AF40">
        <f t="shared" si="543"/>
        <v>1.7316711714938484</v>
      </c>
      <c r="AG40">
        <f t="shared" si="544"/>
        <v>1.7316711714938484</v>
      </c>
      <c r="AH40">
        <f t="shared" si="545"/>
        <v>0.65300369262695313</v>
      </c>
      <c r="AI40">
        <f t="shared" si="546"/>
        <v>0.65300369262695313</v>
      </c>
      <c r="AJ40">
        <f t="shared" si="547"/>
        <v>0.65300369262695313</v>
      </c>
      <c r="AK40">
        <f t="shared" si="548"/>
        <v>0.65300369262695313</v>
      </c>
      <c r="AL40">
        <f t="shared" si="549"/>
        <v>0.65300369262695313</v>
      </c>
      <c r="AM40">
        <f t="shared" si="550"/>
        <v>0.65300369262695313</v>
      </c>
      <c r="AN40">
        <f t="shared" si="551"/>
        <v>0.65300369262695313</v>
      </c>
      <c r="AO40">
        <f t="shared" si="552"/>
        <v>0.65300369262695313</v>
      </c>
      <c r="AP40">
        <f t="shared" si="553"/>
        <v>1.0064042532361166</v>
      </c>
      <c r="AQ40">
        <f t="shared" si="554"/>
        <v>1.0064042532361166</v>
      </c>
      <c r="AR40">
        <f t="shared" si="555"/>
        <v>1.0064042532361166</v>
      </c>
      <c r="AS40">
        <f t="shared" si="556"/>
        <v>1.0064042532361166</v>
      </c>
      <c r="AT40">
        <f t="shared" si="557"/>
        <v>1.0064042532361166</v>
      </c>
      <c r="AU40">
        <f t="shared" si="558"/>
        <v>1.0064042532361166</v>
      </c>
      <c r="AV40">
        <f t="shared" si="559"/>
        <v>1.0064042532361166</v>
      </c>
      <c r="AW40">
        <f t="shared" si="560"/>
        <v>1.0064042532361166</v>
      </c>
      <c r="AX40">
        <f t="shared" si="561"/>
        <v>0.54070595447100034</v>
      </c>
      <c r="AY40">
        <f t="shared" si="562"/>
        <v>0.54070595447100034</v>
      </c>
      <c r="AZ40">
        <f t="shared" si="563"/>
        <v>0.54070595447100034</v>
      </c>
      <c r="BA40">
        <f t="shared" si="564"/>
        <v>0.54070595447100034</v>
      </c>
      <c r="BB40">
        <f t="shared" si="565"/>
        <v>0.54070595447100034</v>
      </c>
      <c r="BC40">
        <f t="shared" si="566"/>
        <v>0.54070595447100034</v>
      </c>
      <c r="BD40">
        <f t="shared" si="567"/>
        <v>0.54070595447100034</v>
      </c>
      <c r="BE40">
        <f t="shared" si="568"/>
        <v>0.54070595447100034</v>
      </c>
      <c r="BF40">
        <f t="shared" si="569"/>
        <v>0.54070595447100034</v>
      </c>
      <c r="BG40">
        <f t="shared" si="570"/>
        <v>0.54070595447100034</v>
      </c>
      <c r="BH40">
        <f t="shared" si="571"/>
        <v>0.54070595447100034</v>
      </c>
      <c r="BI40">
        <f t="shared" si="572"/>
        <v>0.54070595447100034</v>
      </c>
      <c r="BJ40">
        <f t="shared" si="573"/>
        <v>0.54070595447100034</v>
      </c>
      <c r="BK40">
        <f t="shared" si="574"/>
        <v>0.54070595447100034</v>
      </c>
      <c r="BL40">
        <f t="shared" si="575"/>
        <v>0.54070595447100034</v>
      </c>
      <c r="BM40">
        <f t="shared" si="576"/>
        <v>0.54070595447100034</v>
      </c>
      <c r="BN40">
        <f t="shared" si="577"/>
        <v>0.54070595447100034</v>
      </c>
      <c r="BO40">
        <f t="shared" si="578"/>
        <v>0.54070595447100034</v>
      </c>
      <c r="BP40">
        <f t="shared" si="579"/>
        <v>0.54070595447100034</v>
      </c>
      <c r="BQ40">
        <f t="shared" si="580"/>
        <v>0.54070595447100034</v>
      </c>
      <c r="BR40">
        <f t="shared" si="581"/>
        <v>0.54070595447100034</v>
      </c>
      <c r="BS40">
        <f t="shared" si="582"/>
        <v>0.54070595447100034</v>
      </c>
      <c r="BT40">
        <f t="shared" si="583"/>
        <v>0.54070595447100034</v>
      </c>
      <c r="BU40">
        <f t="shared" si="584"/>
        <v>0.54070595447100034</v>
      </c>
      <c r="BV40">
        <f t="shared" si="585"/>
        <v>0.54070595447100034</v>
      </c>
      <c r="BW40">
        <f t="shared" si="586"/>
        <v>0.54070595447100034</v>
      </c>
      <c r="BX40">
        <f t="shared" si="587"/>
        <v>0.54070595447100034</v>
      </c>
      <c r="BY40">
        <f t="shared" si="588"/>
        <v>0.54070595447100034</v>
      </c>
      <c r="BZ40">
        <f t="shared" si="589"/>
        <v>0.54070595447100034</v>
      </c>
      <c r="CA40">
        <f t="shared" si="590"/>
        <v>0.54070595447100034</v>
      </c>
      <c r="CB40">
        <f t="shared" si="591"/>
        <v>0.54070595447100034</v>
      </c>
      <c r="CC40">
        <f t="shared" si="592"/>
        <v>0.54070595447100034</v>
      </c>
      <c r="CD40">
        <f t="shared" si="593"/>
        <v>0.54070595447100034</v>
      </c>
      <c r="CE40">
        <f t="shared" si="594"/>
        <v>0.54070595447100034</v>
      </c>
      <c r="CF40">
        <f t="shared" si="595"/>
        <v>0.54070595447100034</v>
      </c>
      <c r="CG40">
        <f t="shared" si="596"/>
        <v>0.54070595447100034</v>
      </c>
      <c r="CH40">
        <f t="shared" si="597"/>
        <v>0.54070595447100034</v>
      </c>
      <c r="CI40">
        <f t="shared" si="598"/>
        <v>0.54070595447100034</v>
      </c>
      <c r="CJ40">
        <f t="shared" si="599"/>
        <v>0.54070595447100034</v>
      </c>
      <c r="CK40">
        <f t="shared" si="600"/>
        <v>0.54070595447100034</v>
      </c>
      <c r="CL40">
        <f t="shared" si="601"/>
        <v>0.54070595447100034</v>
      </c>
      <c r="CM40">
        <f t="shared" si="602"/>
        <v>0.54070595447100034</v>
      </c>
      <c r="CN40">
        <f t="shared" si="603"/>
        <v>0.54070595447100034</v>
      </c>
      <c r="CO40">
        <f t="shared" si="604"/>
        <v>0.54070595447100034</v>
      </c>
      <c r="CP40">
        <f t="shared" si="605"/>
        <v>0.54070595447100034</v>
      </c>
      <c r="CQ40">
        <f t="shared" si="606"/>
        <v>0.54070595447100034</v>
      </c>
      <c r="CR40">
        <f t="shared" si="607"/>
        <v>0.54070595447100034</v>
      </c>
      <c r="CS40">
        <f t="shared" si="608"/>
        <v>0.54070595447100034</v>
      </c>
      <c r="CT40">
        <f t="shared" si="609"/>
        <v>0.54070595447100034</v>
      </c>
      <c r="CU40">
        <f t="shared" si="610"/>
        <v>0.54070595447100034</v>
      </c>
      <c r="CV40">
        <f t="shared" si="611"/>
        <v>0.54070595447100034</v>
      </c>
      <c r="CW40">
        <f t="shared" si="612"/>
        <v>0.54070595447100034</v>
      </c>
      <c r="CX40">
        <f t="shared" si="613"/>
        <v>0.54070595447100034</v>
      </c>
      <c r="CY40">
        <f t="shared" si="614"/>
        <v>0.54070595447100034</v>
      </c>
      <c r="CZ40">
        <f t="shared" si="615"/>
        <v>0.54070595447100034</v>
      </c>
      <c r="DA40">
        <f t="shared" si="616"/>
        <v>0.54070595447100034</v>
      </c>
      <c r="DB40">
        <f t="shared" si="617"/>
        <v>0.54070595447100034</v>
      </c>
      <c r="DC40">
        <f t="shared" si="618"/>
        <v>0.54070595447100034</v>
      </c>
      <c r="DD40">
        <f t="shared" si="619"/>
        <v>0.54070595447100034</v>
      </c>
      <c r="DE40">
        <f t="shared" si="620"/>
        <v>0.54070595447100034</v>
      </c>
      <c r="DF40">
        <f t="shared" si="621"/>
        <v>0.54070595447100034</v>
      </c>
      <c r="DG40">
        <f t="shared" si="622"/>
        <v>0.54070595447100034</v>
      </c>
      <c r="DH40">
        <f t="shared" si="623"/>
        <v>0.54070595447100034</v>
      </c>
      <c r="DI40">
        <f t="shared" si="624"/>
        <v>0.54070595447100034</v>
      </c>
      <c r="DJ40">
        <f t="shared" si="625"/>
        <v>0.54070595447100034</v>
      </c>
      <c r="DK40">
        <f t="shared" si="626"/>
        <v>0.54070595447100034</v>
      </c>
      <c r="DL40">
        <f t="shared" si="627"/>
        <v>0.54070595447100034</v>
      </c>
      <c r="DM40">
        <f t="shared" si="628"/>
        <v>0.54070595447100034</v>
      </c>
      <c r="DN40">
        <f t="shared" si="629"/>
        <v>0.54070595447100034</v>
      </c>
      <c r="DO40">
        <f t="shared" si="630"/>
        <v>0.54070595447100034</v>
      </c>
      <c r="DP40">
        <f t="shared" si="631"/>
        <v>0.54070595447100034</v>
      </c>
      <c r="DQ40">
        <f t="shared" si="632"/>
        <v>0.54070595447100034</v>
      </c>
      <c r="DR40">
        <f t="shared" si="633"/>
        <v>0.54070595447100034</v>
      </c>
      <c r="DS40">
        <f t="shared" si="634"/>
        <v>0.54070595447100034</v>
      </c>
      <c r="DT40">
        <f t="shared" si="635"/>
        <v>0.54070595447100034</v>
      </c>
      <c r="DU40">
        <f t="shared" si="636"/>
        <v>0.54070595447100034</v>
      </c>
      <c r="DV40">
        <f t="shared" si="637"/>
        <v>0.54070595447100034</v>
      </c>
      <c r="DW40">
        <f t="shared" si="638"/>
        <v>0.54070595447100034</v>
      </c>
      <c r="DX40">
        <f t="shared" si="639"/>
        <v>0.54070595447100034</v>
      </c>
      <c r="DY40">
        <f t="shared" si="640"/>
        <v>0.54070595447100034</v>
      </c>
      <c r="DZ40">
        <f t="shared" si="641"/>
        <v>0.54070595447100034</v>
      </c>
      <c r="EA40">
        <f t="shared" si="642"/>
        <v>0.54070595447100034</v>
      </c>
      <c r="EB40">
        <f t="shared" si="643"/>
        <v>0.54070595447100034</v>
      </c>
      <c r="EC40">
        <f t="shared" si="644"/>
        <v>0.54070595447100034</v>
      </c>
      <c r="ED40">
        <f t="shared" si="645"/>
        <v>0.54070595447100034</v>
      </c>
      <c r="EE40">
        <f t="shared" si="646"/>
        <v>0.54070595447100034</v>
      </c>
      <c r="EF40">
        <f t="shared" si="647"/>
        <v>0.54070595447100034</v>
      </c>
      <c r="EG40">
        <f t="shared" si="648"/>
        <v>0.54070595447100034</v>
      </c>
      <c r="EH40">
        <f t="shared" si="649"/>
        <v>0.54070595447100034</v>
      </c>
      <c r="EI40">
        <f t="shared" si="650"/>
        <v>0.54070595447100034</v>
      </c>
      <c r="EJ40">
        <f t="shared" si="651"/>
        <v>0.54070595447100034</v>
      </c>
      <c r="EK40">
        <f t="shared" si="652"/>
        <v>0.54070595447100034</v>
      </c>
      <c r="EL40">
        <f t="shared" si="653"/>
        <v>0.54070595447100034</v>
      </c>
      <c r="EM40">
        <f t="shared" si="654"/>
        <v>0.54070595447100034</v>
      </c>
      <c r="EN40">
        <f t="shared" si="655"/>
        <v>0.54070595447100034</v>
      </c>
      <c r="EO40">
        <f t="shared" si="656"/>
        <v>0.54070595447100034</v>
      </c>
      <c r="EP40">
        <f t="shared" si="657"/>
        <v>0.54070595447100034</v>
      </c>
      <c r="EQ40">
        <f t="shared" si="658"/>
        <v>0.54070595447100034</v>
      </c>
      <c r="ER40">
        <f t="shared" si="659"/>
        <v>0.54070595447100034</v>
      </c>
      <c r="ES40">
        <f t="shared" si="660"/>
        <v>0.54070595447100034</v>
      </c>
      <c r="ET40">
        <f t="shared" si="661"/>
        <v>0.54070595447100034</v>
      </c>
      <c r="EU40">
        <f t="shared" si="662"/>
        <v>0.54070595447100034</v>
      </c>
      <c r="EV40">
        <f t="shared" si="663"/>
        <v>0.54070595447100034</v>
      </c>
      <c r="EW40">
        <f t="shared" si="664"/>
        <v>0.54070595447100034</v>
      </c>
      <c r="EX40">
        <f t="shared" si="665"/>
        <v>0.54070595447100034</v>
      </c>
      <c r="EY40">
        <f t="shared" si="666"/>
        <v>0.54070595447100034</v>
      </c>
      <c r="EZ40">
        <f t="shared" si="667"/>
        <v>0.54070595447100034</v>
      </c>
      <c r="FA40">
        <f t="shared" si="668"/>
        <v>0.54070595447100034</v>
      </c>
      <c r="FB40">
        <f t="shared" si="669"/>
        <v>0.54070595447100034</v>
      </c>
      <c r="FC40">
        <f t="shared" si="670"/>
        <v>0.54070595447100034</v>
      </c>
      <c r="FD40">
        <f t="shared" si="671"/>
        <v>0.54070595447100034</v>
      </c>
      <c r="FE40">
        <f t="shared" si="672"/>
        <v>0.54070595447100034</v>
      </c>
      <c r="FF40">
        <f t="shared" si="673"/>
        <v>0.54070595447100034</v>
      </c>
      <c r="FG40">
        <f t="shared" si="674"/>
        <v>0.54070595447100034</v>
      </c>
      <c r="FH40">
        <f t="shared" si="675"/>
        <v>0.54070595447100034</v>
      </c>
      <c r="FI40">
        <f t="shared" si="676"/>
        <v>0.54070595447100034</v>
      </c>
      <c r="FJ40">
        <f t="shared" si="677"/>
        <v>0.54070595447100034</v>
      </c>
      <c r="FK40">
        <f t="shared" si="678"/>
        <v>0.54070595447100034</v>
      </c>
      <c r="FL40">
        <f t="shared" si="679"/>
        <v>0.54070595447100034</v>
      </c>
      <c r="FM40">
        <f t="shared" si="680"/>
        <v>0.54070595447100034</v>
      </c>
      <c r="FN40">
        <f t="shared" si="681"/>
        <v>0.54070595447100034</v>
      </c>
      <c r="FO40">
        <f t="shared" si="682"/>
        <v>0.54070595447100034</v>
      </c>
      <c r="FP40">
        <f t="shared" si="683"/>
        <v>0.54070595447100034</v>
      </c>
      <c r="FQ40">
        <f t="shared" si="684"/>
        <v>0.54070595447100034</v>
      </c>
      <c r="FR40">
        <f t="shared" si="685"/>
        <v>0.54070595447100034</v>
      </c>
      <c r="FS40">
        <f t="shared" si="686"/>
        <v>0.54070595447100034</v>
      </c>
      <c r="FT40">
        <f t="shared" si="687"/>
        <v>0.54070595447100034</v>
      </c>
      <c r="FU40">
        <f t="shared" si="688"/>
        <v>0.54070595447100034</v>
      </c>
      <c r="FV40">
        <f t="shared" si="689"/>
        <v>0.54070595447100034</v>
      </c>
      <c r="FW40">
        <f t="shared" si="690"/>
        <v>0.54070595447100034</v>
      </c>
      <c r="FX40">
        <f t="shared" si="691"/>
        <v>0.54070595447100034</v>
      </c>
      <c r="FY40">
        <f t="shared" si="692"/>
        <v>0.54070595447100034</v>
      </c>
      <c r="FZ40">
        <f t="shared" si="693"/>
        <v>0.54070595447100034</v>
      </c>
      <c r="GA40">
        <f t="shared" si="694"/>
        <v>0.54070595447100034</v>
      </c>
      <c r="GB40">
        <f t="shared" si="695"/>
        <v>0.54070595447100034</v>
      </c>
      <c r="GC40">
        <f t="shared" si="696"/>
        <v>0.54070595447100034</v>
      </c>
      <c r="GD40">
        <f t="shared" si="697"/>
        <v>0.54070595447100034</v>
      </c>
      <c r="GE40">
        <f t="shared" si="698"/>
        <v>0.54070595447100034</v>
      </c>
      <c r="GF40">
        <f t="shared" si="699"/>
        <v>0.54070595447100034</v>
      </c>
      <c r="GG40">
        <f t="shared" si="700"/>
        <v>0.54070595447100034</v>
      </c>
      <c r="GH40">
        <f t="shared" si="701"/>
        <v>0.54070595447100034</v>
      </c>
      <c r="GI40">
        <f t="shared" si="702"/>
        <v>0.54070595447100034</v>
      </c>
      <c r="GJ40">
        <f t="shared" si="703"/>
        <v>0.54070595447100034</v>
      </c>
      <c r="GK40">
        <f t="shared" si="704"/>
        <v>0.54070595447100034</v>
      </c>
      <c r="GL40">
        <f t="shared" si="705"/>
        <v>0.54070595447100034</v>
      </c>
      <c r="GM40">
        <f t="shared" si="706"/>
        <v>0.54070595447100034</v>
      </c>
      <c r="GN40">
        <f t="shared" si="707"/>
        <v>0.54070595447100034</v>
      </c>
      <c r="GO40">
        <f t="shared" si="708"/>
        <v>0.54070595447100034</v>
      </c>
      <c r="GP40">
        <f t="shared" si="709"/>
        <v>0.54070595447100034</v>
      </c>
      <c r="GQ40">
        <f t="shared" si="710"/>
        <v>0.54070595447100034</v>
      </c>
      <c r="GR40">
        <f t="shared" si="711"/>
        <v>0.54070595447100034</v>
      </c>
      <c r="GS40">
        <f t="shared" si="712"/>
        <v>0.54070595447100034</v>
      </c>
      <c r="GT40">
        <f t="shared" si="713"/>
        <v>0.54070595447100034</v>
      </c>
      <c r="GU40">
        <f t="shared" si="714"/>
        <v>0.54070595447100034</v>
      </c>
      <c r="GV40">
        <f t="shared" si="715"/>
        <v>0.54070595447100034</v>
      </c>
      <c r="GW40">
        <f t="shared" si="716"/>
        <v>0.54070595447100034</v>
      </c>
      <c r="GX40">
        <f t="shared" si="717"/>
        <v>0.54070595447100034</v>
      </c>
      <c r="GY40">
        <f t="shared" si="718"/>
        <v>0.54070595447100034</v>
      </c>
      <c r="GZ40">
        <f t="shared" si="719"/>
        <v>0.54070595447100034</v>
      </c>
      <c r="HA40">
        <f t="shared" si="720"/>
        <v>0.54070595447100034</v>
      </c>
      <c r="HB40">
        <f t="shared" si="721"/>
        <v>0.54070595447100034</v>
      </c>
      <c r="HC40">
        <f t="shared" si="722"/>
        <v>0.54070595447100034</v>
      </c>
      <c r="HD40">
        <f t="shared" si="723"/>
        <v>0.54070595447100034</v>
      </c>
      <c r="HE40">
        <f t="shared" si="724"/>
        <v>0.54070595447100034</v>
      </c>
      <c r="HF40">
        <f t="shared" si="725"/>
        <v>0.54070595447100034</v>
      </c>
      <c r="HG40">
        <f t="shared" si="726"/>
        <v>0.54070595447100034</v>
      </c>
      <c r="HH40">
        <f t="shared" si="727"/>
        <v>0.54070595447100034</v>
      </c>
      <c r="HI40">
        <f t="shared" si="728"/>
        <v>0.54070595447100034</v>
      </c>
      <c r="HJ40">
        <f t="shared" si="729"/>
        <v>0.54070595447100034</v>
      </c>
      <c r="HK40">
        <f t="shared" si="730"/>
        <v>0.54070595447100034</v>
      </c>
      <c r="HL40">
        <f t="shared" si="731"/>
        <v>0.54070595447100034</v>
      </c>
      <c r="HM40">
        <f t="shared" si="732"/>
        <v>0.54070595447100034</v>
      </c>
      <c r="HN40">
        <f t="shared" si="733"/>
        <v>0.54070595447100034</v>
      </c>
      <c r="HO40">
        <f t="shared" si="734"/>
        <v>0.54070595447100034</v>
      </c>
      <c r="HP40">
        <f t="shared" si="735"/>
        <v>0.54070595447100034</v>
      </c>
      <c r="HQ40">
        <f t="shared" si="736"/>
        <v>0.54070595447100034</v>
      </c>
      <c r="HR40">
        <f t="shared" si="737"/>
        <v>0.54070595447100034</v>
      </c>
      <c r="HS40">
        <f t="shared" si="738"/>
        <v>0.54070595447100034</v>
      </c>
      <c r="HT40">
        <f t="shared" si="739"/>
        <v>0.54070595447100034</v>
      </c>
      <c r="HU40">
        <f t="shared" si="740"/>
        <v>0.54070595447100034</v>
      </c>
      <c r="HV40">
        <f t="shared" si="741"/>
        <v>0.54070595447100034</v>
      </c>
      <c r="HW40">
        <f t="shared" si="742"/>
        <v>0.54070595447100034</v>
      </c>
      <c r="HX40">
        <f t="shared" si="743"/>
        <v>0.54070595447100034</v>
      </c>
      <c r="HY40">
        <f t="shared" si="744"/>
        <v>0.54070595447100034</v>
      </c>
      <c r="HZ40">
        <f t="shared" si="745"/>
        <v>0.54070595447100034</v>
      </c>
      <c r="IA40">
        <f t="shared" si="746"/>
        <v>0.54070595447100034</v>
      </c>
      <c r="IB40">
        <f t="shared" si="747"/>
        <v>0.54070595447100034</v>
      </c>
      <c r="IC40">
        <f t="shared" si="748"/>
        <v>0.54070595447100034</v>
      </c>
      <c r="ID40">
        <f t="shared" si="749"/>
        <v>0.54070595447100034</v>
      </c>
      <c r="IE40">
        <f t="shared" si="750"/>
        <v>0.54070595447100034</v>
      </c>
      <c r="IF40">
        <f t="shared" si="751"/>
        <v>0.54070595447100034</v>
      </c>
      <c r="IG40">
        <f t="shared" si="752"/>
        <v>0.54070595447100034</v>
      </c>
      <c r="IH40">
        <f t="shared" si="753"/>
        <v>0.54070595447100034</v>
      </c>
      <c r="II40">
        <f t="shared" si="754"/>
        <v>0.54070595447100034</v>
      </c>
      <c r="IJ40">
        <f t="shared" si="755"/>
        <v>0.54070595447100034</v>
      </c>
      <c r="IK40">
        <f t="shared" si="756"/>
        <v>0.54070595447100034</v>
      </c>
      <c r="IL40">
        <f t="shared" si="757"/>
        <v>0.54070595447100034</v>
      </c>
      <c r="IM40">
        <f t="shared" si="758"/>
        <v>0.54070595447100034</v>
      </c>
      <c r="IN40">
        <f t="shared" si="759"/>
        <v>0.54070595447100034</v>
      </c>
      <c r="IO40">
        <f t="shared" si="760"/>
        <v>0.54070595447100034</v>
      </c>
      <c r="IP40">
        <f t="shared" si="761"/>
        <v>0.54070595447100034</v>
      </c>
      <c r="IQ40">
        <f t="shared" si="762"/>
        <v>0.54070595447100034</v>
      </c>
      <c r="IR40">
        <f t="shared" si="763"/>
        <v>0.54070595447100034</v>
      </c>
      <c r="IS40">
        <f t="shared" si="764"/>
        <v>0.54070595447100034</v>
      </c>
      <c r="IT40">
        <f t="shared" si="765"/>
        <v>0.54070595447100034</v>
      </c>
      <c r="IU40">
        <f t="shared" si="766"/>
        <v>0.54070595447100034</v>
      </c>
      <c r="IV40">
        <f t="shared" si="767"/>
        <v>0.54070595447100034</v>
      </c>
    </row>
    <row r="41" spans="1:256" x14ac:dyDescent="0.2">
      <c r="A41" t="s">
        <v>512</v>
      </c>
      <c r="B41">
        <f t="shared" si="513"/>
        <v>0.72884620619838836</v>
      </c>
      <c r="C41">
        <f t="shared" si="514"/>
        <v>0.72884620619838836</v>
      </c>
      <c r="D41">
        <f t="shared" si="515"/>
        <v>0.72884620619838836</v>
      </c>
      <c r="E41">
        <f t="shared" si="516"/>
        <v>0.72884620619838836</v>
      </c>
      <c r="F41">
        <f t="shared" si="517"/>
        <v>0.72884620619838836</v>
      </c>
      <c r="G41">
        <f t="shared" si="518"/>
        <v>0.72884620619838836</v>
      </c>
      <c r="H41">
        <f t="shared" si="519"/>
        <v>0.72884620619838836</v>
      </c>
      <c r="I41">
        <f t="shared" si="520"/>
        <v>0.72884620619838836</v>
      </c>
      <c r="J41">
        <f t="shared" si="521"/>
        <v>0.1</v>
      </c>
      <c r="K41">
        <f t="shared" si="522"/>
        <v>0.1</v>
      </c>
      <c r="L41">
        <f t="shared" si="523"/>
        <v>0.1</v>
      </c>
      <c r="M41">
        <f t="shared" si="524"/>
        <v>0.1</v>
      </c>
      <c r="N41">
        <f t="shared" si="525"/>
        <v>0.1</v>
      </c>
      <c r="O41">
        <f t="shared" si="526"/>
        <v>0.1</v>
      </c>
      <c r="P41">
        <f t="shared" si="527"/>
        <v>0.1</v>
      </c>
      <c r="Q41">
        <f t="shared" si="528"/>
        <v>0.1</v>
      </c>
      <c r="R41">
        <f t="shared" si="529"/>
        <v>0.1</v>
      </c>
      <c r="S41">
        <f t="shared" si="530"/>
        <v>0.1</v>
      </c>
      <c r="T41">
        <f t="shared" si="531"/>
        <v>0.1</v>
      </c>
      <c r="U41">
        <f t="shared" si="532"/>
        <v>0.1</v>
      </c>
      <c r="V41">
        <f t="shared" si="533"/>
        <v>0.1</v>
      </c>
      <c r="W41">
        <f t="shared" si="534"/>
        <v>0.1</v>
      </c>
      <c r="X41">
        <f t="shared" si="535"/>
        <v>0.1</v>
      </c>
      <c r="Y41">
        <f t="shared" si="536"/>
        <v>0.1</v>
      </c>
      <c r="Z41">
        <f t="shared" si="537"/>
        <v>0.19999999999999998</v>
      </c>
      <c r="AA41">
        <f t="shared" si="538"/>
        <v>0.19999999999999998</v>
      </c>
      <c r="AB41">
        <f t="shared" si="539"/>
        <v>0.19999999999999998</v>
      </c>
      <c r="AC41">
        <f t="shared" si="540"/>
        <v>0.19999999999999998</v>
      </c>
      <c r="AD41">
        <f t="shared" si="541"/>
        <v>0.19999999999999998</v>
      </c>
      <c r="AE41">
        <f t="shared" si="542"/>
        <v>0.19999999999999998</v>
      </c>
      <c r="AF41">
        <f t="shared" si="543"/>
        <v>0.19999999999999998</v>
      </c>
      <c r="AG41">
        <f t="shared" si="544"/>
        <v>0.19999999999999998</v>
      </c>
      <c r="AH41">
        <f t="shared" si="545"/>
        <v>0.33300739288330078</v>
      </c>
      <c r="AI41">
        <f t="shared" si="546"/>
        <v>0.33300739288330078</v>
      </c>
      <c r="AJ41">
        <f t="shared" si="547"/>
        <v>0.33300739288330078</v>
      </c>
      <c r="AK41">
        <f t="shared" si="548"/>
        <v>0.33300739288330078</v>
      </c>
      <c r="AL41">
        <f t="shared" si="549"/>
        <v>0.33300739288330078</v>
      </c>
      <c r="AM41">
        <f t="shared" si="550"/>
        <v>0.33300739288330078</v>
      </c>
      <c r="AN41">
        <f t="shared" si="551"/>
        <v>0.33300739288330078</v>
      </c>
      <c r="AO41">
        <f t="shared" si="552"/>
        <v>0.33300739288330078</v>
      </c>
      <c r="AP41">
        <f t="shared" si="553"/>
        <v>0.66601478576660156</v>
      </c>
      <c r="AQ41">
        <f t="shared" si="554"/>
        <v>0.66601478576660156</v>
      </c>
      <c r="AR41">
        <f t="shared" si="555"/>
        <v>0.66601478576660156</v>
      </c>
      <c r="AS41">
        <f t="shared" si="556"/>
        <v>0.66601478576660156</v>
      </c>
      <c r="AT41">
        <f t="shared" si="557"/>
        <v>0.66601478576660156</v>
      </c>
      <c r="AU41">
        <f t="shared" si="558"/>
        <v>0.66601478576660156</v>
      </c>
      <c r="AV41">
        <f t="shared" si="559"/>
        <v>0.66601478576660156</v>
      </c>
      <c r="AW41">
        <f t="shared" si="560"/>
        <v>0.66601478576660156</v>
      </c>
      <c r="AX41">
        <f t="shared" si="561"/>
        <v>0.50166287840105384</v>
      </c>
      <c r="AY41">
        <f t="shared" si="562"/>
        <v>0.50166287840105384</v>
      </c>
      <c r="AZ41">
        <f t="shared" si="563"/>
        <v>0.50166287840105384</v>
      </c>
      <c r="BA41">
        <f t="shared" si="564"/>
        <v>0.50166287840105384</v>
      </c>
      <c r="BB41">
        <f t="shared" si="565"/>
        <v>0.50166287840105384</v>
      </c>
      <c r="BC41">
        <f t="shared" si="566"/>
        <v>0.50166287840105384</v>
      </c>
      <c r="BD41">
        <f t="shared" si="567"/>
        <v>0.50166287840105384</v>
      </c>
      <c r="BE41">
        <f t="shared" si="568"/>
        <v>0.50166287840105384</v>
      </c>
      <c r="BF41">
        <f t="shared" si="569"/>
        <v>0.50166287840105384</v>
      </c>
      <c r="BG41">
        <f t="shared" si="570"/>
        <v>0.50166287840105384</v>
      </c>
      <c r="BH41">
        <f t="shared" si="571"/>
        <v>0.50166287840105384</v>
      </c>
      <c r="BI41">
        <f t="shared" si="572"/>
        <v>0.50166287840105384</v>
      </c>
      <c r="BJ41">
        <f t="shared" si="573"/>
        <v>0.50166287840105384</v>
      </c>
      <c r="BK41">
        <f t="shared" si="574"/>
        <v>0.50166287840105384</v>
      </c>
      <c r="BL41">
        <f t="shared" si="575"/>
        <v>0.50166287840105384</v>
      </c>
      <c r="BM41">
        <f t="shared" si="576"/>
        <v>0.50166287840105384</v>
      </c>
      <c r="BN41">
        <f t="shared" si="577"/>
        <v>0.50166287840105384</v>
      </c>
      <c r="BO41">
        <f t="shared" si="578"/>
        <v>0.50166287840105384</v>
      </c>
      <c r="BP41">
        <f t="shared" si="579"/>
        <v>0.50166287840105384</v>
      </c>
      <c r="BQ41">
        <f t="shared" si="580"/>
        <v>0.50166287840105384</v>
      </c>
      <c r="BR41">
        <f t="shared" si="581"/>
        <v>0.50166287840105384</v>
      </c>
      <c r="BS41">
        <f t="shared" si="582"/>
        <v>0.50166287840105384</v>
      </c>
      <c r="BT41">
        <f t="shared" si="583"/>
        <v>0.50166287840105384</v>
      </c>
      <c r="BU41">
        <f t="shared" si="584"/>
        <v>0.50166287840105384</v>
      </c>
      <c r="BV41">
        <f t="shared" si="585"/>
        <v>0.50166287840105384</v>
      </c>
      <c r="BW41">
        <f t="shared" si="586"/>
        <v>0.50166287840105384</v>
      </c>
      <c r="BX41">
        <f t="shared" si="587"/>
        <v>0.50166287840105384</v>
      </c>
      <c r="BY41">
        <f t="shared" si="588"/>
        <v>0.50166287840105384</v>
      </c>
      <c r="BZ41">
        <f t="shared" si="589"/>
        <v>0.50166287840105384</v>
      </c>
      <c r="CA41">
        <f t="shared" si="590"/>
        <v>0.50166287840105384</v>
      </c>
      <c r="CB41">
        <f t="shared" si="591"/>
        <v>0.50166287840105384</v>
      </c>
      <c r="CC41">
        <f t="shared" si="592"/>
        <v>0.50166287840105384</v>
      </c>
      <c r="CD41">
        <f t="shared" si="593"/>
        <v>0.50166287840105384</v>
      </c>
      <c r="CE41">
        <f t="shared" si="594"/>
        <v>0.50166287840105384</v>
      </c>
      <c r="CF41">
        <f t="shared" si="595"/>
        <v>0.50166287840105384</v>
      </c>
      <c r="CG41">
        <f t="shared" si="596"/>
        <v>0.50166287840105384</v>
      </c>
      <c r="CH41">
        <f t="shared" si="597"/>
        <v>0.50166287840105384</v>
      </c>
      <c r="CI41">
        <f t="shared" si="598"/>
        <v>0.50166287840105384</v>
      </c>
      <c r="CJ41">
        <f t="shared" si="599"/>
        <v>0.50166287840105384</v>
      </c>
      <c r="CK41">
        <f t="shared" si="600"/>
        <v>0.50166287840105384</v>
      </c>
      <c r="CL41">
        <f t="shared" si="601"/>
        <v>0.50166287840105384</v>
      </c>
      <c r="CM41">
        <f t="shared" si="602"/>
        <v>0.50166287840105384</v>
      </c>
      <c r="CN41">
        <f t="shared" si="603"/>
        <v>0.50166287840105384</v>
      </c>
      <c r="CO41">
        <f t="shared" si="604"/>
        <v>0.50166287840105384</v>
      </c>
      <c r="CP41">
        <f t="shared" si="605"/>
        <v>0.50166287840105384</v>
      </c>
      <c r="CQ41">
        <f t="shared" si="606"/>
        <v>0.50166287840105384</v>
      </c>
      <c r="CR41">
        <f t="shared" si="607"/>
        <v>0.50166287840105384</v>
      </c>
      <c r="CS41">
        <f t="shared" si="608"/>
        <v>0.50166287840105384</v>
      </c>
      <c r="CT41">
        <f t="shared" si="609"/>
        <v>0.50166287840105384</v>
      </c>
      <c r="CU41">
        <f t="shared" si="610"/>
        <v>0.50166287840105384</v>
      </c>
      <c r="CV41">
        <f t="shared" si="611"/>
        <v>0.50166287840105384</v>
      </c>
      <c r="CW41">
        <f t="shared" si="612"/>
        <v>0.50166287840105384</v>
      </c>
      <c r="CX41">
        <f t="shared" si="613"/>
        <v>0.50166287840105384</v>
      </c>
      <c r="CY41">
        <f t="shared" si="614"/>
        <v>0.50166287840105384</v>
      </c>
      <c r="CZ41">
        <f t="shared" si="615"/>
        <v>0.50166287840105384</v>
      </c>
      <c r="DA41">
        <f t="shared" si="616"/>
        <v>0.50166287840105384</v>
      </c>
      <c r="DB41">
        <f t="shared" si="617"/>
        <v>0.50166287840105384</v>
      </c>
      <c r="DC41">
        <f t="shared" si="618"/>
        <v>0.50166287840105384</v>
      </c>
      <c r="DD41">
        <f t="shared" si="619"/>
        <v>0.50166287840105384</v>
      </c>
      <c r="DE41">
        <f t="shared" si="620"/>
        <v>0.50166287840105384</v>
      </c>
      <c r="DF41">
        <f t="shared" si="621"/>
        <v>0.50166287840105384</v>
      </c>
      <c r="DG41">
        <f t="shared" si="622"/>
        <v>0.50166287840105384</v>
      </c>
      <c r="DH41">
        <f t="shared" si="623"/>
        <v>0.50166287840105384</v>
      </c>
      <c r="DI41">
        <f t="shared" si="624"/>
        <v>0.50166287840105384</v>
      </c>
      <c r="DJ41">
        <f t="shared" si="625"/>
        <v>0.50166287840105384</v>
      </c>
      <c r="DK41">
        <f t="shared" si="626"/>
        <v>0.50166287840105384</v>
      </c>
      <c r="DL41">
        <f t="shared" si="627"/>
        <v>0.50166287840105384</v>
      </c>
      <c r="DM41">
        <f t="shared" si="628"/>
        <v>0.50166287840105384</v>
      </c>
      <c r="DN41">
        <f t="shared" si="629"/>
        <v>0.50166287840105384</v>
      </c>
      <c r="DO41">
        <f t="shared" si="630"/>
        <v>0.50166287840105384</v>
      </c>
      <c r="DP41">
        <f t="shared" si="631"/>
        <v>0.50166287840105384</v>
      </c>
      <c r="DQ41">
        <f t="shared" si="632"/>
        <v>0.50166287840105384</v>
      </c>
      <c r="DR41">
        <f t="shared" si="633"/>
        <v>0.50166287840105384</v>
      </c>
      <c r="DS41">
        <f t="shared" si="634"/>
        <v>0.50166287840105384</v>
      </c>
      <c r="DT41">
        <f t="shared" si="635"/>
        <v>0.50166287840105384</v>
      </c>
      <c r="DU41">
        <f t="shared" si="636"/>
        <v>0.50166287840105384</v>
      </c>
      <c r="DV41">
        <f t="shared" si="637"/>
        <v>0.50166287840105384</v>
      </c>
      <c r="DW41">
        <f t="shared" si="638"/>
        <v>0.50166287840105384</v>
      </c>
      <c r="DX41">
        <f t="shared" si="639"/>
        <v>0.50166287840105384</v>
      </c>
      <c r="DY41">
        <f t="shared" si="640"/>
        <v>0.50166287840105384</v>
      </c>
      <c r="DZ41">
        <f t="shared" si="641"/>
        <v>0.50166287840105384</v>
      </c>
      <c r="EA41">
        <f t="shared" si="642"/>
        <v>0.50166287840105384</v>
      </c>
      <c r="EB41">
        <f t="shared" si="643"/>
        <v>0.50166287840105384</v>
      </c>
      <c r="EC41">
        <f t="shared" si="644"/>
        <v>0.50166287840105384</v>
      </c>
      <c r="ED41">
        <f t="shared" si="645"/>
        <v>0.50166287840105384</v>
      </c>
      <c r="EE41">
        <f t="shared" si="646"/>
        <v>0.50166287840105384</v>
      </c>
      <c r="EF41">
        <f t="shared" si="647"/>
        <v>0.50166287840105384</v>
      </c>
      <c r="EG41">
        <f t="shared" si="648"/>
        <v>0.50166287840105384</v>
      </c>
      <c r="EH41">
        <f t="shared" si="649"/>
        <v>0.50166287840105384</v>
      </c>
      <c r="EI41">
        <f t="shared" si="650"/>
        <v>0.50166287840105384</v>
      </c>
      <c r="EJ41">
        <f t="shared" si="651"/>
        <v>0.50166287840105384</v>
      </c>
      <c r="EK41">
        <f t="shared" si="652"/>
        <v>0.50166287840105384</v>
      </c>
      <c r="EL41">
        <f t="shared" si="653"/>
        <v>0.50166287840105384</v>
      </c>
      <c r="EM41">
        <f t="shared" si="654"/>
        <v>0.50166287840105384</v>
      </c>
      <c r="EN41">
        <f t="shared" si="655"/>
        <v>0.50166287840105384</v>
      </c>
      <c r="EO41">
        <f t="shared" si="656"/>
        <v>0.50166287840105384</v>
      </c>
      <c r="EP41">
        <f t="shared" si="657"/>
        <v>0.50166287840105384</v>
      </c>
      <c r="EQ41">
        <f t="shared" si="658"/>
        <v>0.50166287840105384</v>
      </c>
      <c r="ER41">
        <f t="shared" si="659"/>
        <v>0.50166287840105384</v>
      </c>
      <c r="ES41">
        <f t="shared" si="660"/>
        <v>0.50166287840105384</v>
      </c>
      <c r="ET41">
        <f t="shared" si="661"/>
        <v>0.50166287840105384</v>
      </c>
      <c r="EU41">
        <f t="shared" si="662"/>
        <v>0.50166287840105384</v>
      </c>
      <c r="EV41">
        <f t="shared" si="663"/>
        <v>0.50166287840105384</v>
      </c>
      <c r="EW41">
        <f t="shared" si="664"/>
        <v>0.50166287840105384</v>
      </c>
      <c r="EX41">
        <f t="shared" si="665"/>
        <v>0.50166287840105384</v>
      </c>
      <c r="EY41">
        <f t="shared" si="666"/>
        <v>0.50166287840105384</v>
      </c>
      <c r="EZ41">
        <f t="shared" si="667"/>
        <v>0.50166287840105384</v>
      </c>
      <c r="FA41">
        <f t="shared" si="668"/>
        <v>0.50166287840105384</v>
      </c>
      <c r="FB41">
        <f t="shared" si="669"/>
        <v>0.50166287840105384</v>
      </c>
      <c r="FC41">
        <f t="shared" si="670"/>
        <v>0.50166287840105384</v>
      </c>
      <c r="FD41">
        <f t="shared" si="671"/>
        <v>0.50166287840105384</v>
      </c>
      <c r="FE41">
        <f t="shared" si="672"/>
        <v>0.50166287840105384</v>
      </c>
      <c r="FF41">
        <f t="shared" si="673"/>
        <v>0.50166287840105384</v>
      </c>
      <c r="FG41">
        <f t="shared" si="674"/>
        <v>0.50166287840105384</v>
      </c>
      <c r="FH41">
        <f t="shared" si="675"/>
        <v>0.50166287840105384</v>
      </c>
      <c r="FI41">
        <f t="shared" si="676"/>
        <v>0.50166287840105384</v>
      </c>
      <c r="FJ41">
        <f t="shared" si="677"/>
        <v>0.50166287840105384</v>
      </c>
      <c r="FK41">
        <f t="shared" si="678"/>
        <v>0.50166287840105384</v>
      </c>
      <c r="FL41">
        <f t="shared" si="679"/>
        <v>0.50166287840105384</v>
      </c>
      <c r="FM41">
        <f t="shared" si="680"/>
        <v>0.50166287840105384</v>
      </c>
      <c r="FN41">
        <f t="shared" si="681"/>
        <v>0.50166287840105384</v>
      </c>
      <c r="FO41">
        <f t="shared" si="682"/>
        <v>0.50166287840105384</v>
      </c>
      <c r="FP41">
        <f t="shared" si="683"/>
        <v>0.50166287840105384</v>
      </c>
      <c r="FQ41">
        <f t="shared" si="684"/>
        <v>0.50166287840105384</v>
      </c>
      <c r="FR41">
        <f t="shared" si="685"/>
        <v>0.50166287840105384</v>
      </c>
      <c r="FS41">
        <f t="shared" si="686"/>
        <v>0.50166287840105384</v>
      </c>
      <c r="FT41">
        <f t="shared" si="687"/>
        <v>0.50166287840105384</v>
      </c>
      <c r="FU41">
        <f t="shared" si="688"/>
        <v>0.50166287840105384</v>
      </c>
      <c r="FV41">
        <f t="shared" si="689"/>
        <v>0.50166287840105384</v>
      </c>
      <c r="FW41">
        <f t="shared" si="690"/>
        <v>0.50166287840105384</v>
      </c>
      <c r="FX41">
        <f t="shared" si="691"/>
        <v>0.50166287840105384</v>
      </c>
      <c r="FY41">
        <f t="shared" si="692"/>
        <v>0.50166287840105384</v>
      </c>
      <c r="FZ41">
        <f t="shared" si="693"/>
        <v>0.50166287840105384</v>
      </c>
      <c r="GA41">
        <f t="shared" si="694"/>
        <v>0.50166287840105384</v>
      </c>
      <c r="GB41">
        <f t="shared" si="695"/>
        <v>0.50166287840105384</v>
      </c>
      <c r="GC41">
        <f t="shared" si="696"/>
        <v>0.50166287840105384</v>
      </c>
      <c r="GD41">
        <f t="shared" si="697"/>
        <v>0.50166287840105384</v>
      </c>
      <c r="GE41">
        <f t="shared" si="698"/>
        <v>0.50166287840105384</v>
      </c>
      <c r="GF41">
        <f t="shared" si="699"/>
        <v>0.50166287840105384</v>
      </c>
      <c r="GG41">
        <f t="shared" si="700"/>
        <v>0.50166287840105384</v>
      </c>
      <c r="GH41">
        <f t="shared" si="701"/>
        <v>0.50166287840105384</v>
      </c>
      <c r="GI41">
        <f t="shared" si="702"/>
        <v>0.50166287840105384</v>
      </c>
      <c r="GJ41">
        <f t="shared" si="703"/>
        <v>0.50166287840105384</v>
      </c>
      <c r="GK41">
        <f t="shared" si="704"/>
        <v>0.50166287840105384</v>
      </c>
      <c r="GL41">
        <f t="shared" si="705"/>
        <v>0.50166287840105384</v>
      </c>
      <c r="GM41">
        <f t="shared" si="706"/>
        <v>0.50166287840105384</v>
      </c>
      <c r="GN41">
        <f t="shared" si="707"/>
        <v>0.50166287840105384</v>
      </c>
      <c r="GO41">
        <f t="shared" si="708"/>
        <v>0.50166287840105384</v>
      </c>
      <c r="GP41">
        <f t="shared" si="709"/>
        <v>0.50166287840105384</v>
      </c>
      <c r="GQ41">
        <f t="shared" si="710"/>
        <v>0.50166287840105384</v>
      </c>
      <c r="GR41">
        <f t="shared" si="711"/>
        <v>0.50166287840105384</v>
      </c>
      <c r="GS41">
        <f t="shared" si="712"/>
        <v>0.50166287840105384</v>
      </c>
      <c r="GT41">
        <f t="shared" si="713"/>
        <v>0.50166287840105384</v>
      </c>
      <c r="GU41">
        <f t="shared" si="714"/>
        <v>0.50166287840105384</v>
      </c>
      <c r="GV41">
        <f t="shared" si="715"/>
        <v>0.50166287840105384</v>
      </c>
      <c r="GW41">
        <f t="shared" si="716"/>
        <v>0.50166287840105384</v>
      </c>
      <c r="GX41">
        <f t="shared" si="717"/>
        <v>0.50166287840105384</v>
      </c>
      <c r="GY41">
        <f t="shared" si="718"/>
        <v>0.50166287840105384</v>
      </c>
      <c r="GZ41">
        <f t="shared" si="719"/>
        <v>0.50166287840105384</v>
      </c>
      <c r="HA41">
        <f t="shared" si="720"/>
        <v>0.50166287840105384</v>
      </c>
      <c r="HB41">
        <f t="shared" si="721"/>
        <v>0.50166287840105384</v>
      </c>
      <c r="HC41">
        <f t="shared" si="722"/>
        <v>0.50166287840105384</v>
      </c>
      <c r="HD41">
        <f t="shared" si="723"/>
        <v>0.50166287840105384</v>
      </c>
      <c r="HE41">
        <f t="shared" si="724"/>
        <v>0.50166287840105384</v>
      </c>
      <c r="HF41">
        <f t="shared" si="725"/>
        <v>0.50166287840105384</v>
      </c>
      <c r="HG41">
        <f t="shared" si="726"/>
        <v>0.50166287840105384</v>
      </c>
      <c r="HH41">
        <f t="shared" si="727"/>
        <v>0.50166287840105384</v>
      </c>
      <c r="HI41">
        <f t="shared" si="728"/>
        <v>0.50166287840105384</v>
      </c>
      <c r="HJ41">
        <f t="shared" si="729"/>
        <v>0.50166287840105384</v>
      </c>
      <c r="HK41">
        <f t="shared" si="730"/>
        <v>0.50166287840105384</v>
      </c>
      <c r="HL41">
        <f t="shared" si="731"/>
        <v>0.50166287840105384</v>
      </c>
      <c r="HM41">
        <f t="shared" si="732"/>
        <v>0.50166287840105384</v>
      </c>
      <c r="HN41">
        <f t="shared" si="733"/>
        <v>0.50166287840105384</v>
      </c>
      <c r="HO41">
        <f t="shared" si="734"/>
        <v>0.50166287840105384</v>
      </c>
      <c r="HP41">
        <f t="shared" si="735"/>
        <v>0.50166287840105384</v>
      </c>
      <c r="HQ41">
        <f t="shared" si="736"/>
        <v>0.50166287840105384</v>
      </c>
      <c r="HR41">
        <f t="shared" si="737"/>
        <v>0.50166287840105384</v>
      </c>
      <c r="HS41">
        <f t="shared" si="738"/>
        <v>0.50166287840105384</v>
      </c>
      <c r="HT41">
        <f t="shared" si="739"/>
        <v>0.50166287840105384</v>
      </c>
      <c r="HU41">
        <f t="shared" si="740"/>
        <v>0.50166287840105384</v>
      </c>
      <c r="HV41">
        <f t="shared" si="741"/>
        <v>0.50166287840105384</v>
      </c>
      <c r="HW41">
        <f t="shared" si="742"/>
        <v>0.50166287840105384</v>
      </c>
      <c r="HX41">
        <f t="shared" si="743"/>
        <v>0.50166287840105384</v>
      </c>
      <c r="HY41">
        <f t="shared" si="744"/>
        <v>0.50166287840105384</v>
      </c>
      <c r="HZ41">
        <f t="shared" si="745"/>
        <v>0.50166287840105384</v>
      </c>
      <c r="IA41">
        <f t="shared" si="746"/>
        <v>0.50166287840105384</v>
      </c>
      <c r="IB41">
        <f t="shared" si="747"/>
        <v>0.50166287840105384</v>
      </c>
      <c r="IC41">
        <f t="shared" si="748"/>
        <v>0.50166287840105384</v>
      </c>
      <c r="ID41">
        <f t="shared" si="749"/>
        <v>0.50166287840105384</v>
      </c>
      <c r="IE41">
        <f t="shared" si="750"/>
        <v>0.50166287840105384</v>
      </c>
      <c r="IF41">
        <f t="shared" si="751"/>
        <v>0.50166287840105384</v>
      </c>
      <c r="IG41">
        <f t="shared" si="752"/>
        <v>0.50166287840105384</v>
      </c>
      <c r="IH41">
        <f t="shared" si="753"/>
        <v>0.50166287840105384</v>
      </c>
      <c r="II41">
        <f t="shared" si="754"/>
        <v>0.50166287840105384</v>
      </c>
      <c r="IJ41">
        <f t="shared" si="755"/>
        <v>0.50166287840105384</v>
      </c>
      <c r="IK41">
        <f t="shared" si="756"/>
        <v>0.50166287840105384</v>
      </c>
      <c r="IL41">
        <f t="shared" si="757"/>
        <v>0.50166287840105384</v>
      </c>
      <c r="IM41">
        <f t="shared" si="758"/>
        <v>0.50166287840105384</v>
      </c>
      <c r="IN41">
        <f t="shared" si="759"/>
        <v>0.50166287840105384</v>
      </c>
      <c r="IO41">
        <f t="shared" si="760"/>
        <v>0.50166287840105384</v>
      </c>
      <c r="IP41">
        <f t="shared" si="761"/>
        <v>0.50166287840105384</v>
      </c>
      <c r="IQ41">
        <f t="shared" si="762"/>
        <v>0.50166287840105384</v>
      </c>
      <c r="IR41">
        <f t="shared" si="763"/>
        <v>0.50166287840105384</v>
      </c>
      <c r="IS41">
        <f t="shared" si="764"/>
        <v>0.50166287840105384</v>
      </c>
      <c r="IT41">
        <f t="shared" si="765"/>
        <v>0.50166287840105384</v>
      </c>
      <c r="IU41">
        <f t="shared" si="766"/>
        <v>0.50166287840105384</v>
      </c>
      <c r="IV41">
        <f t="shared" si="767"/>
        <v>0.50166287840105384</v>
      </c>
    </row>
    <row r="42" spans="1:256" x14ac:dyDescent="0.2">
      <c r="A42" t="s">
        <v>513</v>
      </c>
      <c r="B42">
        <f t="shared" si="513"/>
        <v>0.36953818600830807</v>
      </c>
      <c r="C42">
        <f t="shared" si="514"/>
        <v>0.36953818600830807</v>
      </c>
      <c r="D42">
        <f t="shared" si="515"/>
        <v>0.36953818600830807</v>
      </c>
      <c r="E42">
        <f t="shared" si="516"/>
        <v>0.36953818600830807</v>
      </c>
      <c r="F42">
        <f t="shared" si="517"/>
        <v>0.36953818600830807</v>
      </c>
      <c r="G42">
        <f t="shared" si="518"/>
        <v>0.36953818600830807</v>
      </c>
      <c r="H42">
        <f t="shared" si="519"/>
        <v>0.36953818600830807</v>
      </c>
      <c r="I42">
        <f t="shared" si="520"/>
        <v>0.36953818600830807</v>
      </c>
      <c r="J42">
        <f t="shared" si="521"/>
        <v>0.10000000000000003</v>
      </c>
      <c r="K42">
        <f t="shared" si="522"/>
        <v>0.10000000000000003</v>
      </c>
      <c r="L42">
        <f t="shared" si="523"/>
        <v>0.10000000000000003</v>
      </c>
      <c r="M42">
        <f t="shared" si="524"/>
        <v>0.10000000000000003</v>
      </c>
      <c r="N42">
        <f t="shared" si="525"/>
        <v>0.10000000000000003</v>
      </c>
      <c r="O42">
        <f t="shared" si="526"/>
        <v>0.10000000000000003</v>
      </c>
      <c r="P42">
        <f t="shared" si="527"/>
        <v>0.10000000000000003</v>
      </c>
      <c r="Q42">
        <f t="shared" si="528"/>
        <v>0.10000000000000003</v>
      </c>
      <c r="R42">
        <f t="shared" si="529"/>
        <v>0.1</v>
      </c>
      <c r="S42">
        <f t="shared" si="530"/>
        <v>0.1</v>
      </c>
      <c r="T42">
        <f t="shared" si="531"/>
        <v>0.1</v>
      </c>
      <c r="U42">
        <f t="shared" si="532"/>
        <v>0.1</v>
      </c>
      <c r="V42">
        <f t="shared" si="533"/>
        <v>0.1</v>
      </c>
      <c r="W42">
        <f t="shared" si="534"/>
        <v>0.1</v>
      </c>
      <c r="X42">
        <f t="shared" si="535"/>
        <v>0.1</v>
      </c>
      <c r="Y42">
        <f t="shared" si="536"/>
        <v>0.1</v>
      </c>
      <c r="Z42">
        <f t="shared" si="537"/>
        <v>0.2</v>
      </c>
      <c r="AA42">
        <f t="shared" si="538"/>
        <v>0.2</v>
      </c>
      <c r="AB42">
        <f t="shared" si="539"/>
        <v>0.2</v>
      </c>
      <c r="AC42">
        <f t="shared" si="540"/>
        <v>0.2</v>
      </c>
      <c r="AD42">
        <f t="shared" si="541"/>
        <v>0.2</v>
      </c>
      <c r="AE42">
        <f t="shared" si="542"/>
        <v>0.2</v>
      </c>
      <c r="AF42">
        <f t="shared" si="543"/>
        <v>0.2</v>
      </c>
      <c r="AG42">
        <f t="shared" si="544"/>
        <v>0.2</v>
      </c>
      <c r="AH42">
        <f t="shared" si="545"/>
        <v>0.7371634674072266</v>
      </c>
      <c r="AI42">
        <f t="shared" si="546"/>
        <v>0.7371634674072266</v>
      </c>
      <c r="AJ42">
        <f t="shared" si="547"/>
        <v>0.7371634674072266</v>
      </c>
      <c r="AK42">
        <f t="shared" si="548"/>
        <v>0.7371634674072266</v>
      </c>
      <c r="AL42">
        <f t="shared" si="549"/>
        <v>0.7371634674072266</v>
      </c>
      <c r="AM42">
        <f t="shared" si="550"/>
        <v>0.7371634674072266</v>
      </c>
      <c r="AN42">
        <f t="shared" si="551"/>
        <v>0.7371634674072266</v>
      </c>
      <c r="AO42">
        <f t="shared" si="552"/>
        <v>0.7371634674072266</v>
      </c>
      <c r="AP42">
        <f t="shared" si="553"/>
        <v>0.67912355014497228</v>
      </c>
      <c r="AQ42">
        <f t="shared" si="554"/>
        <v>0.67912355014497228</v>
      </c>
      <c r="AR42">
        <f t="shared" si="555"/>
        <v>0.67912355014497228</v>
      </c>
      <c r="AS42">
        <f t="shared" si="556"/>
        <v>0.67912355014497228</v>
      </c>
      <c r="AT42">
        <f t="shared" si="557"/>
        <v>0.67912355014497228</v>
      </c>
      <c r="AU42">
        <f t="shared" si="558"/>
        <v>0.67912355014497228</v>
      </c>
      <c r="AV42">
        <f t="shared" si="559"/>
        <v>0.67912355014497228</v>
      </c>
      <c r="AW42">
        <f t="shared" si="560"/>
        <v>0.67912355014497228</v>
      </c>
      <c r="AX42">
        <f t="shared" si="561"/>
        <v>0.99999997415840869</v>
      </c>
      <c r="AY42">
        <f t="shared" si="562"/>
        <v>0.99999997415840869</v>
      </c>
      <c r="AZ42">
        <f t="shared" si="563"/>
        <v>0.99999997415840869</v>
      </c>
      <c r="BA42">
        <f t="shared" si="564"/>
        <v>0.99999997415840869</v>
      </c>
      <c r="BB42">
        <f t="shared" si="565"/>
        <v>0.99999997415840869</v>
      </c>
      <c r="BC42">
        <f t="shared" si="566"/>
        <v>0.99999997415840869</v>
      </c>
      <c r="BD42">
        <f t="shared" si="567"/>
        <v>0.99999997415840869</v>
      </c>
      <c r="BE42">
        <f t="shared" si="568"/>
        <v>0.99999997415840869</v>
      </c>
      <c r="BF42">
        <f t="shared" si="569"/>
        <v>0.99999997415840869</v>
      </c>
      <c r="BG42">
        <f t="shared" si="570"/>
        <v>0.99999997415840869</v>
      </c>
      <c r="BH42">
        <f t="shared" si="571"/>
        <v>0.99999997415840869</v>
      </c>
      <c r="BI42">
        <f t="shared" si="572"/>
        <v>0.99999997415840869</v>
      </c>
      <c r="BJ42">
        <f t="shared" si="573"/>
        <v>0.99999997415840869</v>
      </c>
      <c r="BK42">
        <f t="shared" si="574"/>
        <v>0.99999997415840869</v>
      </c>
      <c r="BL42">
        <f t="shared" si="575"/>
        <v>0.99999997415840869</v>
      </c>
      <c r="BM42">
        <f t="shared" si="576"/>
        <v>0.99999997415840869</v>
      </c>
      <c r="BN42">
        <f t="shared" si="577"/>
        <v>0.99999997415840869</v>
      </c>
      <c r="BO42">
        <f t="shared" si="578"/>
        <v>0.99999997415840869</v>
      </c>
      <c r="BP42">
        <f t="shared" si="579"/>
        <v>0.99999997415840869</v>
      </c>
      <c r="BQ42">
        <f t="shared" si="580"/>
        <v>0.99999997415840869</v>
      </c>
      <c r="BR42">
        <f t="shared" si="581"/>
        <v>0.99999997415840869</v>
      </c>
      <c r="BS42">
        <f t="shared" si="582"/>
        <v>0.99999997415840869</v>
      </c>
      <c r="BT42">
        <f t="shared" si="583"/>
        <v>0.99999997415840869</v>
      </c>
      <c r="BU42">
        <f t="shared" si="584"/>
        <v>0.99999997415840869</v>
      </c>
      <c r="BV42">
        <f t="shared" si="585"/>
        <v>0.99999997415840869</v>
      </c>
      <c r="BW42">
        <f t="shared" si="586"/>
        <v>0.99999997415840869</v>
      </c>
      <c r="BX42">
        <f t="shared" si="587"/>
        <v>0.99999997415840869</v>
      </c>
      <c r="BY42">
        <f t="shared" si="588"/>
        <v>0.99999997415840869</v>
      </c>
      <c r="BZ42">
        <f t="shared" si="589"/>
        <v>0.99999997415840869</v>
      </c>
      <c r="CA42">
        <f t="shared" si="590"/>
        <v>0.99999997415840869</v>
      </c>
      <c r="CB42">
        <f t="shared" si="591"/>
        <v>0.99999997415840869</v>
      </c>
      <c r="CC42">
        <f t="shared" si="592"/>
        <v>0.99999997415840869</v>
      </c>
      <c r="CD42">
        <f t="shared" si="593"/>
        <v>0.99999997415840869</v>
      </c>
      <c r="CE42">
        <f t="shared" si="594"/>
        <v>0.99999997415840869</v>
      </c>
      <c r="CF42">
        <f t="shared" si="595"/>
        <v>0.99999997415840869</v>
      </c>
      <c r="CG42">
        <f t="shared" si="596"/>
        <v>0.99999997415840869</v>
      </c>
      <c r="CH42">
        <f t="shared" si="597"/>
        <v>0.99999997415840869</v>
      </c>
      <c r="CI42">
        <f t="shared" si="598"/>
        <v>0.99999997415840869</v>
      </c>
      <c r="CJ42">
        <f t="shared" si="599"/>
        <v>0.99999997415840869</v>
      </c>
      <c r="CK42">
        <f t="shared" si="600"/>
        <v>0.99999997415840869</v>
      </c>
      <c r="CL42">
        <f t="shared" si="601"/>
        <v>0.99999997415840869</v>
      </c>
      <c r="CM42">
        <f t="shared" si="602"/>
        <v>0.99999997415840869</v>
      </c>
      <c r="CN42">
        <f t="shared" si="603"/>
        <v>0.99999997415840869</v>
      </c>
      <c r="CO42">
        <f t="shared" si="604"/>
        <v>0.99999997415840869</v>
      </c>
      <c r="CP42">
        <f t="shared" si="605"/>
        <v>0.99999997415840869</v>
      </c>
      <c r="CQ42">
        <f t="shared" si="606"/>
        <v>0.99999997415840869</v>
      </c>
      <c r="CR42">
        <f t="shared" si="607"/>
        <v>0.99999997415840869</v>
      </c>
      <c r="CS42">
        <f t="shared" si="608"/>
        <v>0.99999997415840869</v>
      </c>
      <c r="CT42">
        <f t="shared" si="609"/>
        <v>0.99999997415840869</v>
      </c>
      <c r="CU42">
        <f t="shared" si="610"/>
        <v>0.99999997415840869</v>
      </c>
      <c r="CV42">
        <f t="shared" si="611"/>
        <v>0.99999997415840869</v>
      </c>
      <c r="CW42">
        <f t="shared" si="612"/>
        <v>0.99999997415840869</v>
      </c>
      <c r="CX42">
        <f t="shared" si="613"/>
        <v>0.99999997415840869</v>
      </c>
      <c r="CY42">
        <f t="shared" si="614"/>
        <v>0.99999997415840869</v>
      </c>
      <c r="CZ42">
        <f t="shared" si="615"/>
        <v>0.99999997415840869</v>
      </c>
      <c r="DA42">
        <f t="shared" si="616"/>
        <v>0.99999997415840869</v>
      </c>
      <c r="DB42">
        <f t="shared" si="617"/>
        <v>0.99999997415840869</v>
      </c>
      <c r="DC42">
        <f t="shared" si="618"/>
        <v>0.99999997415840869</v>
      </c>
      <c r="DD42">
        <f t="shared" si="619"/>
        <v>0.99999997415840869</v>
      </c>
      <c r="DE42">
        <f t="shared" si="620"/>
        <v>0.99999997415840869</v>
      </c>
      <c r="DF42">
        <f t="shared" si="621"/>
        <v>0.99999997415840869</v>
      </c>
      <c r="DG42">
        <f t="shared" si="622"/>
        <v>0.99999997415840869</v>
      </c>
      <c r="DH42">
        <f t="shared" si="623"/>
        <v>0.99999997415840869</v>
      </c>
      <c r="DI42">
        <f t="shared" si="624"/>
        <v>0.99999997415840869</v>
      </c>
      <c r="DJ42">
        <f t="shared" si="625"/>
        <v>0.99999997415840869</v>
      </c>
      <c r="DK42">
        <f t="shared" si="626"/>
        <v>0.99999997415840869</v>
      </c>
      <c r="DL42">
        <f t="shared" si="627"/>
        <v>0.99999997415840869</v>
      </c>
      <c r="DM42">
        <f t="shared" si="628"/>
        <v>0.99999997415840869</v>
      </c>
      <c r="DN42">
        <f t="shared" si="629"/>
        <v>0.99999997415840869</v>
      </c>
      <c r="DO42">
        <f t="shared" si="630"/>
        <v>0.99999997415840869</v>
      </c>
      <c r="DP42">
        <f t="shared" si="631"/>
        <v>0.99999997415840869</v>
      </c>
      <c r="DQ42">
        <f t="shared" si="632"/>
        <v>0.99999997415840869</v>
      </c>
      <c r="DR42">
        <f t="shared" si="633"/>
        <v>0.99999997415840869</v>
      </c>
      <c r="DS42">
        <f t="shared" si="634"/>
        <v>0.99999997415840869</v>
      </c>
      <c r="DT42">
        <f t="shared" si="635"/>
        <v>0.99999997415840869</v>
      </c>
      <c r="DU42">
        <f t="shared" si="636"/>
        <v>0.99999997415840869</v>
      </c>
      <c r="DV42">
        <f t="shared" si="637"/>
        <v>0.99999997415840869</v>
      </c>
      <c r="DW42">
        <f t="shared" si="638"/>
        <v>0.99999997415840869</v>
      </c>
      <c r="DX42">
        <f t="shared" si="639"/>
        <v>0.99999997415840869</v>
      </c>
      <c r="DY42">
        <f t="shared" si="640"/>
        <v>0.99999997415840869</v>
      </c>
      <c r="DZ42">
        <f t="shared" si="641"/>
        <v>0.99999997415840869</v>
      </c>
      <c r="EA42">
        <f t="shared" si="642"/>
        <v>0.99999997415840869</v>
      </c>
      <c r="EB42">
        <f t="shared" si="643"/>
        <v>0.99999997415840869</v>
      </c>
      <c r="EC42">
        <f t="shared" si="644"/>
        <v>0.99999997415840869</v>
      </c>
      <c r="ED42">
        <f t="shared" si="645"/>
        <v>0.99999997415840869</v>
      </c>
      <c r="EE42">
        <f t="shared" si="646"/>
        <v>0.99999997415840869</v>
      </c>
      <c r="EF42">
        <f t="shared" si="647"/>
        <v>0.99999997415840869</v>
      </c>
      <c r="EG42">
        <f t="shared" si="648"/>
        <v>0.99999997415840869</v>
      </c>
      <c r="EH42">
        <f t="shared" si="649"/>
        <v>0.99999997415840869</v>
      </c>
      <c r="EI42">
        <f t="shared" si="650"/>
        <v>0.99999997415840869</v>
      </c>
      <c r="EJ42">
        <f t="shared" si="651"/>
        <v>0.99999997415840869</v>
      </c>
      <c r="EK42">
        <f t="shared" si="652"/>
        <v>0.99999997415840869</v>
      </c>
      <c r="EL42">
        <f t="shared" si="653"/>
        <v>0.99999997415840869</v>
      </c>
      <c r="EM42">
        <f t="shared" si="654"/>
        <v>0.99999997415840869</v>
      </c>
      <c r="EN42">
        <f t="shared" si="655"/>
        <v>0.99999997415840869</v>
      </c>
      <c r="EO42">
        <f t="shared" si="656"/>
        <v>0.99999997415840869</v>
      </c>
      <c r="EP42">
        <f t="shared" si="657"/>
        <v>0.99999997415840869</v>
      </c>
      <c r="EQ42">
        <f t="shared" si="658"/>
        <v>0.99999997415840869</v>
      </c>
      <c r="ER42">
        <f t="shared" si="659"/>
        <v>0.99999997415840869</v>
      </c>
      <c r="ES42">
        <f t="shared" si="660"/>
        <v>0.99999997415840869</v>
      </c>
      <c r="ET42">
        <f t="shared" si="661"/>
        <v>0.99999997415840869</v>
      </c>
      <c r="EU42">
        <f t="shared" si="662"/>
        <v>0.99999997415840869</v>
      </c>
      <c r="EV42">
        <f t="shared" si="663"/>
        <v>0.99999997415840869</v>
      </c>
      <c r="EW42">
        <f t="shared" si="664"/>
        <v>0.99999997415840869</v>
      </c>
      <c r="EX42">
        <f t="shared" si="665"/>
        <v>0.99999997415840869</v>
      </c>
      <c r="EY42">
        <f t="shared" si="666"/>
        <v>0.99999997415840869</v>
      </c>
      <c r="EZ42">
        <f t="shared" si="667"/>
        <v>0.99999997415840869</v>
      </c>
      <c r="FA42">
        <f t="shared" si="668"/>
        <v>0.99999997415840869</v>
      </c>
      <c r="FB42">
        <f t="shared" si="669"/>
        <v>0.99999997415840869</v>
      </c>
      <c r="FC42">
        <f t="shared" si="670"/>
        <v>0.99999997415840869</v>
      </c>
      <c r="FD42">
        <f t="shared" si="671"/>
        <v>0.99999997415840869</v>
      </c>
      <c r="FE42">
        <f t="shared" si="672"/>
        <v>0.99999997415840869</v>
      </c>
      <c r="FF42">
        <f t="shared" si="673"/>
        <v>0.99999997415840869</v>
      </c>
      <c r="FG42">
        <f t="shared" si="674"/>
        <v>0.99999997415840869</v>
      </c>
      <c r="FH42">
        <f t="shared" si="675"/>
        <v>0.99999997415840869</v>
      </c>
      <c r="FI42">
        <f t="shared" si="676"/>
        <v>0.99999997415840869</v>
      </c>
      <c r="FJ42">
        <f t="shared" si="677"/>
        <v>0.99999997415840869</v>
      </c>
      <c r="FK42">
        <f t="shared" si="678"/>
        <v>0.99999997415840869</v>
      </c>
      <c r="FL42">
        <f t="shared" si="679"/>
        <v>0.99999997415840869</v>
      </c>
      <c r="FM42">
        <f t="shared" si="680"/>
        <v>0.99999997415840869</v>
      </c>
      <c r="FN42">
        <f t="shared" si="681"/>
        <v>0.99999997415840869</v>
      </c>
      <c r="FO42">
        <f t="shared" si="682"/>
        <v>0.99999997415840869</v>
      </c>
      <c r="FP42">
        <f t="shared" si="683"/>
        <v>0.99999997415840869</v>
      </c>
      <c r="FQ42">
        <f t="shared" si="684"/>
        <v>0.99999997415840869</v>
      </c>
      <c r="FR42">
        <f t="shared" si="685"/>
        <v>0.99999997415840869</v>
      </c>
      <c r="FS42">
        <f t="shared" si="686"/>
        <v>0.99999997415840869</v>
      </c>
      <c r="FT42">
        <f t="shared" si="687"/>
        <v>0.99999997415840869</v>
      </c>
      <c r="FU42">
        <f t="shared" si="688"/>
        <v>0.99999997415840869</v>
      </c>
      <c r="FV42">
        <f t="shared" si="689"/>
        <v>0.99999997415840869</v>
      </c>
      <c r="FW42">
        <f t="shared" si="690"/>
        <v>0.99999997415840869</v>
      </c>
      <c r="FX42">
        <f t="shared" si="691"/>
        <v>0.99999997415840869</v>
      </c>
      <c r="FY42">
        <f t="shared" si="692"/>
        <v>0.99999997415840869</v>
      </c>
      <c r="FZ42">
        <f t="shared" si="693"/>
        <v>0.99999997415840869</v>
      </c>
      <c r="GA42">
        <f t="shared" si="694"/>
        <v>0.99999997415840869</v>
      </c>
      <c r="GB42">
        <f t="shared" si="695"/>
        <v>0.99999997415840869</v>
      </c>
      <c r="GC42">
        <f t="shared" si="696"/>
        <v>0.99999997415840869</v>
      </c>
      <c r="GD42">
        <f t="shared" si="697"/>
        <v>0.99999997415840869</v>
      </c>
      <c r="GE42">
        <f t="shared" si="698"/>
        <v>0.99999997415840869</v>
      </c>
      <c r="GF42">
        <f t="shared" si="699"/>
        <v>0.99999997415840869</v>
      </c>
      <c r="GG42">
        <f t="shared" si="700"/>
        <v>0.99999997415840869</v>
      </c>
      <c r="GH42">
        <f t="shared" si="701"/>
        <v>0.99999997415840869</v>
      </c>
      <c r="GI42">
        <f t="shared" si="702"/>
        <v>0.99999997415840869</v>
      </c>
      <c r="GJ42">
        <f t="shared" si="703"/>
        <v>0.99999997415840869</v>
      </c>
      <c r="GK42">
        <f t="shared" si="704"/>
        <v>0.99999997415840869</v>
      </c>
      <c r="GL42">
        <f t="shared" si="705"/>
        <v>0.99999997415840869</v>
      </c>
      <c r="GM42">
        <f t="shared" si="706"/>
        <v>0.99999997415840869</v>
      </c>
      <c r="GN42">
        <f t="shared" si="707"/>
        <v>0.99999997415840869</v>
      </c>
      <c r="GO42">
        <f t="shared" si="708"/>
        <v>0.99999997415840869</v>
      </c>
      <c r="GP42">
        <f t="shared" si="709"/>
        <v>0.99999997415840869</v>
      </c>
      <c r="GQ42">
        <f t="shared" si="710"/>
        <v>0.99999997415840869</v>
      </c>
      <c r="GR42">
        <f t="shared" si="711"/>
        <v>0.99999997415840869</v>
      </c>
      <c r="GS42">
        <f t="shared" si="712"/>
        <v>0.99999997415840869</v>
      </c>
      <c r="GT42">
        <f t="shared" si="713"/>
        <v>0.99999997415840869</v>
      </c>
      <c r="GU42">
        <f t="shared" si="714"/>
        <v>0.99999997415840869</v>
      </c>
      <c r="GV42">
        <f t="shared" si="715"/>
        <v>0.99999997415840869</v>
      </c>
      <c r="GW42">
        <f t="shared" si="716"/>
        <v>0.99999997415840869</v>
      </c>
      <c r="GX42">
        <f t="shared" si="717"/>
        <v>0.99999997415840869</v>
      </c>
      <c r="GY42">
        <f t="shared" si="718"/>
        <v>0.99999997415840869</v>
      </c>
      <c r="GZ42">
        <f t="shared" si="719"/>
        <v>0.99999997415840869</v>
      </c>
      <c r="HA42">
        <f t="shared" si="720"/>
        <v>0.99999997415840869</v>
      </c>
      <c r="HB42">
        <f t="shared" si="721"/>
        <v>0.99999997415840869</v>
      </c>
      <c r="HC42">
        <f t="shared" si="722"/>
        <v>0.99999997415840869</v>
      </c>
      <c r="HD42">
        <f t="shared" si="723"/>
        <v>0.99999997415840869</v>
      </c>
      <c r="HE42">
        <f t="shared" si="724"/>
        <v>0.99999997415840869</v>
      </c>
      <c r="HF42">
        <f t="shared" si="725"/>
        <v>0.99999997415840869</v>
      </c>
      <c r="HG42">
        <f t="shared" si="726"/>
        <v>0.99999997415840869</v>
      </c>
      <c r="HH42">
        <f t="shared" si="727"/>
        <v>0.99999997415840869</v>
      </c>
      <c r="HI42">
        <f t="shared" si="728"/>
        <v>0.99999997415840869</v>
      </c>
      <c r="HJ42">
        <f t="shared" si="729"/>
        <v>0.99999997415840869</v>
      </c>
      <c r="HK42">
        <f t="shared" si="730"/>
        <v>0.99999997415840869</v>
      </c>
      <c r="HL42">
        <f t="shared" si="731"/>
        <v>0.99999997415840869</v>
      </c>
      <c r="HM42">
        <f t="shared" si="732"/>
        <v>0.99999997415840869</v>
      </c>
      <c r="HN42">
        <f t="shared" si="733"/>
        <v>0.99999997415840869</v>
      </c>
      <c r="HO42">
        <f t="shared" si="734"/>
        <v>0.99999997415840869</v>
      </c>
      <c r="HP42">
        <f t="shared" si="735"/>
        <v>0.99999997415840869</v>
      </c>
      <c r="HQ42">
        <f t="shared" si="736"/>
        <v>0.99999997415840869</v>
      </c>
      <c r="HR42">
        <f t="shared" si="737"/>
        <v>0.99999997415840869</v>
      </c>
      <c r="HS42">
        <f t="shared" si="738"/>
        <v>0.99999997415840869</v>
      </c>
      <c r="HT42">
        <f t="shared" si="739"/>
        <v>0.99999997415840869</v>
      </c>
      <c r="HU42">
        <f t="shared" si="740"/>
        <v>0.99999997415840869</v>
      </c>
      <c r="HV42">
        <f t="shared" si="741"/>
        <v>0.99999997415840869</v>
      </c>
      <c r="HW42">
        <f t="shared" si="742"/>
        <v>0.99999997415840869</v>
      </c>
      <c r="HX42">
        <f t="shared" si="743"/>
        <v>0.99999997415840869</v>
      </c>
      <c r="HY42">
        <f t="shared" si="744"/>
        <v>0.99999997415840869</v>
      </c>
      <c r="HZ42">
        <f t="shared" si="745"/>
        <v>0.99999997415840869</v>
      </c>
      <c r="IA42">
        <f t="shared" si="746"/>
        <v>0.99999997415840869</v>
      </c>
      <c r="IB42">
        <f t="shared" si="747"/>
        <v>0.99999997415840869</v>
      </c>
      <c r="IC42">
        <f t="shared" si="748"/>
        <v>0.99999997415840869</v>
      </c>
      <c r="ID42">
        <f t="shared" si="749"/>
        <v>0.99999997415840869</v>
      </c>
      <c r="IE42">
        <f t="shared" si="750"/>
        <v>0.99999997415840869</v>
      </c>
      <c r="IF42">
        <f t="shared" si="751"/>
        <v>0.99999997415840869</v>
      </c>
      <c r="IG42">
        <f t="shared" si="752"/>
        <v>0.99999997415840869</v>
      </c>
      <c r="IH42">
        <f t="shared" si="753"/>
        <v>0.99999997415840869</v>
      </c>
      <c r="II42">
        <f t="shared" si="754"/>
        <v>0.99999997415840869</v>
      </c>
      <c r="IJ42">
        <f t="shared" si="755"/>
        <v>0.99999997415840869</v>
      </c>
      <c r="IK42">
        <f t="shared" si="756"/>
        <v>0.99999997415840869</v>
      </c>
      <c r="IL42">
        <f t="shared" si="757"/>
        <v>0.99999997415840869</v>
      </c>
      <c r="IM42">
        <f t="shared" si="758"/>
        <v>0.99999997415840869</v>
      </c>
      <c r="IN42">
        <f t="shared" si="759"/>
        <v>0.99999997415840869</v>
      </c>
      <c r="IO42">
        <f t="shared" si="760"/>
        <v>0.99999997415840869</v>
      </c>
      <c r="IP42">
        <f t="shared" si="761"/>
        <v>0.99999997415840869</v>
      </c>
      <c r="IQ42">
        <f t="shared" si="762"/>
        <v>0.99999997415840869</v>
      </c>
      <c r="IR42">
        <f t="shared" si="763"/>
        <v>0.99999997415840869</v>
      </c>
      <c r="IS42">
        <f t="shared" si="764"/>
        <v>0.99999997415840869</v>
      </c>
      <c r="IT42">
        <f t="shared" si="765"/>
        <v>0.99999997415840869</v>
      </c>
      <c r="IU42">
        <f t="shared" si="766"/>
        <v>0.99999997415840869</v>
      </c>
      <c r="IV42">
        <f t="shared" si="767"/>
        <v>0.99999997415840869</v>
      </c>
    </row>
    <row r="43" spans="1:256" x14ac:dyDescent="0.2">
      <c r="A43" t="s">
        <v>514</v>
      </c>
      <c r="B43">
        <f t="shared" si="513"/>
        <v>0.52466606797154081</v>
      </c>
      <c r="C43">
        <f t="shared" si="514"/>
        <v>0.52466606797154081</v>
      </c>
      <c r="D43">
        <f t="shared" si="515"/>
        <v>0.52466606797154081</v>
      </c>
      <c r="E43">
        <f t="shared" si="516"/>
        <v>0.52466606797154081</v>
      </c>
      <c r="F43">
        <f t="shared" si="517"/>
        <v>0.52466606797154081</v>
      </c>
      <c r="G43">
        <f t="shared" si="518"/>
        <v>0.52466606797154081</v>
      </c>
      <c r="H43">
        <f t="shared" si="519"/>
        <v>0.52466606797154081</v>
      </c>
      <c r="I43">
        <f t="shared" si="520"/>
        <v>0.52466606797154081</v>
      </c>
      <c r="J43">
        <f t="shared" si="521"/>
        <v>1.0421916999644356</v>
      </c>
      <c r="K43">
        <f t="shared" si="522"/>
        <v>1.0421916999644356</v>
      </c>
      <c r="L43">
        <f t="shared" si="523"/>
        <v>1.0421916999644356</v>
      </c>
      <c r="M43">
        <f t="shared" si="524"/>
        <v>1.0421916999644356</v>
      </c>
      <c r="N43">
        <f t="shared" si="525"/>
        <v>1.0421916999644356</v>
      </c>
      <c r="O43">
        <f t="shared" si="526"/>
        <v>1.0421916999644356</v>
      </c>
      <c r="P43">
        <f t="shared" si="527"/>
        <v>1.0421916999644356</v>
      </c>
      <c r="Q43">
        <f t="shared" si="528"/>
        <v>1.0421916999644356</v>
      </c>
      <c r="R43">
        <f t="shared" si="529"/>
        <v>1.0794165490996503</v>
      </c>
      <c r="S43">
        <f t="shared" si="530"/>
        <v>1.0794165490996503</v>
      </c>
      <c r="T43">
        <f t="shared" si="531"/>
        <v>1.0794165490996503</v>
      </c>
      <c r="U43">
        <f t="shared" si="532"/>
        <v>1.0794165490996503</v>
      </c>
      <c r="V43">
        <f t="shared" si="533"/>
        <v>1.0794165490996503</v>
      </c>
      <c r="W43">
        <f t="shared" si="534"/>
        <v>1.0794165490996503</v>
      </c>
      <c r="X43">
        <f t="shared" si="535"/>
        <v>1.0794165490996503</v>
      </c>
      <c r="Y43">
        <f t="shared" si="536"/>
        <v>1.0794165490996503</v>
      </c>
      <c r="Z43">
        <f t="shared" si="537"/>
        <v>1.1158147439486272</v>
      </c>
      <c r="AA43">
        <f t="shared" si="538"/>
        <v>1.1158147439486272</v>
      </c>
      <c r="AB43">
        <f t="shared" si="539"/>
        <v>1.1158147439486272</v>
      </c>
      <c r="AC43">
        <f t="shared" si="540"/>
        <v>1.1158147439486272</v>
      </c>
      <c r="AD43">
        <f t="shared" si="541"/>
        <v>1.1158147439486272</v>
      </c>
      <c r="AE43">
        <f t="shared" si="542"/>
        <v>1.1158147439486272</v>
      </c>
      <c r="AF43">
        <f t="shared" si="543"/>
        <v>1.1158147439486272</v>
      </c>
      <c r="AG43">
        <f t="shared" si="544"/>
        <v>1.1158147439486272</v>
      </c>
      <c r="AH43">
        <f t="shared" si="545"/>
        <v>0.53973793029785155</v>
      </c>
      <c r="AI43">
        <f t="shared" si="546"/>
        <v>0.53973793029785155</v>
      </c>
      <c r="AJ43">
        <f t="shared" si="547"/>
        <v>0.53973793029785155</v>
      </c>
      <c r="AK43">
        <f t="shared" si="548"/>
        <v>0.53973793029785155</v>
      </c>
      <c r="AL43">
        <f t="shared" si="549"/>
        <v>0.53973793029785155</v>
      </c>
      <c r="AM43">
        <f t="shared" si="550"/>
        <v>0.53973793029785155</v>
      </c>
      <c r="AN43">
        <f t="shared" si="551"/>
        <v>0.53973793029785155</v>
      </c>
      <c r="AO43">
        <f t="shared" si="552"/>
        <v>0.53973793029785155</v>
      </c>
      <c r="AP43">
        <f t="shared" si="553"/>
        <v>0.72312862184131388</v>
      </c>
      <c r="AQ43">
        <f t="shared" si="554"/>
        <v>0.72312862184131388</v>
      </c>
      <c r="AR43">
        <f t="shared" si="555"/>
        <v>0.72312862184131388</v>
      </c>
      <c r="AS43">
        <f t="shared" si="556"/>
        <v>0.72312862184131388</v>
      </c>
      <c r="AT43">
        <f t="shared" si="557"/>
        <v>0.72312862184131388</v>
      </c>
      <c r="AU43">
        <f t="shared" si="558"/>
        <v>0.72312862184131388</v>
      </c>
      <c r="AV43">
        <f t="shared" si="559"/>
        <v>0.72312862184131388</v>
      </c>
      <c r="AW43">
        <f t="shared" si="560"/>
        <v>0.72312862184131388</v>
      </c>
      <c r="AX43">
        <f t="shared" si="561"/>
        <v>0.99999853643354242</v>
      </c>
      <c r="AY43">
        <f t="shared" si="562"/>
        <v>0.99999853643354242</v>
      </c>
      <c r="AZ43">
        <f t="shared" si="563"/>
        <v>0.99999853643354242</v>
      </c>
      <c r="BA43">
        <f t="shared" si="564"/>
        <v>0.99999853643354242</v>
      </c>
      <c r="BB43">
        <f t="shared" si="565"/>
        <v>0.99999853643354242</v>
      </c>
      <c r="BC43">
        <f t="shared" si="566"/>
        <v>0.99999853643354242</v>
      </c>
      <c r="BD43">
        <f t="shared" si="567"/>
        <v>0.99999853643354242</v>
      </c>
      <c r="BE43">
        <f t="shared" si="568"/>
        <v>0.99999853643354242</v>
      </c>
      <c r="BF43">
        <f t="shared" si="569"/>
        <v>0.99999853643354242</v>
      </c>
      <c r="BG43">
        <f t="shared" si="570"/>
        <v>0.99999853643354242</v>
      </c>
      <c r="BH43">
        <f t="shared" si="571"/>
        <v>0.99999853643354242</v>
      </c>
      <c r="BI43">
        <f t="shared" si="572"/>
        <v>0.99999853643354242</v>
      </c>
      <c r="BJ43">
        <f t="shared" si="573"/>
        <v>0.99999853643354242</v>
      </c>
      <c r="BK43">
        <f t="shared" si="574"/>
        <v>0.99999853643354242</v>
      </c>
      <c r="BL43">
        <f t="shared" si="575"/>
        <v>0.99999853643354242</v>
      </c>
      <c r="BM43">
        <f t="shared" si="576"/>
        <v>0.99999853643354242</v>
      </c>
      <c r="BN43">
        <f t="shared" si="577"/>
        <v>0.99999853643354242</v>
      </c>
      <c r="BO43">
        <f t="shared" si="578"/>
        <v>0.99999853643354242</v>
      </c>
      <c r="BP43">
        <f t="shared" si="579"/>
        <v>0.99999853643354242</v>
      </c>
      <c r="BQ43">
        <f t="shared" si="580"/>
        <v>0.99999853643354242</v>
      </c>
      <c r="BR43">
        <f t="shared" si="581"/>
        <v>0.99999853643354242</v>
      </c>
      <c r="BS43">
        <f t="shared" si="582"/>
        <v>0.99999853643354242</v>
      </c>
      <c r="BT43">
        <f t="shared" si="583"/>
        <v>0.99999853643354242</v>
      </c>
      <c r="BU43">
        <f t="shared" si="584"/>
        <v>0.99999853643354242</v>
      </c>
      <c r="BV43">
        <f t="shared" si="585"/>
        <v>0.99999853643354242</v>
      </c>
      <c r="BW43">
        <f t="shared" si="586"/>
        <v>0.99999853643354242</v>
      </c>
      <c r="BX43">
        <f t="shared" si="587"/>
        <v>0.99999853643354242</v>
      </c>
      <c r="BY43">
        <f t="shared" si="588"/>
        <v>0.99999853643354242</v>
      </c>
      <c r="BZ43">
        <f t="shared" si="589"/>
        <v>0.99999853643354242</v>
      </c>
      <c r="CA43">
        <f t="shared" si="590"/>
        <v>0.99999853643354242</v>
      </c>
      <c r="CB43">
        <f t="shared" si="591"/>
        <v>0.99999853643354242</v>
      </c>
      <c r="CC43">
        <f t="shared" si="592"/>
        <v>0.99999853643354242</v>
      </c>
      <c r="CD43">
        <f t="shared" si="593"/>
        <v>0.99999853643354242</v>
      </c>
      <c r="CE43">
        <f t="shared" si="594"/>
        <v>0.99999853643354242</v>
      </c>
      <c r="CF43">
        <f t="shared" si="595"/>
        <v>0.99999853643354242</v>
      </c>
      <c r="CG43">
        <f t="shared" si="596"/>
        <v>0.99999853643354242</v>
      </c>
      <c r="CH43">
        <f t="shared" si="597"/>
        <v>0.99999853643354242</v>
      </c>
      <c r="CI43">
        <f t="shared" si="598"/>
        <v>0.99999853643354242</v>
      </c>
      <c r="CJ43">
        <f t="shared" si="599"/>
        <v>0.99999853643354242</v>
      </c>
      <c r="CK43">
        <f t="shared" si="600"/>
        <v>0.99999853643354242</v>
      </c>
      <c r="CL43">
        <f t="shared" si="601"/>
        <v>0.99999853643354242</v>
      </c>
      <c r="CM43">
        <f t="shared" si="602"/>
        <v>0.99999853643354242</v>
      </c>
      <c r="CN43">
        <f t="shared" si="603"/>
        <v>0.99999853643354242</v>
      </c>
      <c r="CO43">
        <f t="shared" si="604"/>
        <v>0.99999853643354242</v>
      </c>
      <c r="CP43">
        <f t="shared" si="605"/>
        <v>0.99999853643354242</v>
      </c>
      <c r="CQ43">
        <f t="shared" si="606"/>
        <v>0.99999853643354242</v>
      </c>
      <c r="CR43">
        <f t="shared" si="607"/>
        <v>0.99999853643354242</v>
      </c>
      <c r="CS43">
        <f t="shared" si="608"/>
        <v>0.99999853643354242</v>
      </c>
      <c r="CT43">
        <f t="shared" si="609"/>
        <v>0.99999853643354242</v>
      </c>
      <c r="CU43">
        <f t="shared" si="610"/>
        <v>0.99999853643354242</v>
      </c>
      <c r="CV43">
        <f t="shared" si="611"/>
        <v>0.99999853643354242</v>
      </c>
      <c r="CW43">
        <f t="shared" si="612"/>
        <v>0.99999853643354242</v>
      </c>
      <c r="CX43">
        <f t="shared" si="613"/>
        <v>0.99999853643354242</v>
      </c>
      <c r="CY43">
        <f t="shared" si="614"/>
        <v>0.99999853643354242</v>
      </c>
      <c r="CZ43">
        <f t="shared" si="615"/>
        <v>0.99999853643354242</v>
      </c>
      <c r="DA43">
        <f t="shared" si="616"/>
        <v>0.99999853643354242</v>
      </c>
      <c r="DB43">
        <f t="shared" si="617"/>
        <v>0.99999853643354242</v>
      </c>
      <c r="DC43">
        <f t="shared" si="618"/>
        <v>0.99999853643354242</v>
      </c>
      <c r="DD43">
        <f t="shared" si="619"/>
        <v>0.99999853643354242</v>
      </c>
      <c r="DE43">
        <f t="shared" si="620"/>
        <v>0.99999853643354242</v>
      </c>
      <c r="DF43">
        <f t="shared" si="621"/>
        <v>0.99999853643354242</v>
      </c>
      <c r="DG43">
        <f t="shared" si="622"/>
        <v>0.99999853643354242</v>
      </c>
      <c r="DH43">
        <f t="shared" si="623"/>
        <v>0.99999853643354242</v>
      </c>
      <c r="DI43">
        <f t="shared" si="624"/>
        <v>0.99999853643354242</v>
      </c>
      <c r="DJ43">
        <f t="shared" si="625"/>
        <v>0.99999853643354242</v>
      </c>
      <c r="DK43">
        <f t="shared" si="626"/>
        <v>0.99999853643354242</v>
      </c>
      <c r="DL43">
        <f t="shared" si="627"/>
        <v>0.99999853643354242</v>
      </c>
      <c r="DM43">
        <f t="shared" si="628"/>
        <v>0.99999853643354242</v>
      </c>
      <c r="DN43">
        <f t="shared" si="629"/>
        <v>0.99999853643354242</v>
      </c>
      <c r="DO43">
        <f t="shared" si="630"/>
        <v>0.99999853643354242</v>
      </c>
      <c r="DP43">
        <f t="shared" si="631"/>
        <v>0.99999853643354242</v>
      </c>
      <c r="DQ43">
        <f t="shared" si="632"/>
        <v>0.99999853643354242</v>
      </c>
      <c r="DR43">
        <f t="shared" si="633"/>
        <v>0.99999853643354242</v>
      </c>
      <c r="DS43">
        <f t="shared" si="634"/>
        <v>0.99999853643354242</v>
      </c>
      <c r="DT43">
        <f t="shared" si="635"/>
        <v>0.99999853643354242</v>
      </c>
      <c r="DU43">
        <f t="shared" si="636"/>
        <v>0.99999853643354242</v>
      </c>
      <c r="DV43">
        <f t="shared" si="637"/>
        <v>0.99999853643354242</v>
      </c>
      <c r="DW43">
        <f t="shared" si="638"/>
        <v>0.99999853643354242</v>
      </c>
      <c r="DX43">
        <f t="shared" si="639"/>
        <v>0.99999853643354242</v>
      </c>
      <c r="DY43">
        <f t="shared" si="640"/>
        <v>0.99999853643354242</v>
      </c>
      <c r="DZ43">
        <f t="shared" si="641"/>
        <v>0.99999853643354242</v>
      </c>
      <c r="EA43">
        <f t="shared" si="642"/>
        <v>0.99999853643354242</v>
      </c>
      <c r="EB43">
        <f t="shared" si="643"/>
        <v>0.99999853643354242</v>
      </c>
      <c r="EC43">
        <f t="shared" si="644"/>
        <v>0.99999853643354242</v>
      </c>
      <c r="ED43">
        <f t="shared" si="645"/>
        <v>0.99999853643354242</v>
      </c>
      <c r="EE43">
        <f t="shared" si="646"/>
        <v>0.99999853643354242</v>
      </c>
      <c r="EF43">
        <f t="shared" si="647"/>
        <v>0.99999853643354242</v>
      </c>
      <c r="EG43">
        <f t="shared" si="648"/>
        <v>0.99999853643354242</v>
      </c>
      <c r="EH43">
        <f t="shared" si="649"/>
        <v>0.99999853643354242</v>
      </c>
      <c r="EI43">
        <f t="shared" si="650"/>
        <v>0.99999853643354242</v>
      </c>
      <c r="EJ43">
        <f t="shared" si="651"/>
        <v>0.99999853643354242</v>
      </c>
      <c r="EK43">
        <f t="shared" si="652"/>
        <v>0.99999853643354242</v>
      </c>
      <c r="EL43">
        <f t="shared" si="653"/>
        <v>0.99999853643354242</v>
      </c>
      <c r="EM43">
        <f t="shared" si="654"/>
        <v>0.99999853643354242</v>
      </c>
      <c r="EN43">
        <f t="shared" si="655"/>
        <v>0.99999853643354242</v>
      </c>
      <c r="EO43">
        <f t="shared" si="656"/>
        <v>0.99999853643354242</v>
      </c>
      <c r="EP43">
        <f t="shared" si="657"/>
        <v>0.99999853643354242</v>
      </c>
      <c r="EQ43">
        <f t="shared" si="658"/>
        <v>0.99999853643354242</v>
      </c>
      <c r="ER43">
        <f t="shared" si="659"/>
        <v>0.99999853643354242</v>
      </c>
      <c r="ES43">
        <f t="shared" si="660"/>
        <v>0.99999853643354242</v>
      </c>
      <c r="ET43">
        <f t="shared" si="661"/>
        <v>0.99999853643354242</v>
      </c>
      <c r="EU43">
        <f t="shared" si="662"/>
        <v>0.99999853643354242</v>
      </c>
      <c r="EV43">
        <f t="shared" si="663"/>
        <v>0.99999853643354242</v>
      </c>
      <c r="EW43">
        <f t="shared" si="664"/>
        <v>0.99999853643354242</v>
      </c>
      <c r="EX43">
        <f t="shared" si="665"/>
        <v>0.99999853643354242</v>
      </c>
      <c r="EY43">
        <f t="shared" si="666"/>
        <v>0.99999853643354242</v>
      </c>
      <c r="EZ43">
        <f t="shared" si="667"/>
        <v>0.99999853643354242</v>
      </c>
      <c r="FA43">
        <f t="shared" si="668"/>
        <v>0.99999853643354242</v>
      </c>
      <c r="FB43">
        <f t="shared" si="669"/>
        <v>0.99999853643354242</v>
      </c>
      <c r="FC43">
        <f t="shared" si="670"/>
        <v>0.99999853643354242</v>
      </c>
      <c r="FD43">
        <f t="shared" si="671"/>
        <v>0.99999853643354242</v>
      </c>
      <c r="FE43">
        <f t="shared" si="672"/>
        <v>0.99999853643354242</v>
      </c>
      <c r="FF43">
        <f t="shared" si="673"/>
        <v>0.99999853643354242</v>
      </c>
      <c r="FG43">
        <f t="shared" si="674"/>
        <v>0.99999853643354242</v>
      </c>
      <c r="FH43">
        <f t="shared" si="675"/>
        <v>0.99999853643354242</v>
      </c>
      <c r="FI43">
        <f t="shared" si="676"/>
        <v>0.99999853643354242</v>
      </c>
      <c r="FJ43">
        <f t="shared" si="677"/>
        <v>0.99999853643354242</v>
      </c>
      <c r="FK43">
        <f t="shared" si="678"/>
        <v>0.99999853643354242</v>
      </c>
      <c r="FL43">
        <f t="shared" si="679"/>
        <v>0.99999853643354242</v>
      </c>
      <c r="FM43">
        <f t="shared" si="680"/>
        <v>0.99999853643354242</v>
      </c>
      <c r="FN43">
        <f t="shared" si="681"/>
        <v>0.99999853643354242</v>
      </c>
      <c r="FO43">
        <f t="shared" si="682"/>
        <v>0.99999853643354242</v>
      </c>
      <c r="FP43">
        <f t="shared" si="683"/>
        <v>0.99999853643354242</v>
      </c>
      <c r="FQ43">
        <f t="shared" si="684"/>
        <v>0.99999853643354242</v>
      </c>
      <c r="FR43">
        <f t="shared" si="685"/>
        <v>0.99999853643354242</v>
      </c>
      <c r="FS43">
        <f t="shared" si="686"/>
        <v>0.99999853643354242</v>
      </c>
      <c r="FT43">
        <f t="shared" si="687"/>
        <v>0.99999853643354242</v>
      </c>
      <c r="FU43">
        <f t="shared" si="688"/>
        <v>0.99999853643354242</v>
      </c>
      <c r="FV43">
        <f t="shared" si="689"/>
        <v>0.99999853643354242</v>
      </c>
      <c r="FW43">
        <f t="shared" si="690"/>
        <v>0.99999853643354242</v>
      </c>
      <c r="FX43">
        <f t="shared" si="691"/>
        <v>0.99999853643354242</v>
      </c>
      <c r="FY43">
        <f t="shared" si="692"/>
        <v>0.99999853643354242</v>
      </c>
      <c r="FZ43">
        <f t="shared" si="693"/>
        <v>0.99999853643354242</v>
      </c>
      <c r="GA43">
        <f t="shared" si="694"/>
        <v>0.99999853643354242</v>
      </c>
      <c r="GB43">
        <f t="shared" si="695"/>
        <v>0.99999853643354242</v>
      </c>
      <c r="GC43">
        <f t="shared" si="696"/>
        <v>0.99999853643354242</v>
      </c>
      <c r="GD43">
        <f t="shared" si="697"/>
        <v>0.99999853643354242</v>
      </c>
      <c r="GE43">
        <f t="shared" si="698"/>
        <v>0.99999853643354242</v>
      </c>
      <c r="GF43">
        <f t="shared" si="699"/>
        <v>0.99999853643354242</v>
      </c>
      <c r="GG43">
        <f t="shared" si="700"/>
        <v>0.99999853643354242</v>
      </c>
      <c r="GH43">
        <f t="shared" si="701"/>
        <v>0.99999853643354242</v>
      </c>
      <c r="GI43">
        <f t="shared" si="702"/>
        <v>0.99999853643354242</v>
      </c>
      <c r="GJ43">
        <f t="shared" si="703"/>
        <v>0.99999853643354242</v>
      </c>
      <c r="GK43">
        <f t="shared" si="704"/>
        <v>0.99999853643354242</v>
      </c>
      <c r="GL43">
        <f t="shared" si="705"/>
        <v>0.99999853643354242</v>
      </c>
      <c r="GM43">
        <f t="shared" si="706"/>
        <v>0.99999853643354242</v>
      </c>
      <c r="GN43">
        <f t="shared" si="707"/>
        <v>0.99999853643354242</v>
      </c>
      <c r="GO43">
        <f t="shared" si="708"/>
        <v>0.99999853643354242</v>
      </c>
      <c r="GP43">
        <f t="shared" si="709"/>
        <v>0.99999853643354242</v>
      </c>
      <c r="GQ43">
        <f t="shared" si="710"/>
        <v>0.99999853643354242</v>
      </c>
      <c r="GR43">
        <f t="shared" si="711"/>
        <v>0.99999853643354242</v>
      </c>
      <c r="GS43">
        <f t="shared" si="712"/>
        <v>0.99999853643354242</v>
      </c>
      <c r="GT43">
        <f t="shared" si="713"/>
        <v>0.99999853643354242</v>
      </c>
      <c r="GU43">
        <f t="shared" si="714"/>
        <v>0.99999853643354242</v>
      </c>
      <c r="GV43">
        <f t="shared" si="715"/>
        <v>0.99999853643354242</v>
      </c>
      <c r="GW43">
        <f t="shared" si="716"/>
        <v>0.99999853643354242</v>
      </c>
      <c r="GX43">
        <f t="shared" si="717"/>
        <v>0.99999853643354242</v>
      </c>
      <c r="GY43">
        <f t="shared" si="718"/>
        <v>0.99999853643354242</v>
      </c>
      <c r="GZ43">
        <f t="shared" si="719"/>
        <v>0.99999853643354242</v>
      </c>
      <c r="HA43">
        <f t="shared" si="720"/>
        <v>0.99999853643354242</v>
      </c>
      <c r="HB43">
        <f t="shared" si="721"/>
        <v>0.99999853643354242</v>
      </c>
      <c r="HC43">
        <f t="shared" si="722"/>
        <v>0.99999853643354242</v>
      </c>
      <c r="HD43">
        <f t="shared" si="723"/>
        <v>0.99999853643354242</v>
      </c>
      <c r="HE43">
        <f t="shared" si="724"/>
        <v>0.99999853643354242</v>
      </c>
      <c r="HF43">
        <f t="shared" si="725"/>
        <v>0.99999853643354242</v>
      </c>
      <c r="HG43">
        <f t="shared" si="726"/>
        <v>0.99999853643354242</v>
      </c>
      <c r="HH43">
        <f t="shared" si="727"/>
        <v>0.99999853643354242</v>
      </c>
      <c r="HI43">
        <f t="shared" si="728"/>
        <v>0.99999853643354242</v>
      </c>
      <c r="HJ43">
        <f t="shared" si="729"/>
        <v>0.99999853643354242</v>
      </c>
      <c r="HK43">
        <f t="shared" si="730"/>
        <v>0.99999853643354242</v>
      </c>
      <c r="HL43">
        <f t="shared" si="731"/>
        <v>0.99999853643354242</v>
      </c>
      <c r="HM43">
        <f t="shared" si="732"/>
        <v>0.99999853643354242</v>
      </c>
      <c r="HN43">
        <f t="shared" si="733"/>
        <v>0.99999853643354242</v>
      </c>
      <c r="HO43">
        <f t="shared" si="734"/>
        <v>0.99999853643354242</v>
      </c>
      <c r="HP43">
        <f t="shared" si="735"/>
        <v>0.99999853643354242</v>
      </c>
      <c r="HQ43">
        <f t="shared" si="736"/>
        <v>0.99999853643354242</v>
      </c>
      <c r="HR43">
        <f t="shared" si="737"/>
        <v>0.99999853643354242</v>
      </c>
      <c r="HS43">
        <f t="shared" si="738"/>
        <v>0.99999853643354242</v>
      </c>
      <c r="HT43">
        <f t="shared" si="739"/>
        <v>0.99999853643354242</v>
      </c>
      <c r="HU43">
        <f t="shared" si="740"/>
        <v>0.99999853643354242</v>
      </c>
      <c r="HV43">
        <f t="shared" si="741"/>
        <v>0.99999853643354242</v>
      </c>
      <c r="HW43">
        <f t="shared" si="742"/>
        <v>0.99999853643354242</v>
      </c>
      <c r="HX43">
        <f t="shared" si="743"/>
        <v>0.99999853643354242</v>
      </c>
      <c r="HY43">
        <f t="shared" si="744"/>
        <v>0.99999853643354242</v>
      </c>
      <c r="HZ43">
        <f t="shared" si="745"/>
        <v>0.99999853643354242</v>
      </c>
      <c r="IA43">
        <f t="shared" si="746"/>
        <v>0.99999853643354242</v>
      </c>
      <c r="IB43">
        <f t="shared" si="747"/>
        <v>0.99999853643354242</v>
      </c>
      <c r="IC43">
        <f t="shared" si="748"/>
        <v>0.99999853643354242</v>
      </c>
      <c r="ID43">
        <f t="shared" si="749"/>
        <v>0.99999853643354242</v>
      </c>
      <c r="IE43">
        <f t="shared" si="750"/>
        <v>0.99999853643354242</v>
      </c>
      <c r="IF43">
        <f t="shared" si="751"/>
        <v>0.99999853643354242</v>
      </c>
      <c r="IG43">
        <f t="shared" si="752"/>
        <v>0.99999853643354242</v>
      </c>
      <c r="IH43">
        <f t="shared" si="753"/>
        <v>0.99999853643354242</v>
      </c>
      <c r="II43">
        <f t="shared" si="754"/>
        <v>0.99999853643354242</v>
      </c>
      <c r="IJ43">
        <f t="shared" si="755"/>
        <v>0.99999853643354242</v>
      </c>
      <c r="IK43">
        <f t="shared" si="756"/>
        <v>0.99999853643354242</v>
      </c>
      <c r="IL43">
        <f t="shared" si="757"/>
        <v>0.99999853643354242</v>
      </c>
      <c r="IM43">
        <f t="shared" si="758"/>
        <v>0.99999853643354242</v>
      </c>
      <c r="IN43">
        <f t="shared" si="759"/>
        <v>0.99999853643354242</v>
      </c>
      <c r="IO43">
        <f t="shared" si="760"/>
        <v>0.99999853643354242</v>
      </c>
      <c r="IP43">
        <f t="shared" si="761"/>
        <v>0.99999853643354242</v>
      </c>
      <c r="IQ43">
        <f t="shared" si="762"/>
        <v>0.99999853643354242</v>
      </c>
      <c r="IR43">
        <f t="shared" si="763"/>
        <v>0.99999853643354242</v>
      </c>
      <c r="IS43">
        <f t="shared" si="764"/>
        <v>0.99999853643354242</v>
      </c>
      <c r="IT43">
        <f t="shared" si="765"/>
        <v>0.99999853643354242</v>
      </c>
      <c r="IU43">
        <f t="shared" si="766"/>
        <v>0.99999853643354242</v>
      </c>
      <c r="IV43">
        <f t="shared" si="767"/>
        <v>0.99999853643354242</v>
      </c>
    </row>
    <row r="44" spans="1:256" x14ac:dyDescent="0.2">
      <c r="A44" t="s">
        <v>515</v>
      </c>
      <c r="B44">
        <f t="shared" si="513"/>
        <v>0.10000000000000003</v>
      </c>
      <c r="C44">
        <f t="shared" si="514"/>
        <v>0.10000000000000003</v>
      </c>
      <c r="D44">
        <f t="shared" si="515"/>
        <v>0.10000000000000003</v>
      </c>
      <c r="E44">
        <f t="shared" si="516"/>
        <v>0.10000000000000003</v>
      </c>
      <c r="F44">
        <f t="shared" si="517"/>
        <v>0.10000000000000003</v>
      </c>
      <c r="G44">
        <f t="shared" si="518"/>
        <v>0.10000000000000003</v>
      </c>
      <c r="H44">
        <f t="shared" si="519"/>
        <v>0.10000000000000003</v>
      </c>
      <c r="I44">
        <f t="shared" si="520"/>
        <v>0.10000000000000003</v>
      </c>
      <c r="J44">
        <f t="shared" si="521"/>
        <v>0.20000000000000007</v>
      </c>
      <c r="K44">
        <f t="shared" si="522"/>
        <v>0.20000000000000007</v>
      </c>
      <c r="L44">
        <f t="shared" si="523"/>
        <v>0.20000000000000007</v>
      </c>
      <c r="M44">
        <f t="shared" si="524"/>
        <v>0.20000000000000007</v>
      </c>
      <c r="N44">
        <f t="shared" si="525"/>
        <v>0.20000000000000007</v>
      </c>
      <c r="O44">
        <f t="shared" si="526"/>
        <v>0.20000000000000007</v>
      </c>
      <c r="P44">
        <f t="shared" si="527"/>
        <v>0.20000000000000007</v>
      </c>
      <c r="Q44">
        <f t="shared" si="528"/>
        <v>0.20000000000000007</v>
      </c>
      <c r="R44">
        <f t="shared" si="529"/>
        <v>0.40000000000000013</v>
      </c>
      <c r="S44">
        <f t="shared" si="530"/>
        <v>0.40000000000000013</v>
      </c>
      <c r="T44">
        <f t="shared" si="531"/>
        <v>0.40000000000000013</v>
      </c>
      <c r="U44">
        <f t="shared" si="532"/>
        <v>0.40000000000000013</v>
      </c>
      <c r="V44">
        <f t="shared" si="533"/>
        <v>0.40000000000000013</v>
      </c>
      <c r="W44">
        <f t="shared" si="534"/>
        <v>0.40000000000000013</v>
      </c>
      <c r="X44">
        <f t="shared" si="535"/>
        <v>0.40000000000000013</v>
      </c>
      <c r="Y44">
        <f t="shared" si="536"/>
        <v>0.40000000000000013</v>
      </c>
      <c r="Z44">
        <f t="shared" si="537"/>
        <v>0.80000000000000027</v>
      </c>
      <c r="AA44">
        <f t="shared" si="538"/>
        <v>0.80000000000000027</v>
      </c>
      <c r="AB44">
        <f t="shared" si="539"/>
        <v>0.80000000000000027</v>
      </c>
      <c r="AC44">
        <f t="shared" si="540"/>
        <v>0.80000000000000027</v>
      </c>
      <c r="AD44">
        <f t="shared" si="541"/>
        <v>0.80000000000000027</v>
      </c>
      <c r="AE44">
        <f t="shared" si="542"/>
        <v>0.80000000000000027</v>
      </c>
      <c r="AF44">
        <f t="shared" si="543"/>
        <v>0.80000000000000027</v>
      </c>
      <c r="AG44">
        <f t="shared" si="544"/>
        <v>0.80000000000000027</v>
      </c>
      <c r="AH44">
        <f t="shared" si="545"/>
        <v>0.68254425048828127</v>
      </c>
      <c r="AI44">
        <f t="shared" si="546"/>
        <v>0.68254425048828127</v>
      </c>
      <c r="AJ44">
        <f t="shared" si="547"/>
        <v>0.68254425048828127</v>
      </c>
      <c r="AK44">
        <f t="shared" si="548"/>
        <v>0.68254425048828127</v>
      </c>
      <c r="AL44">
        <f t="shared" si="549"/>
        <v>0.68254425048828127</v>
      </c>
      <c r="AM44">
        <f t="shared" si="550"/>
        <v>0.68254425048828127</v>
      </c>
      <c r="AN44">
        <f t="shared" si="551"/>
        <v>0.68254425048828127</v>
      </c>
      <c r="AO44">
        <f t="shared" si="552"/>
        <v>0.68254425048828127</v>
      </c>
      <c r="AP44">
        <f t="shared" si="553"/>
        <v>0.84305928235395045</v>
      </c>
      <c r="AQ44">
        <f t="shared" si="554"/>
        <v>0.84305928235395045</v>
      </c>
      <c r="AR44">
        <f t="shared" si="555"/>
        <v>0.84305928235395045</v>
      </c>
      <c r="AS44">
        <f t="shared" si="556"/>
        <v>0.84305928235395045</v>
      </c>
      <c r="AT44">
        <f t="shared" si="557"/>
        <v>0.84305928235395045</v>
      </c>
      <c r="AU44">
        <f t="shared" si="558"/>
        <v>0.84305928235395045</v>
      </c>
      <c r="AV44">
        <f t="shared" si="559"/>
        <v>0.84305928235395045</v>
      </c>
      <c r="AW44">
        <f t="shared" si="560"/>
        <v>0.84305928235395045</v>
      </c>
      <c r="AX44">
        <f t="shared" si="561"/>
        <v>0.52138375696503636</v>
      </c>
      <c r="AY44">
        <f t="shared" si="562"/>
        <v>0.52138375696503636</v>
      </c>
      <c r="AZ44">
        <f t="shared" si="563"/>
        <v>0.52138375696503636</v>
      </c>
      <c r="BA44">
        <f t="shared" si="564"/>
        <v>0.52138375696503636</v>
      </c>
      <c r="BB44">
        <f t="shared" si="565"/>
        <v>0.52138375696503636</v>
      </c>
      <c r="BC44">
        <f t="shared" si="566"/>
        <v>0.52138375696503636</v>
      </c>
      <c r="BD44">
        <f t="shared" si="567"/>
        <v>0.52138375696503636</v>
      </c>
      <c r="BE44">
        <f t="shared" si="568"/>
        <v>0.52138375696503636</v>
      </c>
      <c r="BF44">
        <f t="shared" si="569"/>
        <v>0.52138375696503636</v>
      </c>
      <c r="BG44">
        <f t="shared" si="570"/>
        <v>0.52138375696503636</v>
      </c>
      <c r="BH44">
        <f t="shared" si="571"/>
        <v>0.52138375696503636</v>
      </c>
      <c r="BI44">
        <f t="shared" si="572"/>
        <v>0.52138375696503636</v>
      </c>
      <c r="BJ44">
        <f t="shared" si="573"/>
        <v>0.52138375696503636</v>
      </c>
      <c r="BK44">
        <f t="shared" si="574"/>
        <v>0.52138375696503636</v>
      </c>
      <c r="BL44">
        <f t="shared" si="575"/>
        <v>0.52138375696503636</v>
      </c>
      <c r="BM44">
        <f t="shared" si="576"/>
        <v>0.52138375696503636</v>
      </c>
      <c r="BN44">
        <f t="shared" si="577"/>
        <v>0.52138375696503636</v>
      </c>
      <c r="BO44">
        <f t="shared" si="578"/>
        <v>0.52138375696503636</v>
      </c>
      <c r="BP44">
        <f t="shared" si="579"/>
        <v>0.52138375696503636</v>
      </c>
      <c r="BQ44">
        <f t="shared" si="580"/>
        <v>0.52138375696503636</v>
      </c>
      <c r="BR44">
        <f t="shared" si="581"/>
        <v>0.52138375696503636</v>
      </c>
      <c r="BS44">
        <f t="shared" si="582"/>
        <v>0.52138375696503636</v>
      </c>
      <c r="BT44">
        <f t="shared" si="583"/>
        <v>0.52138375696503636</v>
      </c>
      <c r="BU44">
        <f t="shared" si="584"/>
        <v>0.52138375696503636</v>
      </c>
      <c r="BV44">
        <f t="shared" si="585"/>
        <v>0.52138375696503636</v>
      </c>
      <c r="BW44">
        <f t="shared" si="586"/>
        <v>0.52138375696503636</v>
      </c>
      <c r="BX44">
        <f t="shared" si="587"/>
        <v>0.52138375696503636</v>
      </c>
      <c r="BY44">
        <f t="shared" si="588"/>
        <v>0.52138375696503636</v>
      </c>
      <c r="BZ44">
        <f t="shared" si="589"/>
        <v>0.52138375696503636</v>
      </c>
      <c r="CA44">
        <f t="shared" si="590"/>
        <v>0.52138375696503636</v>
      </c>
      <c r="CB44">
        <f t="shared" si="591"/>
        <v>0.52138375696503636</v>
      </c>
      <c r="CC44">
        <f t="shared" si="592"/>
        <v>0.52138375696503636</v>
      </c>
      <c r="CD44">
        <f t="shared" si="593"/>
        <v>0.52138375696503636</v>
      </c>
      <c r="CE44">
        <f t="shared" si="594"/>
        <v>0.52138375696503636</v>
      </c>
      <c r="CF44">
        <f t="shared" si="595"/>
        <v>0.52138375696503636</v>
      </c>
      <c r="CG44">
        <f t="shared" si="596"/>
        <v>0.52138375696503636</v>
      </c>
      <c r="CH44">
        <f t="shared" si="597"/>
        <v>0.52138375696503636</v>
      </c>
      <c r="CI44">
        <f t="shared" si="598"/>
        <v>0.52138375696503636</v>
      </c>
      <c r="CJ44">
        <f t="shared" si="599"/>
        <v>0.52138375696503636</v>
      </c>
      <c r="CK44">
        <f t="shared" si="600"/>
        <v>0.52138375696503636</v>
      </c>
      <c r="CL44">
        <f t="shared" si="601"/>
        <v>0.52138375696503636</v>
      </c>
      <c r="CM44">
        <f t="shared" si="602"/>
        <v>0.52138375696503636</v>
      </c>
      <c r="CN44">
        <f t="shared" si="603"/>
        <v>0.52138375696503636</v>
      </c>
      <c r="CO44">
        <f t="shared" si="604"/>
        <v>0.52138375696503636</v>
      </c>
      <c r="CP44">
        <f t="shared" si="605"/>
        <v>0.52138375696503636</v>
      </c>
      <c r="CQ44">
        <f t="shared" si="606"/>
        <v>0.52138375696503636</v>
      </c>
      <c r="CR44">
        <f t="shared" si="607"/>
        <v>0.52138375696503636</v>
      </c>
      <c r="CS44">
        <f t="shared" si="608"/>
        <v>0.52138375696503636</v>
      </c>
      <c r="CT44">
        <f t="shared" si="609"/>
        <v>0.52138375696503636</v>
      </c>
      <c r="CU44">
        <f t="shared" si="610"/>
        <v>0.52138375696503636</v>
      </c>
      <c r="CV44">
        <f t="shared" si="611"/>
        <v>0.52138375696503636</v>
      </c>
      <c r="CW44">
        <f t="shared" si="612"/>
        <v>0.52138375696503636</v>
      </c>
      <c r="CX44">
        <f t="shared" si="613"/>
        <v>0.52138375696503636</v>
      </c>
      <c r="CY44">
        <f t="shared" si="614"/>
        <v>0.52138375696503636</v>
      </c>
      <c r="CZ44">
        <f t="shared" si="615"/>
        <v>0.52138375696503636</v>
      </c>
      <c r="DA44">
        <f t="shared" si="616"/>
        <v>0.52138375696503636</v>
      </c>
      <c r="DB44">
        <f t="shared" si="617"/>
        <v>0.52138375696503636</v>
      </c>
      <c r="DC44">
        <f t="shared" si="618"/>
        <v>0.52138375696503636</v>
      </c>
      <c r="DD44">
        <f t="shared" si="619"/>
        <v>0.52138375696503636</v>
      </c>
      <c r="DE44">
        <f t="shared" si="620"/>
        <v>0.52138375696503636</v>
      </c>
      <c r="DF44">
        <f t="shared" si="621"/>
        <v>0.52138375696503636</v>
      </c>
      <c r="DG44">
        <f t="shared" si="622"/>
        <v>0.52138375696503636</v>
      </c>
      <c r="DH44">
        <f t="shared" si="623"/>
        <v>0.52138375696503636</v>
      </c>
      <c r="DI44">
        <f t="shared" si="624"/>
        <v>0.52138375696503636</v>
      </c>
      <c r="DJ44">
        <f t="shared" si="625"/>
        <v>0.52138375696503636</v>
      </c>
      <c r="DK44">
        <f t="shared" si="626"/>
        <v>0.52138375696503636</v>
      </c>
      <c r="DL44">
        <f t="shared" si="627"/>
        <v>0.52138375696503636</v>
      </c>
      <c r="DM44">
        <f t="shared" si="628"/>
        <v>0.52138375696503636</v>
      </c>
      <c r="DN44">
        <f t="shared" si="629"/>
        <v>0.52138375696503636</v>
      </c>
      <c r="DO44">
        <f t="shared" si="630"/>
        <v>0.52138375696503636</v>
      </c>
      <c r="DP44">
        <f t="shared" si="631"/>
        <v>0.52138375696503636</v>
      </c>
      <c r="DQ44">
        <f t="shared" si="632"/>
        <v>0.52138375696503636</v>
      </c>
      <c r="DR44">
        <f t="shared" si="633"/>
        <v>0.52138375696503636</v>
      </c>
      <c r="DS44">
        <f t="shared" si="634"/>
        <v>0.52138375696503636</v>
      </c>
      <c r="DT44">
        <f t="shared" si="635"/>
        <v>0.52138375696503636</v>
      </c>
      <c r="DU44">
        <f t="shared" si="636"/>
        <v>0.52138375696503636</v>
      </c>
      <c r="DV44">
        <f t="shared" si="637"/>
        <v>0.52138375696503636</v>
      </c>
      <c r="DW44">
        <f t="shared" si="638"/>
        <v>0.52138375696503636</v>
      </c>
      <c r="DX44">
        <f t="shared" si="639"/>
        <v>0.52138375696503636</v>
      </c>
      <c r="DY44">
        <f t="shared" si="640"/>
        <v>0.52138375696503636</v>
      </c>
      <c r="DZ44">
        <f t="shared" si="641"/>
        <v>0.52138375696503636</v>
      </c>
      <c r="EA44">
        <f t="shared" si="642"/>
        <v>0.52138375696503636</v>
      </c>
      <c r="EB44">
        <f t="shared" si="643"/>
        <v>0.52138375696503636</v>
      </c>
      <c r="EC44">
        <f t="shared" si="644"/>
        <v>0.52138375696503636</v>
      </c>
      <c r="ED44">
        <f t="shared" si="645"/>
        <v>0.52138375696503636</v>
      </c>
      <c r="EE44">
        <f t="shared" si="646"/>
        <v>0.52138375696503636</v>
      </c>
      <c r="EF44">
        <f t="shared" si="647"/>
        <v>0.52138375696503636</v>
      </c>
      <c r="EG44">
        <f t="shared" si="648"/>
        <v>0.52138375696503636</v>
      </c>
      <c r="EH44">
        <f t="shared" si="649"/>
        <v>0.52138375696503636</v>
      </c>
      <c r="EI44">
        <f t="shared" si="650"/>
        <v>0.52138375696503636</v>
      </c>
      <c r="EJ44">
        <f t="shared" si="651"/>
        <v>0.52138375696503636</v>
      </c>
      <c r="EK44">
        <f t="shared" si="652"/>
        <v>0.52138375696503636</v>
      </c>
      <c r="EL44">
        <f t="shared" si="653"/>
        <v>0.52138375696503636</v>
      </c>
      <c r="EM44">
        <f t="shared" si="654"/>
        <v>0.52138375696503636</v>
      </c>
      <c r="EN44">
        <f t="shared" si="655"/>
        <v>0.52138375696503636</v>
      </c>
      <c r="EO44">
        <f t="shared" si="656"/>
        <v>0.52138375696503636</v>
      </c>
      <c r="EP44">
        <f t="shared" si="657"/>
        <v>0.52138375696503636</v>
      </c>
      <c r="EQ44">
        <f t="shared" si="658"/>
        <v>0.52138375696503636</v>
      </c>
      <c r="ER44">
        <f t="shared" si="659"/>
        <v>0.52138375696503636</v>
      </c>
      <c r="ES44">
        <f t="shared" si="660"/>
        <v>0.52138375696503636</v>
      </c>
      <c r="ET44">
        <f t="shared" si="661"/>
        <v>0.52138375696503636</v>
      </c>
      <c r="EU44">
        <f t="shared" si="662"/>
        <v>0.52138375696503636</v>
      </c>
      <c r="EV44">
        <f t="shared" si="663"/>
        <v>0.52138375696503636</v>
      </c>
      <c r="EW44">
        <f t="shared" si="664"/>
        <v>0.52138375696503636</v>
      </c>
      <c r="EX44">
        <f t="shared" si="665"/>
        <v>0.52138375696503636</v>
      </c>
      <c r="EY44">
        <f t="shared" si="666"/>
        <v>0.52138375696503636</v>
      </c>
      <c r="EZ44">
        <f t="shared" si="667"/>
        <v>0.52138375696503636</v>
      </c>
      <c r="FA44">
        <f t="shared" si="668"/>
        <v>0.52138375696503636</v>
      </c>
      <c r="FB44">
        <f t="shared" si="669"/>
        <v>0.52138375696503636</v>
      </c>
      <c r="FC44">
        <f t="shared" si="670"/>
        <v>0.52138375696503636</v>
      </c>
      <c r="FD44">
        <f t="shared" si="671"/>
        <v>0.52138375696503636</v>
      </c>
      <c r="FE44">
        <f t="shared" si="672"/>
        <v>0.52138375696503636</v>
      </c>
      <c r="FF44">
        <f t="shared" si="673"/>
        <v>0.52138375696503636</v>
      </c>
      <c r="FG44">
        <f t="shared" si="674"/>
        <v>0.52138375696503636</v>
      </c>
      <c r="FH44">
        <f t="shared" si="675"/>
        <v>0.52138375696503636</v>
      </c>
      <c r="FI44">
        <f t="shared" si="676"/>
        <v>0.52138375696503636</v>
      </c>
      <c r="FJ44">
        <f t="shared" si="677"/>
        <v>0.52138375696503636</v>
      </c>
      <c r="FK44">
        <f t="shared" si="678"/>
        <v>0.52138375696503636</v>
      </c>
      <c r="FL44">
        <f t="shared" si="679"/>
        <v>0.52138375696503636</v>
      </c>
      <c r="FM44">
        <f t="shared" si="680"/>
        <v>0.52138375696503636</v>
      </c>
      <c r="FN44">
        <f t="shared" si="681"/>
        <v>0.52138375696503636</v>
      </c>
      <c r="FO44">
        <f t="shared" si="682"/>
        <v>0.52138375696503636</v>
      </c>
      <c r="FP44">
        <f t="shared" si="683"/>
        <v>0.52138375696503636</v>
      </c>
      <c r="FQ44">
        <f t="shared" si="684"/>
        <v>0.52138375696503636</v>
      </c>
      <c r="FR44">
        <f t="shared" si="685"/>
        <v>0.52138375696503636</v>
      </c>
      <c r="FS44">
        <f t="shared" si="686"/>
        <v>0.52138375696503636</v>
      </c>
      <c r="FT44">
        <f t="shared" si="687"/>
        <v>0.52138375696503636</v>
      </c>
      <c r="FU44">
        <f t="shared" si="688"/>
        <v>0.52138375696503636</v>
      </c>
      <c r="FV44">
        <f t="shared" si="689"/>
        <v>0.52138375696503636</v>
      </c>
      <c r="FW44">
        <f t="shared" si="690"/>
        <v>0.52138375696503636</v>
      </c>
      <c r="FX44">
        <f t="shared" si="691"/>
        <v>0.52138375696503636</v>
      </c>
      <c r="FY44">
        <f t="shared" si="692"/>
        <v>0.52138375696503636</v>
      </c>
      <c r="FZ44">
        <f t="shared" si="693"/>
        <v>0.52138375696503636</v>
      </c>
      <c r="GA44">
        <f t="shared" si="694"/>
        <v>0.52138375696503636</v>
      </c>
      <c r="GB44">
        <f t="shared" si="695"/>
        <v>0.52138375696503636</v>
      </c>
      <c r="GC44">
        <f t="shared" si="696"/>
        <v>0.52138375696503636</v>
      </c>
      <c r="GD44">
        <f t="shared" si="697"/>
        <v>0.52138375696503636</v>
      </c>
      <c r="GE44">
        <f t="shared" si="698"/>
        <v>0.52138375696503636</v>
      </c>
      <c r="GF44">
        <f t="shared" si="699"/>
        <v>0.52138375696503636</v>
      </c>
      <c r="GG44">
        <f t="shared" si="700"/>
        <v>0.52138375696503636</v>
      </c>
      <c r="GH44">
        <f t="shared" si="701"/>
        <v>0.52138375696503636</v>
      </c>
      <c r="GI44">
        <f t="shared" si="702"/>
        <v>0.52138375696503636</v>
      </c>
      <c r="GJ44">
        <f t="shared" si="703"/>
        <v>0.52138375696503636</v>
      </c>
      <c r="GK44">
        <f t="shared" si="704"/>
        <v>0.52138375696503636</v>
      </c>
      <c r="GL44">
        <f t="shared" si="705"/>
        <v>0.52138375696503636</v>
      </c>
      <c r="GM44">
        <f t="shared" si="706"/>
        <v>0.52138375696503636</v>
      </c>
      <c r="GN44">
        <f t="shared" si="707"/>
        <v>0.52138375696503636</v>
      </c>
      <c r="GO44">
        <f t="shared" si="708"/>
        <v>0.52138375696503636</v>
      </c>
      <c r="GP44">
        <f t="shared" si="709"/>
        <v>0.52138375696503636</v>
      </c>
      <c r="GQ44">
        <f t="shared" si="710"/>
        <v>0.52138375696503636</v>
      </c>
      <c r="GR44">
        <f t="shared" si="711"/>
        <v>0.52138375696503636</v>
      </c>
      <c r="GS44">
        <f t="shared" si="712"/>
        <v>0.52138375696503636</v>
      </c>
      <c r="GT44">
        <f t="shared" si="713"/>
        <v>0.52138375696503636</v>
      </c>
      <c r="GU44">
        <f t="shared" si="714"/>
        <v>0.52138375696503636</v>
      </c>
      <c r="GV44">
        <f t="shared" si="715"/>
        <v>0.52138375696503636</v>
      </c>
      <c r="GW44">
        <f t="shared" si="716"/>
        <v>0.52138375696503636</v>
      </c>
      <c r="GX44">
        <f t="shared" si="717"/>
        <v>0.52138375696503636</v>
      </c>
      <c r="GY44">
        <f t="shared" si="718"/>
        <v>0.52138375696503636</v>
      </c>
      <c r="GZ44">
        <f t="shared" si="719"/>
        <v>0.52138375696503636</v>
      </c>
      <c r="HA44">
        <f t="shared" si="720"/>
        <v>0.52138375696503636</v>
      </c>
      <c r="HB44">
        <f t="shared" si="721"/>
        <v>0.52138375696503636</v>
      </c>
      <c r="HC44">
        <f t="shared" si="722"/>
        <v>0.52138375696503636</v>
      </c>
      <c r="HD44">
        <f t="shared" si="723"/>
        <v>0.52138375696503636</v>
      </c>
      <c r="HE44">
        <f t="shared" si="724"/>
        <v>0.52138375696503636</v>
      </c>
      <c r="HF44">
        <f t="shared" si="725"/>
        <v>0.52138375696503636</v>
      </c>
      <c r="HG44">
        <f t="shared" si="726"/>
        <v>0.52138375696503636</v>
      </c>
      <c r="HH44">
        <f t="shared" si="727"/>
        <v>0.52138375696503636</v>
      </c>
      <c r="HI44">
        <f t="shared" si="728"/>
        <v>0.52138375696503636</v>
      </c>
      <c r="HJ44">
        <f t="shared" si="729"/>
        <v>0.52138375696503636</v>
      </c>
      <c r="HK44">
        <f t="shared" si="730"/>
        <v>0.52138375696503636</v>
      </c>
      <c r="HL44">
        <f t="shared" si="731"/>
        <v>0.52138375696503636</v>
      </c>
      <c r="HM44">
        <f t="shared" si="732"/>
        <v>0.52138375696503636</v>
      </c>
      <c r="HN44">
        <f t="shared" si="733"/>
        <v>0.52138375696503636</v>
      </c>
      <c r="HO44">
        <f t="shared" si="734"/>
        <v>0.52138375696503636</v>
      </c>
      <c r="HP44">
        <f t="shared" si="735"/>
        <v>0.52138375696503636</v>
      </c>
      <c r="HQ44">
        <f t="shared" si="736"/>
        <v>0.52138375696503636</v>
      </c>
      <c r="HR44">
        <f t="shared" si="737"/>
        <v>0.52138375696503636</v>
      </c>
      <c r="HS44">
        <f t="shared" si="738"/>
        <v>0.52138375696503636</v>
      </c>
      <c r="HT44">
        <f t="shared" si="739"/>
        <v>0.52138375696503636</v>
      </c>
      <c r="HU44">
        <f t="shared" si="740"/>
        <v>0.52138375696503636</v>
      </c>
      <c r="HV44">
        <f t="shared" si="741"/>
        <v>0.52138375696503636</v>
      </c>
      <c r="HW44">
        <f t="shared" si="742"/>
        <v>0.52138375696503636</v>
      </c>
      <c r="HX44">
        <f t="shared" si="743"/>
        <v>0.52138375696503636</v>
      </c>
      <c r="HY44">
        <f t="shared" si="744"/>
        <v>0.52138375696503636</v>
      </c>
      <c r="HZ44">
        <f t="shared" si="745"/>
        <v>0.52138375696503636</v>
      </c>
      <c r="IA44">
        <f t="shared" si="746"/>
        <v>0.52138375696503636</v>
      </c>
      <c r="IB44">
        <f t="shared" si="747"/>
        <v>0.52138375696503636</v>
      </c>
      <c r="IC44">
        <f t="shared" si="748"/>
        <v>0.52138375696503636</v>
      </c>
      <c r="ID44">
        <f t="shared" si="749"/>
        <v>0.52138375696503636</v>
      </c>
      <c r="IE44">
        <f t="shared" si="750"/>
        <v>0.52138375696503636</v>
      </c>
      <c r="IF44">
        <f t="shared" si="751"/>
        <v>0.52138375696503636</v>
      </c>
      <c r="IG44">
        <f t="shared" si="752"/>
        <v>0.52138375696503636</v>
      </c>
      <c r="IH44">
        <f t="shared" si="753"/>
        <v>0.52138375696503636</v>
      </c>
      <c r="II44">
        <f t="shared" si="754"/>
        <v>0.52138375696503636</v>
      </c>
      <c r="IJ44">
        <f t="shared" si="755"/>
        <v>0.52138375696503636</v>
      </c>
      <c r="IK44">
        <f t="shared" si="756"/>
        <v>0.52138375696503636</v>
      </c>
      <c r="IL44">
        <f t="shared" si="757"/>
        <v>0.52138375696503636</v>
      </c>
      <c r="IM44">
        <f t="shared" si="758"/>
        <v>0.52138375696503636</v>
      </c>
      <c r="IN44">
        <f t="shared" si="759"/>
        <v>0.52138375696503636</v>
      </c>
      <c r="IO44">
        <f t="shared" si="760"/>
        <v>0.52138375696503636</v>
      </c>
      <c r="IP44">
        <f t="shared" si="761"/>
        <v>0.52138375696503636</v>
      </c>
      <c r="IQ44">
        <f t="shared" si="762"/>
        <v>0.52138375696503636</v>
      </c>
      <c r="IR44">
        <f t="shared" si="763"/>
        <v>0.52138375696503636</v>
      </c>
      <c r="IS44">
        <f t="shared" si="764"/>
        <v>0.52138375696503636</v>
      </c>
      <c r="IT44">
        <f t="shared" si="765"/>
        <v>0.52138375696503636</v>
      </c>
      <c r="IU44">
        <f t="shared" si="766"/>
        <v>0.52138375696503636</v>
      </c>
      <c r="IV44">
        <f t="shared" si="767"/>
        <v>0.52138375696503636</v>
      </c>
    </row>
    <row r="45" spans="1:256" x14ac:dyDescent="0.2">
      <c r="A45" t="s">
        <v>516</v>
      </c>
      <c r="B45">
        <f t="shared" si="513"/>
        <v>0.29745932165920519</v>
      </c>
      <c r="C45">
        <f t="shared" si="514"/>
        <v>0.29745932165920519</v>
      </c>
      <c r="D45">
        <f t="shared" si="515"/>
        <v>0.29745932165920519</v>
      </c>
      <c r="E45">
        <f t="shared" si="516"/>
        <v>0.29745932165920519</v>
      </c>
      <c r="F45">
        <f t="shared" si="517"/>
        <v>0.29745932165920519</v>
      </c>
      <c r="G45">
        <f t="shared" si="518"/>
        <v>0.29745932165920519</v>
      </c>
      <c r="H45">
        <f t="shared" si="519"/>
        <v>0.29745932165920519</v>
      </c>
      <c r="I45">
        <f t="shared" si="520"/>
        <v>0.29745932165920519</v>
      </c>
      <c r="J45">
        <f t="shared" si="521"/>
        <v>0.1</v>
      </c>
      <c r="K45">
        <f t="shared" si="522"/>
        <v>0.1</v>
      </c>
      <c r="L45">
        <f t="shared" si="523"/>
        <v>0.1</v>
      </c>
      <c r="M45">
        <f t="shared" si="524"/>
        <v>0.1</v>
      </c>
      <c r="N45">
        <f t="shared" si="525"/>
        <v>0.1</v>
      </c>
      <c r="O45">
        <f t="shared" si="526"/>
        <v>0.1</v>
      </c>
      <c r="P45">
        <f t="shared" si="527"/>
        <v>0.1</v>
      </c>
      <c r="Q45">
        <f t="shared" si="528"/>
        <v>0.1</v>
      </c>
      <c r="R45">
        <f t="shared" si="529"/>
        <v>0.2</v>
      </c>
      <c r="S45">
        <f t="shared" si="530"/>
        <v>0.2</v>
      </c>
      <c r="T45">
        <f t="shared" si="531"/>
        <v>0.2</v>
      </c>
      <c r="U45">
        <f t="shared" si="532"/>
        <v>0.2</v>
      </c>
      <c r="V45">
        <f t="shared" si="533"/>
        <v>0.2</v>
      </c>
      <c r="W45">
        <f t="shared" si="534"/>
        <v>0.2</v>
      </c>
      <c r="X45">
        <f t="shared" si="535"/>
        <v>0.2</v>
      </c>
      <c r="Y45">
        <f t="shared" si="536"/>
        <v>0.2</v>
      </c>
      <c r="Z45">
        <f t="shared" si="537"/>
        <v>0.4</v>
      </c>
      <c r="AA45">
        <f t="shared" si="538"/>
        <v>0.4</v>
      </c>
      <c r="AB45">
        <f t="shared" si="539"/>
        <v>0.4</v>
      </c>
      <c r="AC45">
        <f t="shared" si="540"/>
        <v>0.4</v>
      </c>
      <c r="AD45">
        <f t="shared" si="541"/>
        <v>0.4</v>
      </c>
      <c r="AE45">
        <f t="shared" si="542"/>
        <v>0.4</v>
      </c>
      <c r="AF45">
        <f t="shared" si="543"/>
        <v>0.4</v>
      </c>
      <c r="AG45">
        <f t="shared" si="544"/>
        <v>0.4</v>
      </c>
      <c r="AH45">
        <f t="shared" si="545"/>
        <v>0.33077934265136721</v>
      </c>
      <c r="AI45">
        <f t="shared" si="546"/>
        <v>0.33077934265136721</v>
      </c>
      <c r="AJ45">
        <f t="shared" si="547"/>
        <v>0.33077934265136721</v>
      </c>
      <c r="AK45">
        <f t="shared" si="548"/>
        <v>0.33077934265136721</v>
      </c>
      <c r="AL45">
        <f t="shared" si="549"/>
        <v>0.33077934265136721</v>
      </c>
      <c r="AM45">
        <f t="shared" si="550"/>
        <v>0.33077934265136721</v>
      </c>
      <c r="AN45">
        <f t="shared" si="551"/>
        <v>0.33077934265136721</v>
      </c>
      <c r="AO45">
        <f t="shared" si="552"/>
        <v>0.33077934265136721</v>
      </c>
      <c r="AP45">
        <f t="shared" si="553"/>
        <v>0.66155868530273443</v>
      </c>
      <c r="AQ45">
        <f t="shared" si="554"/>
        <v>0.66155868530273443</v>
      </c>
      <c r="AR45">
        <f t="shared" si="555"/>
        <v>0.66155868530273443</v>
      </c>
      <c r="AS45">
        <f t="shared" si="556"/>
        <v>0.66155868530273443</v>
      </c>
      <c r="AT45">
        <f t="shared" si="557"/>
        <v>0.66155868530273443</v>
      </c>
      <c r="AU45">
        <f t="shared" si="558"/>
        <v>0.66155868530273443</v>
      </c>
      <c r="AV45">
        <f t="shared" si="559"/>
        <v>0.66155868530273443</v>
      </c>
      <c r="AW45">
        <f t="shared" si="560"/>
        <v>0.66155868530273443</v>
      </c>
      <c r="AX45">
        <f t="shared" si="561"/>
        <v>1.1667780197601405</v>
      </c>
      <c r="AY45">
        <f t="shared" si="562"/>
        <v>1.1667780197601405</v>
      </c>
      <c r="AZ45">
        <f t="shared" si="563"/>
        <v>1.1667780197601405</v>
      </c>
      <c r="BA45">
        <f t="shared" si="564"/>
        <v>1.1667780197601405</v>
      </c>
      <c r="BB45">
        <f t="shared" si="565"/>
        <v>1.1667780197601405</v>
      </c>
      <c r="BC45">
        <f t="shared" si="566"/>
        <v>1.1667780197601405</v>
      </c>
      <c r="BD45">
        <f t="shared" si="567"/>
        <v>1.1667780197601405</v>
      </c>
      <c r="BE45">
        <f t="shared" si="568"/>
        <v>1.1667780197601405</v>
      </c>
      <c r="BF45">
        <f t="shared" si="569"/>
        <v>1.1667780197601405</v>
      </c>
      <c r="BG45">
        <f t="shared" si="570"/>
        <v>1.1667780197601405</v>
      </c>
      <c r="BH45">
        <f t="shared" si="571"/>
        <v>1.1667780197601405</v>
      </c>
      <c r="BI45">
        <f t="shared" si="572"/>
        <v>1.1667780197601405</v>
      </c>
      <c r="BJ45">
        <f t="shared" si="573"/>
        <v>1.1667780197601405</v>
      </c>
      <c r="BK45">
        <f t="shared" si="574"/>
        <v>1.1667780197601405</v>
      </c>
      <c r="BL45">
        <f t="shared" si="575"/>
        <v>1.1667780197601405</v>
      </c>
      <c r="BM45">
        <f t="shared" si="576"/>
        <v>1.1667780197601405</v>
      </c>
      <c r="BN45">
        <f t="shared" si="577"/>
        <v>1.1667780197601405</v>
      </c>
      <c r="BO45">
        <f t="shared" si="578"/>
        <v>1.1667780197601405</v>
      </c>
      <c r="BP45">
        <f t="shared" si="579"/>
        <v>1.1667780197601405</v>
      </c>
      <c r="BQ45">
        <f t="shared" si="580"/>
        <v>1.1667780197601405</v>
      </c>
      <c r="BR45">
        <f t="shared" si="581"/>
        <v>1.1667780197601405</v>
      </c>
      <c r="BS45">
        <f t="shared" si="582"/>
        <v>1.1667780197601405</v>
      </c>
      <c r="BT45">
        <f t="shared" si="583"/>
        <v>1.1667780197601405</v>
      </c>
      <c r="BU45">
        <f t="shared" si="584"/>
        <v>1.1667780197601405</v>
      </c>
      <c r="BV45">
        <f t="shared" si="585"/>
        <v>1.1667780197601405</v>
      </c>
      <c r="BW45">
        <f t="shared" si="586"/>
        <v>1.1667780197601405</v>
      </c>
      <c r="BX45">
        <f t="shared" si="587"/>
        <v>1.1667780197601405</v>
      </c>
      <c r="BY45">
        <f t="shared" si="588"/>
        <v>1.1667780197601405</v>
      </c>
      <c r="BZ45">
        <f t="shared" si="589"/>
        <v>1.1667780197601405</v>
      </c>
      <c r="CA45">
        <f t="shared" si="590"/>
        <v>1.1667780197601405</v>
      </c>
      <c r="CB45">
        <f t="shared" si="591"/>
        <v>1.1667780197601405</v>
      </c>
      <c r="CC45">
        <f t="shared" si="592"/>
        <v>1.1667780197601405</v>
      </c>
      <c r="CD45">
        <f t="shared" si="593"/>
        <v>1.1667780197601405</v>
      </c>
      <c r="CE45">
        <f t="shared" si="594"/>
        <v>1.1667780197601405</v>
      </c>
      <c r="CF45">
        <f t="shared" si="595"/>
        <v>1.1667780197601405</v>
      </c>
      <c r="CG45">
        <f t="shared" si="596"/>
        <v>1.1667780197601405</v>
      </c>
      <c r="CH45">
        <f t="shared" si="597"/>
        <v>1.1667780197601405</v>
      </c>
      <c r="CI45">
        <f t="shared" si="598"/>
        <v>1.1667780197601405</v>
      </c>
      <c r="CJ45">
        <f t="shared" si="599"/>
        <v>1.1667780197601405</v>
      </c>
      <c r="CK45">
        <f t="shared" si="600"/>
        <v>1.1667780197601405</v>
      </c>
      <c r="CL45">
        <f t="shared" si="601"/>
        <v>1.1667780197601405</v>
      </c>
      <c r="CM45">
        <f t="shared" si="602"/>
        <v>1.1667780197601405</v>
      </c>
      <c r="CN45">
        <f t="shared" si="603"/>
        <v>1.1667780197601405</v>
      </c>
      <c r="CO45">
        <f t="shared" si="604"/>
        <v>1.1667780197601405</v>
      </c>
      <c r="CP45">
        <f t="shared" si="605"/>
        <v>1.1667780197601405</v>
      </c>
      <c r="CQ45">
        <f t="shared" si="606"/>
        <v>1.1667780197601405</v>
      </c>
      <c r="CR45">
        <f t="shared" si="607"/>
        <v>1.1667780197601405</v>
      </c>
      <c r="CS45">
        <f t="shared" si="608"/>
        <v>1.1667780197601405</v>
      </c>
      <c r="CT45">
        <f t="shared" si="609"/>
        <v>1.1667780197601405</v>
      </c>
      <c r="CU45">
        <f t="shared" si="610"/>
        <v>1.1667780197601405</v>
      </c>
      <c r="CV45">
        <f t="shared" si="611"/>
        <v>1.1667780197601405</v>
      </c>
      <c r="CW45">
        <f t="shared" si="612"/>
        <v>1.1667780197601405</v>
      </c>
      <c r="CX45">
        <f t="shared" si="613"/>
        <v>1.1667780197601405</v>
      </c>
      <c r="CY45">
        <f t="shared" si="614"/>
        <v>1.1667780197601405</v>
      </c>
      <c r="CZ45">
        <f t="shared" si="615"/>
        <v>1.1667780197601405</v>
      </c>
      <c r="DA45">
        <f t="shared" si="616"/>
        <v>1.1667780197601405</v>
      </c>
      <c r="DB45">
        <f t="shared" si="617"/>
        <v>1.1667780197601405</v>
      </c>
      <c r="DC45">
        <f t="shared" si="618"/>
        <v>1.1667780197601405</v>
      </c>
      <c r="DD45">
        <f t="shared" si="619"/>
        <v>1.1667780197601405</v>
      </c>
      <c r="DE45">
        <f t="shared" si="620"/>
        <v>1.1667780197601405</v>
      </c>
      <c r="DF45">
        <f t="shared" si="621"/>
        <v>1.1667780197601405</v>
      </c>
      <c r="DG45">
        <f t="shared" si="622"/>
        <v>1.1667780197601405</v>
      </c>
      <c r="DH45">
        <f t="shared" si="623"/>
        <v>1.1667780197601405</v>
      </c>
      <c r="DI45">
        <f t="shared" si="624"/>
        <v>1.1667780197601405</v>
      </c>
      <c r="DJ45">
        <f t="shared" si="625"/>
        <v>1.1667780197601405</v>
      </c>
      <c r="DK45">
        <f t="shared" si="626"/>
        <v>1.1667780197601405</v>
      </c>
      <c r="DL45">
        <f t="shared" si="627"/>
        <v>1.1667780197601405</v>
      </c>
      <c r="DM45">
        <f t="shared" si="628"/>
        <v>1.1667780197601405</v>
      </c>
      <c r="DN45">
        <f t="shared" si="629"/>
        <v>1.1667780197601405</v>
      </c>
      <c r="DO45">
        <f t="shared" si="630"/>
        <v>1.1667780197601405</v>
      </c>
      <c r="DP45">
        <f t="shared" si="631"/>
        <v>1.1667780197601405</v>
      </c>
      <c r="DQ45">
        <f t="shared" si="632"/>
        <v>1.1667780197601405</v>
      </c>
      <c r="DR45">
        <f t="shared" si="633"/>
        <v>1.1667780197601405</v>
      </c>
      <c r="DS45">
        <f t="shared" si="634"/>
        <v>1.1667780197601405</v>
      </c>
      <c r="DT45">
        <f t="shared" si="635"/>
        <v>1.1667780197601405</v>
      </c>
      <c r="DU45">
        <f t="shared" si="636"/>
        <v>1.1667780197601405</v>
      </c>
      <c r="DV45">
        <f t="shared" si="637"/>
        <v>1.1667780197601405</v>
      </c>
      <c r="DW45">
        <f t="shared" si="638"/>
        <v>1.1667780197601405</v>
      </c>
      <c r="DX45">
        <f t="shared" si="639"/>
        <v>1.1667780197601405</v>
      </c>
      <c r="DY45">
        <f t="shared" si="640"/>
        <v>1.1667780197601405</v>
      </c>
      <c r="DZ45">
        <f t="shared" si="641"/>
        <v>1.1667780197601405</v>
      </c>
      <c r="EA45">
        <f t="shared" si="642"/>
        <v>1.1667780197601405</v>
      </c>
      <c r="EB45">
        <f t="shared" si="643"/>
        <v>1.1667780197601405</v>
      </c>
      <c r="EC45">
        <f t="shared" si="644"/>
        <v>1.1667780197601405</v>
      </c>
      <c r="ED45">
        <f t="shared" si="645"/>
        <v>1.1667780197601405</v>
      </c>
      <c r="EE45">
        <f t="shared" si="646"/>
        <v>1.1667780197601405</v>
      </c>
      <c r="EF45">
        <f t="shared" si="647"/>
        <v>1.1667780197601405</v>
      </c>
      <c r="EG45">
        <f t="shared" si="648"/>
        <v>1.1667780197601405</v>
      </c>
      <c r="EH45">
        <f t="shared" si="649"/>
        <v>1.1667780197601405</v>
      </c>
      <c r="EI45">
        <f t="shared" si="650"/>
        <v>1.1667780197601405</v>
      </c>
      <c r="EJ45">
        <f t="shared" si="651"/>
        <v>1.1667780197601405</v>
      </c>
      <c r="EK45">
        <f t="shared" si="652"/>
        <v>1.1667780197601405</v>
      </c>
      <c r="EL45">
        <f t="shared" si="653"/>
        <v>1.1667780197601405</v>
      </c>
      <c r="EM45">
        <f t="shared" si="654"/>
        <v>1.1667780197601405</v>
      </c>
      <c r="EN45">
        <f t="shared" si="655"/>
        <v>1.1667780197601405</v>
      </c>
      <c r="EO45">
        <f t="shared" si="656"/>
        <v>1.1667780197601405</v>
      </c>
      <c r="EP45">
        <f t="shared" si="657"/>
        <v>1.1667780197601405</v>
      </c>
      <c r="EQ45">
        <f t="shared" si="658"/>
        <v>1.1667780197601405</v>
      </c>
      <c r="ER45">
        <f t="shared" si="659"/>
        <v>1.1667780197601405</v>
      </c>
      <c r="ES45">
        <f t="shared" si="660"/>
        <v>1.1667780197601405</v>
      </c>
      <c r="ET45">
        <f t="shared" si="661"/>
        <v>1.1667780197601405</v>
      </c>
      <c r="EU45">
        <f t="shared" si="662"/>
        <v>1.1667780197601405</v>
      </c>
      <c r="EV45">
        <f t="shared" si="663"/>
        <v>1.1667780197601405</v>
      </c>
      <c r="EW45">
        <f t="shared" si="664"/>
        <v>1.1667780197601405</v>
      </c>
      <c r="EX45">
        <f t="shared" si="665"/>
        <v>1.1667780197601405</v>
      </c>
      <c r="EY45">
        <f t="shared" si="666"/>
        <v>1.1667780197601405</v>
      </c>
      <c r="EZ45">
        <f t="shared" si="667"/>
        <v>1.1667780197601405</v>
      </c>
      <c r="FA45">
        <f t="shared" si="668"/>
        <v>1.1667780197601405</v>
      </c>
      <c r="FB45">
        <f t="shared" si="669"/>
        <v>1.1667780197601405</v>
      </c>
      <c r="FC45">
        <f t="shared" si="670"/>
        <v>1.1667780197601405</v>
      </c>
      <c r="FD45">
        <f t="shared" si="671"/>
        <v>1.1667780197601405</v>
      </c>
      <c r="FE45">
        <f t="shared" si="672"/>
        <v>1.1667780197601405</v>
      </c>
      <c r="FF45">
        <f t="shared" si="673"/>
        <v>1.1667780197601405</v>
      </c>
      <c r="FG45">
        <f t="shared" si="674"/>
        <v>1.1667780197601405</v>
      </c>
      <c r="FH45">
        <f t="shared" si="675"/>
        <v>1.1667780197601405</v>
      </c>
      <c r="FI45">
        <f t="shared" si="676"/>
        <v>1.1667780197601405</v>
      </c>
      <c r="FJ45">
        <f t="shared" si="677"/>
        <v>1.1667780197601405</v>
      </c>
      <c r="FK45">
        <f t="shared" si="678"/>
        <v>1.1667780197601405</v>
      </c>
      <c r="FL45">
        <f t="shared" si="679"/>
        <v>1.1667780197601405</v>
      </c>
      <c r="FM45">
        <f t="shared" si="680"/>
        <v>1.1667780197601405</v>
      </c>
      <c r="FN45">
        <f t="shared" si="681"/>
        <v>1.1667780197601405</v>
      </c>
      <c r="FO45">
        <f t="shared" si="682"/>
        <v>1.1667780197601405</v>
      </c>
      <c r="FP45">
        <f t="shared" si="683"/>
        <v>1.1667780197601405</v>
      </c>
      <c r="FQ45">
        <f t="shared" si="684"/>
        <v>1.1667780197601405</v>
      </c>
      <c r="FR45">
        <f t="shared" si="685"/>
        <v>1.1667780197601405</v>
      </c>
      <c r="FS45">
        <f t="shared" si="686"/>
        <v>1.1667780197601405</v>
      </c>
      <c r="FT45">
        <f t="shared" si="687"/>
        <v>1.1667780197601405</v>
      </c>
      <c r="FU45">
        <f t="shared" si="688"/>
        <v>1.1667780197601405</v>
      </c>
      <c r="FV45">
        <f t="shared" si="689"/>
        <v>1.1667780197601405</v>
      </c>
      <c r="FW45">
        <f t="shared" si="690"/>
        <v>1.1667780197601405</v>
      </c>
      <c r="FX45">
        <f t="shared" si="691"/>
        <v>1.1667780197601405</v>
      </c>
      <c r="FY45">
        <f t="shared" si="692"/>
        <v>1.1667780197601405</v>
      </c>
      <c r="FZ45">
        <f t="shared" si="693"/>
        <v>1.1667780197601405</v>
      </c>
      <c r="GA45">
        <f t="shared" si="694"/>
        <v>1.1667780197601405</v>
      </c>
      <c r="GB45">
        <f t="shared" si="695"/>
        <v>1.1667780197601405</v>
      </c>
      <c r="GC45">
        <f t="shared" si="696"/>
        <v>1.1667780197601405</v>
      </c>
      <c r="GD45">
        <f t="shared" si="697"/>
        <v>1.1667780197601405</v>
      </c>
      <c r="GE45">
        <f t="shared" si="698"/>
        <v>1.1667780197601405</v>
      </c>
      <c r="GF45">
        <f t="shared" si="699"/>
        <v>1.1667780197601405</v>
      </c>
      <c r="GG45">
        <f t="shared" si="700"/>
        <v>1.1667780197601405</v>
      </c>
      <c r="GH45">
        <f t="shared" si="701"/>
        <v>1.1667780197601405</v>
      </c>
      <c r="GI45">
        <f t="shared" si="702"/>
        <v>1.1667780197601405</v>
      </c>
      <c r="GJ45">
        <f t="shared" si="703"/>
        <v>1.1667780197601405</v>
      </c>
      <c r="GK45">
        <f t="shared" si="704"/>
        <v>1.1667780197601405</v>
      </c>
      <c r="GL45">
        <f t="shared" si="705"/>
        <v>1.1667780197601405</v>
      </c>
      <c r="GM45">
        <f t="shared" si="706"/>
        <v>1.1667780197601405</v>
      </c>
      <c r="GN45">
        <f t="shared" si="707"/>
        <v>1.1667780197601405</v>
      </c>
      <c r="GO45">
        <f t="shared" si="708"/>
        <v>1.1667780197601405</v>
      </c>
      <c r="GP45">
        <f t="shared" si="709"/>
        <v>1.1667780197601405</v>
      </c>
      <c r="GQ45">
        <f t="shared" si="710"/>
        <v>1.1667780197601405</v>
      </c>
      <c r="GR45">
        <f t="shared" si="711"/>
        <v>1.1667780197601405</v>
      </c>
      <c r="GS45">
        <f t="shared" si="712"/>
        <v>1.1667780197601405</v>
      </c>
      <c r="GT45">
        <f t="shared" si="713"/>
        <v>1.1667780197601405</v>
      </c>
      <c r="GU45">
        <f t="shared" si="714"/>
        <v>1.1667780197601405</v>
      </c>
      <c r="GV45">
        <f t="shared" si="715"/>
        <v>1.1667780197601405</v>
      </c>
      <c r="GW45">
        <f t="shared" si="716"/>
        <v>1.1667780197601405</v>
      </c>
      <c r="GX45">
        <f t="shared" si="717"/>
        <v>1.1667780197601405</v>
      </c>
      <c r="GY45">
        <f t="shared" si="718"/>
        <v>1.1667780197601405</v>
      </c>
      <c r="GZ45">
        <f t="shared" si="719"/>
        <v>1.1667780197601405</v>
      </c>
      <c r="HA45">
        <f t="shared" si="720"/>
        <v>1.1667780197601405</v>
      </c>
      <c r="HB45">
        <f t="shared" si="721"/>
        <v>1.1667780197601405</v>
      </c>
      <c r="HC45">
        <f t="shared" si="722"/>
        <v>1.1667780197601405</v>
      </c>
      <c r="HD45">
        <f t="shared" si="723"/>
        <v>1.1667780197601405</v>
      </c>
      <c r="HE45">
        <f t="shared" si="724"/>
        <v>1.1667780197601405</v>
      </c>
      <c r="HF45">
        <f t="shared" si="725"/>
        <v>1.1667780197601405</v>
      </c>
      <c r="HG45">
        <f t="shared" si="726"/>
        <v>1.1667780197601405</v>
      </c>
      <c r="HH45">
        <f t="shared" si="727"/>
        <v>1.1667780197601405</v>
      </c>
      <c r="HI45">
        <f t="shared" si="728"/>
        <v>1.1667780197601405</v>
      </c>
      <c r="HJ45">
        <f t="shared" si="729"/>
        <v>1.1667780197601405</v>
      </c>
      <c r="HK45">
        <f t="shared" si="730"/>
        <v>1.1667780197601405</v>
      </c>
      <c r="HL45">
        <f t="shared" si="731"/>
        <v>1.1667780197601405</v>
      </c>
      <c r="HM45">
        <f t="shared" si="732"/>
        <v>1.1667780197601405</v>
      </c>
      <c r="HN45">
        <f t="shared" si="733"/>
        <v>1.1667780197601405</v>
      </c>
      <c r="HO45">
        <f t="shared" si="734"/>
        <v>1.1667780197601405</v>
      </c>
      <c r="HP45">
        <f t="shared" si="735"/>
        <v>1.1667780197601405</v>
      </c>
      <c r="HQ45">
        <f t="shared" si="736"/>
        <v>1.1667780197601405</v>
      </c>
      <c r="HR45">
        <f t="shared" si="737"/>
        <v>1.1667780197601405</v>
      </c>
      <c r="HS45">
        <f t="shared" si="738"/>
        <v>1.1667780197601405</v>
      </c>
      <c r="HT45">
        <f t="shared" si="739"/>
        <v>1.1667780197601405</v>
      </c>
      <c r="HU45">
        <f t="shared" si="740"/>
        <v>1.1667780197601405</v>
      </c>
      <c r="HV45">
        <f t="shared" si="741"/>
        <v>1.1667780197601405</v>
      </c>
      <c r="HW45">
        <f t="shared" si="742"/>
        <v>1.1667780197601405</v>
      </c>
      <c r="HX45">
        <f t="shared" si="743"/>
        <v>1.1667780197601405</v>
      </c>
      <c r="HY45">
        <f t="shared" si="744"/>
        <v>1.1667780197601405</v>
      </c>
      <c r="HZ45">
        <f t="shared" si="745"/>
        <v>1.1667780197601405</v>
      </c>
      <c r="IA45">
        <f t="shared" si="746"/>
        <v>1.1667780197601405</v>
      </c>
      <c r="IB45">
        <f t="shared" si="747"/>
        <v>1.1667780197601405</v>
      </c>
      <c r="IC45">
        <f t="shared" si="748"/>
        <v>1.1667780197601405</v>
      </c>
      <c r="ID45">
        <f t="shared" si="749"/>
        <v>1.1667780197601405</v>
      </c>
      <c r="IE45">
        <f t="shared" si="750"/>
        <v>1.1667780197601405</v>
      </c>
      <c r="IF45">
        <f t="shared" si="751"/>
        <v>1.1667780197601405</v>
      </c>
      <c r="IG45">
        <f t="shared" si="752"/>
        <v>1.1667780197601405</v>
      </c>
      <c r="IH45">
        <f t="shared" si="753"/>
        <v>1.1667780197601405</v>
      </c>
      <c r="II45">
        <f t="shared" si="754"/>
        <v>1.1667780197601405</v>
      </c>
      <c r="IJ45">
        <f t="shared" si="755"/>
        <v>1.1667780197601405</v>
      </c>
      <c r="IK45">
        <f t="shared" si="756"/>
        <v>1.1667780197601405</v>
      </c>
      <c r="IL45">
        <f t="shared" si="757"/>
        <v>1.1667780197601405</v>
      </c>
      <c r="IM45">
        <f t="shared" si="758"/>
        <v>1.1667780197601405</v>
      </c>
      <c r="IN45">
        <f t="shared" si="759"/>
        <v>1.1667780197601405</v>
      </c>
      <c r="IO45">
        <f t="shared" si="760"/>
        <v>1.1667780197601405</v>
      </c>
      <c r="IP45">
        <f t="shared" si="761"/>
        <v>1.1667780197601405</v>
      </c>
      <c r="IQ45">
        <f t="shared" si="762"/>
        <v>1.1667780197601405</v>
      </c>
      <c r="IR45">
        <f t="shared" si="763"/>
        <v>1.1667780197601405</v>
      </c>
      <c r="IS45">
        <f t="shared" si="764"/>
        <v>1.1667780197601405</v>
      </c>
      <c r="IT45">
        <f t="shared" si="765"/>
        <v>1.1667780197601405</v>
      </c>
      <c r="IU45">
        <f t="shared" si="766"/>
        <v>1.1667780197601405</v>
      </c>
      <c r="IV45">
        <f t="shared" si="767"/>
        <v>1.1667780197601405</v>
      </c>
    </row>
    <row r="46" spans="1:256" x14ac:dyDescent="0.2">
      <c r="A46" t="s">
        <v>517</v>
      </c>
      <c r="B46">
        <f t="shared" si="513"/>
        <v>0.1</v>
      </c>
      <c r="C46">
        <f t="shared" si="514"/>
        <v>0.1</v>
      </c>
      <c r="D46">
        <f t="shared" si="515"/>
        <v>0.1</v>
      </c>
      <c r="E46">
        <f t="shared" si="516"/>
        <v>0.1</v>
      </c>
      <c r="F46">
        <f t="shared" si="517"/>
        <v>0.1</v>
      </c>
      <c r="G46">
        <f t="shared" si="518"/>
        <v>0.1</v>
      </c>
      <c r="H46">
        <f t="shared" si="519"/>
        <v>0.1</v>
      </c>
      <c r="I46">
        <f t="shared" si="520"/>
        <v>0.1</v>
      </c>
      <c r="J46">
        <f t="shared" si="521"/>
        <v>0.1</v>
      </c>
      <c r="K46">
        <f t="shared" si="522"/>
        <v>0.1</v>
      </c>
      <c r="L46">
        <f t="shared" si="523"/>
        <v>0.1</v>
      </c>
      <c r="M46">
        <f t="shared" si="524"/>
        <v>0.1</v>
      </c>
      <c r="N46">
        <f t="shared" si="525"/>
        <v>0.1</v>
      </c>
      <c r="O46">
        <f t="shared" si="526"/>
        <v>0.1</v>
      </c>
      <c r="P46">
        <f t="shared" si="527"/>
        <v>0.1</v>
      </c>
      <c r="Q46">
        <f t="shared" si="528"/>
        <v>0.1</v>
      </c>
      <c r="R46">
        <f t="shared" si="529"/>
        <v>9.9999999999999978E-2</v>
      </c>
      <c r="S46">
        <f t="shared" si="530"/>
        <v>9.9999999999999978E-2</v>
      </c>
      <c r="T46">
        <f t="shared" si="531"/>
        <v>9.9999999999999978E-2</v>
      </c>
      <c r="U46">
        <f t="shared" si="532"/>
        <v>9.9999999999999978E-2</v>
      </c>
      <c r="V46">
        <f t="shared" si="533"/>
        <v>9.9999999999999978E-2</v>
      </c>
      <c r="W46">
        <f t="shared" si="534"/>
        <v>9.9999999999999978E-2</v>
      </c>
      <c r="X46">
        <f t="shared" si="535"/>
        <v>9.9999999999999978E-2</v>
      </c>
      <c r="Y46">
        <f t="shared" si="536"/>
        <v>9.9999999999999978E-2</v>
      </c>
      <c r="Z46">
        <f t="shared" si="537"/>
        <v>0.1</v>
      </c>
      <c r="AA46">
        <f t="shared" si="538"/>
        <v>0.1</v>
      </c>
      <c r="AB46">
        <f t="shared" si="539"/>
        <v>0.1</v>
      </c>
      <c r="AC46">
        <f t="shared" si="540"/>
        <v>0.1</v>
      </c>
      <c r="AD46">
        <f t="shared" si="541"/>
        <v>0.1</v>
      </c>
      <c r="AE46">
        <f t="shared" si="542"/>
        <v>0.1</v>
      </c>
      <c r="AF46">
        <f t="shared" si="543"/>
        <v>0.1</v>
      </c>
      <c r="AG46">
        <f t="shared" si="544"/>
        <v>0.1</v>
      </c>
      <c r="AH46">
        <f t="shared" si="545"/>
        <v>0.72533958435058599</v>
      </c>
      <c r="AI46">
        <f t="shared" si="546"/>
        <v>0.72533958435058599</v>
      </c>
      <c r="AJ46">
        <f t="shared" si="547"/>
        <v>0.72533958435058599</v>
      </c>
      <c r="AK46">
        <f t="shared" si="548"/>
        <v>0.72533958435058599</v>
      </c>
      <c r="AL46">
        <f t="shared" si="549"/>
        <v>0.72533958435058599</v>
      </c>
      <c r="AM46">
        <f t="shared" si="550"/>
        <v>0.72533958435058599</v>
      </c>
      <c r="AN46">
        <f t="shared" si="551"/>
        <v>0.72533958435058599</v>
      </c>
      <c r="AO46">
        <f t="shared" si="552"/>
        <v>0.72533958435058599</v>
      </c>
      <c r="AP46">
        <f t="shared" si="553"/>
        <v>9.9999999999999978E-2</v>
      </c>
      <c r="AQ46">
        <f t="shared" si="554"/>
        <v>9.9999999999999978E-2</v>
      </c>
      <c r="AR46">
        <f t="shared" si="555"/>
        <v>9.9999999999999978E-2</v>
      </c>
      <c r="AS46">
        <f t="shared" si="556"/>
        <v>9.9999999999999978E-2</v>
      </c>
      <c r="AT46">
        <f t="shared" si="557"/>
        <v>9.9999999999999978E-2</v>
      </c>
      <c r="AU46">
        <f t="shared" si="558"/>
        <v>9.9999999999999978E-2</v>
      </c>
      <c r="AV46">
        <f t="shared" si="559"/>
        <v>9.9999999999999978E-2</v>
      </c>
      <c r="AW46">
        <f t="shared" si="560"/>
        <v>9.9999999999999978E-2</v>
      </c>
      <c r="AX46">
        <f t="shared" si="561"/>
        <v>9.9999999999999978E-2</v>
      </c>
      <c r="AY46">
        <f t="shared" si="562"/>
        <v>9.9999999999999978E-2</v>
      </c>
      <c r="AZ46">
        <f t="shared" si="563"/>
        <v>9.9999999999999978E-2</v>
      </c>
      <c r="BA46">
        <f t="shared" si="564"/>
        <v>9.9999999999999978E-2</v>
      </c>
      <c r="BB46">
        <f t="shared" si="565"/>
        <v>9.9999999999999978E-2</v>
      </c>
      <c r="BC46">
        <f t="shared" si="566"/>
        <v>9.9999999999999978E-2</v>
      </c>
      <c r="BD46">
        <f t="shared" si="567"/>
        <v>9.9999999999999978E-2</v>
      </c>
      <c r="BE46">
        <f t="shared" si="568"/>
        <v>9.9999999999999978E-2</v>
      </c>
      <c r="BF46">
        <f t="shared" si="569"/>
        <v>9.9999999999999978E-2</v>
      </c>
      <c r="BG46">
        <f t="shared" si="570"/>
        <v>9.9999999999999978E-2</v>
      </c>
      <c r="BH46">
        <f t="shared" si="571"/>
        <v>9.9999999999999978E-2</v>
      </c>
      <c r="BI46">
        <f t="shared" si="572"/>
        <v>9.9999999999999978E-2</v>
      </c>
      <c r="BJ46">
        <f t="shared" si="573"/>
        <v>9.9999999999999978E-2</v>
      </c>
      <c r="BK46">
        <f t="shared" si="574"/>
        <v>9.9999999999999978E-2</v>
      </c>
      <c r="BL46">
        <f t="shared" si="575"/>
        <v>9.9999999999999978E-2</v>
      </c>
      <c r="BM46">
        <f t="shared" si="576"/>
        <v>9.9999999999999978E-2</v>
      </c>
      <c r="BN46">
        <f t="shared" si="577"/>
        <v>9.9999999999999978E-2</v>
      </c>
      <c r="BO46">
        <f t="shared" si="578"/>
        <v>9.9999999999999978E-2</v>
      </c>
      <c r="BP46">
        <f t="shared" si="579"/>
        <v>9.9999999999999978E-2</v>
      </c>
      <c r="BQ46">
        <f t="shared" si="580"/>
        <v>9.9999999999999978E-2</v>
      </c>
      <c r="BR46">
        <f t="shared" si="581"/>
        <v>9.9999999999999978E-2</v>
      </c>
      <c r="BS46">
        <f t="shared" si="582"/>
        <v>9.9999999999999978E-2</v>
      </c>
      <c r="BT46">
        <f t="shared" si="583"/>
        <v>9.9999999999999978E-2</v>
      </c>
      <c r="BU46">
        <f t="shared" si="584"/>
        <v>9.9999999999999978E-2</v>
      </c>
      <c r="BV46">
        <f t="shared" si="585"/>
        <v>9.9999999999999978E-2</v>
      </c>
      <c r="BW46">
        <f t="shared" si="586"/>
        <v>9.9999999999999978E-2</v>
      </c>
      <c r="BX46">
        <f t="shared" si="587"/>
        <v>9.9999999999999978E-2</v>
      </c>
      <c r="BY46">
        <f t="shared" si="588"/>
        <v>9.9999999999999978E-2</v>
      </c>
      <c r="BZ46">
        <f t="shared" si="589"/>
        <v>9.9999999999999978E-2</v>
      </c>
      <c r="CA46">
        <f t="shared" si="590"/>
        <v>9.9999999999999978E-2</v>
      </c>
      <c r="CB46">
        <f t="shared" si="591"/>
        <v>9.9999999999999978E-2</v>
      </c>
      <c r="CC46">
        <f t="shared" si="592"/>
        <v>9.9999999999999978E-2</v>
      </c>
      <c r="CD46">
        <f t="shared" si="593"/>
        <v>9.9999999999999978E-2</v>
      </c>
      <c r="CE46">
        <f t="shared" si="594"/>
        <v>9.9999999999999978E-2</v>
      </c>
      <c r="CF46">
        <f t="shared" si="595"/>
        <v>9.9999999999999978E-2</v>
      </c>
      <c r="CG46">
        <f t="shared" si="596"/>
        <v>9.9999999999999978E-2</v>
      </c>
      <c r="CH46">
        <f t="shared" si="597"/>
        <v>9.9999999999999978E-2</v>
      </c>
      <c r="CI46">
        <f t="shared" si="598"/>
        <v>9.9999999999999978E-2</v>
      </c>
      <c r="CJ46">
        <f t="shared" si="599"/>
        <v>9.9999999999999978E-2</v>
      </c>
      <c r="CK46">
        <f t="shared" si="600"/>
        <v>9.9999999999999978E-2</v>
      </c>
      <c r="CL46">
        <f t="shared" si="601"/>
        <v>9.9999999999999978E-2</v>
      </c>
      <c r="CM46">
        <f t="shared" si="602"/>
        <v>9.9999999999999978E-2</v>
      </c>
      <c r="CN46">
        <f t="shared" si="603"/>
        <v>9.9999999999999978E-2</v>
      </c>
      <c r="CO46">
        <f t="shared" si="604"/>
        <v>9.9999999999999978E-2</v>
      </c>
      <c r="CP46">
        <f t="shared" si="605"/>
        <v>9.9999999999999978E-2</v>
      </c>
      <c r="CQ46">
        <f t="shared" si="606"/>
        <v>9.9999999999999978E-2</v>
      </c>
      <c r="CR46">
        <f t="shared" si="607"/>
        <v>9.9999999999999978E-2</v>
      </c>
      <c r="CS46">
        <f t="shared" si="608"/>
        <v>9.9999999999999978E-2</v>
      </c>
      <c r="CT46">
        <f t="shared" si="609"/>
        <v>9.9999999999999978E-2</v>
      </c>
      <c r="CU46">
        <f t="shared" si="610"/>
        <v>9.9999999999999978E-2</v>
      </c>
      <c r="CV46">
        <f t="shared" si="611"/>
        <v>9.9999999999999978E-2</v>
      </c>
      <c r="CW46">
        <f t="shared" si="612"/>
        <v>9.9999999999999978E-2</v>
      </c>
      <c r="CX46">
        <f t="shared" si="613"/>
        <v>9.9999999999999978E-2</v>
      </c>
      <c r="CY46">
        <f t="shared" si="614"/>
        <v>9.9999999999999978E-2</v>
      </c>
      <c r="CZ46">
        <f t="shared" si="615"/>
        <v>9.9999999999999978E-2</v>
      </c>
      <c r="DA46">
        <f t="shared" si="616"/>
        <v>9.9999999999999978E-2</v>
      </c>
      <c r="DB46">
        <f t="shared" si="617"/>
        <v>9.9999999999999978E-2</v>
      </c>
      <c r="DC46">
        <f t="shared" si="618"/>
        <v>9.9999999999999978E-2</v>
      </c>
      <c r="DD46">
        <f t="shared" si="619"/>
        <v>9.9999999999999978E-2</v>
      </c>
      <c r="DE46">
        <f t="shared" si="620"/>
        <v>9.9999999999999978E-2</v>
      </c>
      <c r="DF46">
        <f t="shared" si="621"/>
        <v>9.9999999999999978E-2</v>
      </c>
      <c r="DG46">
        <f t="shared" si="622"/>
        <v>9.9999999999999978E-2</v>
      </c>
      <c r="DH46">
        <f t="shared" si="623"/>
        <v>9.9999999999999978E-2</v>
      </c>
      <c r="DI46">
        <f t="shared" si="624"/>
        <v>9.9999999999999978E-2</v>
      </c>
      <c r="DJ46">
        <f t="shared" si="625"/>
        <v>9.9999999999999978E-2</v>
      </c>
      <c r="DK46">
        <f t="shared" si="626"/>
        <v>9.9999999999999978E-2</v>
      </c>
      <c r="DL46">
        <f t="shared" si="627"/>
        <v>9.9999999999999978E-2</v>
      </c>
      <c r="DM46">
        <f t="shared" si="628"/>
        <v>9.9999999999999978E-2</v>
      </c>
      <c r="DN46">
        <f t="shared" si="629"/>
        <v>9.9999999999999978E-2</v>
      </c>
      <c r="DO46">
        <f t="shared" si="630"/>
        <v>9.9999999999999978E-2</v>
      </c>
      <c r="DP46">
        <f t="shared" si="631"/>
        <v>9.9999999999999978E-2</v>
      </c>
      <c r="DQ46">
        <f t="shared" si="632"/>
        <v>9.9999999999999978E-2</v>
      </c>
      <c r="DR46">
        <f t="shared" si="633"/>
        <v>9.9999999999999978E-2</v>
      </c>
      <c r="DS46">
        <f t="shared" si="634"/>
        <v>9.9999999999999978E-2</v>
      </c>
      <c r="DT46">
        <f t="shared" si="635"/>
        <v>9.9999999999999978E-2</v>
      </c>
      <c r="DU46">
        <f t="shared" si="636"/>
        <v>9.9999999999999978E-2</v>
      </c>
      <c r="DV46">
        <f t="shared" si="637"/>
        <v>9.9999999999999978E-2</v>
      </c>
      <c r="DW46">
        <f t="shared" si="638"/>
        <v>9.9999999999999978E-2</v>
      </c>
      <c r="DX46">
        <f t="shared" si="639"/>
        <v>9.9999999999999978E-2</v>
      </c>
      <c r="DY46">
        <f t="shared" si="640"/>
        <v>9.9999999999999978E-2</v>
      </c>
      <c r="DZ46">
        <f t="shared" si="641"/>
        <v>9.9999999999999978E-2</v>
      </c>
      <c r="EA46">
        <f t="shared" si="642"/>
        <v>9.9999999999999978E-2</v>
      </c>
      <c r="EB46">
        <f t="shared" si="643"/>
        <v>9.9999999999999978E-2</v>
      </c>
      <c r="EC46">
        <f t="shared" si="644"/>
        <v>9.9999999999999978E-2</v>
      </c>
      <c r="ED46">
        <f t="shared" si="645"/>
        <v>9.9999999999999978E-2</v>
      </c>
      <c r="EE46">
        <f t="shared" si="646"/>
        <v>9.9999999999999978E-2</v>
      </c>
      <c r="EF46">
        <f t="shared" si="647"/>
        <v>9.9999999999999978E-2</v>
      </c>
      <c r="EG46">
        <f t="shared" si="648"/>
        <v>9.9999999999999978E-2</v>
      </c>
      <c r="EH46">
        <f t="shared" si="649"/>
        <v>9.9999999999999978E-2</v>
      </c>
      <c r="EI46">
        <f t="shared" si="650"/>
        <v>9.9999999999999978E-2</v>
      </c>
      <c r="EJ46">
        <f t="shared" si="651"/>
        <v>9.9999999999999978E-2</v>
      </c>
      <c r="EK46">
        <f t="shared" si="652"/>
        <v>9.9999999999999978E-2</v>
      </c>
      <c r="EL46">
        <f t="shared" si="653"/>
        <v>9.9999999999999978E-2</v>
      </c>
      <c r="EM46">
        <f t="shared" si="654"/>
        <v>9.9999999999999978E-2</v>
      </c>
      <c r="EN46">
        <f t="shared" si="655"/>
        <v>9.9999999999999978E-2</v>
      </c>
      <c r="EO46">
        <f t="shared" si="656"/>
        <v>9.9999999999999978E-2</v>
      </c>
      <c r="EP46">
        <f t="shared" si="657"/>
        <v>9.9999999999999978E-2</v>
      </c>
      <c r="EQ46">
        <f t="shared" si="658"/>
        <v>9.9999999999999978E-2</v>
      </c>
      <c r="ER46">
        <f t="shared" si="659"/>
        <v>9.9999999999999978E-2</v>
      </c>
      <c r="ES46">
        <f t="shared" si="660"/>
        <v>9.9999999999999978E-2</v>
      </c>
      <c r="ET46">
        <f t="shared" si="661"/>
        <v>9.9999999999999978E-2</v>
      </c>
      <c r="EU46">
        <f t="shared" si="662"/>
        <v>9.9999999999999978E-2</v>
      </c>
      <c r="EV46">
        <f t="shared" si="663"/>
        <v>9.9999999999999978E-2</v>
      </c>
      <c r="EW46">
        <f t="shared" si="664"/>
        <v>9.9999999999999978E-2</v>
      </c>
      <c r="EX46">
        <f t="shared" si="665"/>
        <v>9.9999999999999978E-2</v>
      </c>
      <c r="EY46">
        <f t="shared" si="666"/>
        <v>9.9999999999999978E-2</v>
      </c>
      <c r="EZ46">
        <f t="shared" si="667"/>
        <v>9.9999999999999978E-2</v>
      </c>
      <c r="FA46">
        <f t="shared" si="668"/>
        <v>9.9999999999999978E-2</v>
      </c>
      <c r="FB46">
        <f t="shared" si="669"/>
        <v>9.9999999999999978E-2</v>
      </c>
      <c r="FC46">
        <f t="shared" si="670"/>
        <v>9.9999999999999978E-2</v>
      </c>
      <c r="FD46">
        <f t="shared" si="671"/>
        <v>9.9999999999999978E-2</v>
      </c>
      <c r="FE46">
        <f t="shared" si="672"/>
        <v>9.9999999999999978E-2</v>
      </c>
      <c r="FF46">
        <f t="shared" si="673"/>
        <v>9.9999999999999978E-2</v>
      </c>
      <c r="FG46">
        <f t="shared" si="674"/>
        <v>9.9999999999999978E-2</v>
      </c>
      <c r="FH46">
        <f t="shared" si="675"/>
        <v>9.9999999999999978E-2</v>
      </c>
      <c r="FI46">
        <f t="shared" si="676"/>
        <v>9.9999999999999978E-2</v>
      </c>
      <c r="FJ46">
        <f t="shared" si="677"/>
        <v>9.9999999999999978E-2</v>
      </c>
      <c r="FK46">
        <f t="shared" si="678"/>
        <v>9.9999999999999978E-2</v>
      </c>
      <c r="FL46">
        <f t="shared" si="679"/>
        <v>9.9999999999999978E-2</v>
      </c>
      <c r="FM46">
        <f t="shared" si="680"/>
        <v>9.9999999999999978E-2</v>
      </c>
      <c r="FN46">
        <f t="shared" si="681"/>
        <v>9.9999999999999978E-2</v>
      </c>
      <c r="FO46">
        <f t="shared" si="682"/>
        <v>9.9999999999999978E-2</v>
      </c>
      <c r="FP46">
        <f t="shared" si="683"/>
        <v>9.9999999999999978E-2</v>
      </c>
      <c r="FQ46">
        <f t="shared" si="684"/>
        <v>9.9999999999999978E-2</v>
      </c>
      <c r="FR46">
        <f t="shared" si="685"/>
        <v>9.9999999999999978E-2</v>
      </c>
      <c r="FS46">
        <f t="shared" si="686"/>
        <v>9.9999999999999978E-2</v>
      </c>
      <c r="FT46">
        <f t="shared" si="687"/>
        <v>9.9999999999999978E-2</v>
      </c>
      <c r="FU46">
        <f t="shared" si="688"/>
        <v>9.9999999999999978E-2</v>
      </c>
      <c r="FV46">
        <f t="shared" si="689"/>
        <v>9.9999999999999978E-2</v>
      </c>
      <c r="FW46">
        <f t="shared" si="690"/>
        <v>9.9999999999999978E-2</v>
      </c>
      <c r="FX46">
        <f t="shared" si="691"/>
        <v>9.9999999999999978E-2</v>
      </c>
      <c r="FY46">
        <f t="shared" si="692"/>
        <v>9.9999999999999978E-2</v>
      </c>
      <c r="FZ46">
        <f t="shared" si="693"/>
        <v>9.9999999999999978E-2</v>
      </c>
      <c r="GA46">
        <f t="shared" si="694"/>
        <v>9.9999999999999978E-2</v>
      </c>
      <c r="GB46">
        <f t="shared" si="695"/>
        <v>9.9999999999999978E-2</v>
      </c>
      <c r="GC46">
        <f t="shared" si="696"/>
        <v>9.9999999999999978E-2</v>
      </c>
      <c r="GD46">
        <f t="shared" si="697"/>
        <v>9.9999999999999978E-2</v>
      </c>
      <c r="GE46">
        <f t="shared" si="698"/>
        <v>9.9999999999999978E-2</v>
      </c>
      <c r="GF46">
        <f t="shared" si="699"/>
        <v>9.9999999999999978E-2</v>
      </c>
      <c r="GG46">
        <f t="shared" si="700"/>
        <v>9.9999999999999978E-2</v>
      </c>
      <c r="GH46">
        <f t="shared" si="701"/>
        <v>9.9999999999999978E-2</v>
      </c>
      <c r="GI46">
        <f t="shared" si="702"/>
        <v>9.9999999999999978E-2</v>
      </c>
      <c r="GJ46">
        <f t="shared" si="703"/>
        <v>9.9999999999999978E-2</v>
      </c>
      <c r="GK46">
        <f t="shared" si="704"/>
        <v>9.9999999999999978E-2</v>
      </c>
      <c r="GL46">
        <f t="shared" si="705"/>
        <v>9.9999999999999978E-2</v>
      </c>
      <c r="GM46">
        <f t="shared" si="706"/>
        <v>9.9999999999999978E-2</v>
      </c>
      <c r="GN46">
        <f t="shared" si="707"/>
        <v>9.9999999999999978E-2</v>
      </c>
      <c r="GO46">
        <f t="shared" si="708"/>
        <v>9.9999999999999978E-2</v>
      </c>
      <c r="GP46">
        <f t="shared" si="709"/>
        <v>9.9999999999999978E-2</v>
      </c>
      <c r="GQ46">
        <f t="shared" si="710"/>
        <v>9.9999999999999978E-2</v>
      </c>
      <c r="GR46">
        <f t="shared" si="711"/>
        <v>9.9999999999999978E-2</v>
      </c>
      <c r="GS46">
        <f t="shared" si="712"/>
        <v>9.9999999999999978E-2</v>
      </c>
      <c r="GT46">
        <f t="shared" si="713"/>
        <v>9.9999999999999978E-2</v>
      </c>
      <c r="GU46">
        <f t="shared" si="714"/>
        <v>9.9999999999999978E-2</v>
      </c>
      <c r="GV46">
        <f t="shared" si="715"/>
        <v>9.9999999999999978E-2</v>
      </c>
      <c r="GW46">
        <f t="shared" si="716"/>
        <v>9.9999999999999978E-2</v>
      </c>
      <c r="GX46">
        <f t="shared" si="717"/>
        <v>9.9999999999999978E-2</v>
      </c>
      <c r="GY46">
        <f t="shared" si="718"/>
        <v>9.9999999999999978E-2</v>
      </c>
      <c r="GZ46">
        <f t="shared" si="719"/>
        <v>9.9999999999999978E-2</v>
      </c>
      <c r="HA46">
        <f t="shared" si="720"/>
        <v>9.9999999999999978E-2</v>
      </c>
      <c r="HB46">
        <f t="shared" si="721"/>
        <v>9.9999999999999978E-2</v>
      </c>
      <c r="HC46">
        <f t="shared" si="722"/>
        <v>9.9999999999999978E-2</v>
      </c>
      <c r="HD46">
        <f t="shared" si="723"/>
        <v>9.9999999999999978E-2</v>
      </c>
      <c r="HE46">
        <f t="shared" si="724"/>
        <v>9.9999999999999978E-2</v>
      </c>
      <c r="HF46">
        <f t="shared" si="725"/>
        <v>9.9999999999999978E-2</v>
      </c>
      <c r="HG46">
        <f t="shared" si="726"/>
        <v>9.9999999999999978E-2</v>
      </c>
      <c r="HH46">
        <f t="shared" si="727"/>
        <v>9.9999999999999978E-2</v>
      </c>
      <c r="HI46">
        <f t="shared" si="728"/>
        <v>9.9999999999999978E-2</v>
      </c>
      <c r="HJ46">
        <f t="shared" si="729"/>
        <v>9.9999999999999978E-2</v>
      </c>
      <c r="HK46">
        <f t="shared" si="730"/>
        <v>9.9999999999999978E-2</v>
      </c>
      <c r="HL46">
        <f t="shared" si="731"/>
        <v>9.9999999999999978E-2</v>
      </c>
      <c r="HM46">
        <f t="shared" si="732"/>
        <v>9.9999999999999978E-2</v>
      </c>
      <c r="HN46">
        <f t="shared" si="733"/>
        <v>9.9999999999999978E-2</v>
      </c>
      <c r="HO46">
        <f t="shared" si="734"/>
        <v>9.9999999999999978E-2</v>
      </c>
      <c r="HP46">
        <f t="shared" si="735"/>
        <v>9.9999999999999978E-2</v>
      </c>
      <c r="HQ46">
        <f t="shared" si="736"/>
        <v>9.9999999999999978E-2</v>
      </c>
      <c r="HR46">
        <f t="shared" si="737"/>
        <v>9.9999999999999978E-2</v>
      </c>
      <c r="HS46">
        <f t="shared" si="738"/>
        <v>9.9999999999999978E-2</v>
      </c>
      <c r="HT46">
        <f t="shared" si="739"/>
        <v>9.9999999999999978E-2</v>
      </c>
      <c r="HU46">
        <f t="shared" si="740"/>
        <v>9.9999999999999978E-2</v>
      </c>
      <c r="HV46">
        <f t="shared" si="741"/>
        <v>9.9999999999999978E-2</v>
      </c>
      <c r="HW46">
        <f t="shared" si="742"/>
        <v>9.9999999999999978E-2</v>
      </c>
      <c r="HX46">
        <f t="shared" si="743"/>
        <v>9.9999999999999978E-2</v>
      </c>
      <c r="HY46">
        <f t="shared" si="744"/>
        <v>9.9999999999999978E-2</v>
      </c>
      <c r="HZ46">
        <f t="shared" si="745"/>
        <v>9.9999999999999978E-2</v>
      </c>
      <c r="IA46">
        <f t="shared" si="746"/>
        <v>9.9999999999999978E-2</v>
      </c>
      <c r="IB46">
        <f t="shared" si="747"/>
        <v>9.9999999999999978E-2</v>
      </c>
      <c r="IC46">
        <f t="shared" si="748"/>
        <v>9.9999999999999978E-2</v>
      </c>
      <c r="ID46">
        <f t="shared" si="749"/>
        <v>9.9999999999999978E-2</v>
      </c>
      <c r="IE46">
        <f t="shared" si="750"/>
        <v>9.9999999999999978E-2</v>
      </c>
      <c r="IF46">
        <f t="shared" si="751"/>
        <v>9.9999999999999978E-2</v>
      </c>
      <c r="IG46">
        <f t="shared" si="752"/>
        <v>9.9999999999999978E-2</v>
      </c>
      <c r="IH46">
        <f t="shared" si="753"/>
        <v>9.9999999999999978E-2</v>
      </c>
      <c r="II46">
        <f t="shared" si="754"/>
        <v>9.9999999999999978E-2</v>
      </c>
      <c r="IJ46">
        <f t="shared" si="755"/>
        <v>9.9999999999999978E-2</v>
      </c>
      <c r="IK46">
        <f t="shared" si="756"/>
        <v>9.9999999999999978E-2</v>
      </c>
      <c r="IL46">
        <f t="shared" si="757"/>
        <v>9.9999999999999978E-2</v>
      </c>
      <c r="IM46">
        <f t="shared" si="758"/>
        <v>9.9999999999999978E-2</v>
      </c>
      <c r="IN46">
        <f t="shared" si="759"/>
        <v>9.9999999999999978E-2</v>
      </c>
      <c r="IO46">
        <f t="shared" si="760"/>
        <v>9.9999999999999978E-2</v>
      </c>
      <c r="IP46">
        <f t="shared" si="761"/>
        <v>9.9999999999999978E-2</v>
      </c>
      <c r="IQ46">
        <f t="shared" si="762"/>
        <v>9.9999999999999978E-2</v>
      </c>
      <c r="IR46">
        <f t="shared" si="763"/>
        <v>9.9999999999999978E-2</v>
      </c>
      <c r="IS46">
        <f t="shared" si="764"/>
        <v>9.9999999999999978E-2</v>
      </c>
      <c r="IT46">
        <f t="shared" si="765"/>
        <v>9.9999999999999978E-2</v>
      </c>
      <c r="IU46">
        <f t="shared" si="766"/>
        <v>9.9999999999999978E-2</v>
      </c>
      <c r="IV46">
        <f t="shared" si="767"/>
        <v>9.9999999999999978E-2</v>
      </c>
    </row>
    <row r="47" spans="1:256" x14ac:dyDescent="0.2">
      <c r="A47" t="s">
        <v>518</v>
      </c>
      <c r="B47">
        <f t="shared" si="513"/>
        <v>2</v>
      </c>
      <c r="C47">
        <f t="shared" si="514"/>
        <v>2</v>
      </c>
      <c r="D47">
        <f t="shared" si="515"/>
        <v>2</v>
      </c>
      <c r="E47">
        <f t="shared" si="516"/>
        <v>2</v>
      </c>
      <c r="F47">
        <f t="shared" si="517"/>
        <v>2</v>
      </c>
      <c r="G47">
        <f t="shared" si="518"/>
        <v>2</v>
      </c>
      <c r="H47">
        <f t="shared" si="519"/>
        <v>2</v>
      </c>
      <c r="I47">
        <f t="shared" si="520"/>
        <v>2</v>
      </c>
      <c r="J47">
        <f t="shared" si="521"/>
        <v>1.137117170176368</v>
      </c>
      <c r="K47">
        <f t="shared" si="522"/>
        <v>1.137117170176368</v>
      </c>
      <c r="L47">
        <f t="shared" si="523"/>
        <v>1.137117170176368</v>
      </c>
      <c r="M47">
        <f t="shared" si="524"/>
        <v>1.137117170176368</v>
      </c>
      <c r="N47">
        <f t="shared" si="525"/>
        <v>1.137117170176368</v>
      </c>
      <c r="O47">
        <f t="shared" si="526"/>
        <v>1.137117170176368</v>
      </c>
      <c r="P47">
        <f t="shared" si="527"/>
        <v>1.137117170176368</v>
      </c>
      <c r="Q47">
        <f t="shared" si="528"/>
        <v>1.137117170176368</v>
      </c>
      <c r="R47">
        <f t="shared" si="529"/>
        <v>0.93304314732114801</v>
      </c>
      <c r="S47">
        <f t="shared" si="530"/>
        <v>0.93304314732114801</v>
      </c>
      <c r="T47">
        <f t="shared" si="531"/>
        <v>0.93304314732114801</v>
      </c>
      <c r="U47">
        <f t="shared" si="532"/>
        <v>0.93304314732114801</v>
      </c>
      <c r="V47">
        <f t="shared" si="533"/>
        <v>0.93304314732114801</v>
      </c>
      <c r="W47">
        <f t="shared" si="534"/>
        <v>0.93304314732114801</v>
      </c>
      <c r="X47">
        <f t="shared" si="535"/>
        <v>0.93304314732114801</v>
      </c>
      <c r="Y47">
        <f t="shared" si="536"/>
        <v>0.93304314732114801</v>
      </c>
      <c r="Z47">
        <f t="shared" si="537"/>
        <v>1.0790451750426937</v>
      </c>
      <c r="AA47">
        <f t="shared" si="538"/>
        <v>1.0790451750426937</v>
      </c>
      <c r="AB47">
        <f t="shared" si="539"/>
        <v>1.0790451750426937</v>
      </c>
      <c r="AC47">
        <f t="shared" si="540"/>
        <v>1.0790451750426937</v>
      </c>
      <c r="AD47">
        <f t="shared" si="541"/>
        <v>1.0790451750426937</v>
      </c>
      <c r="AE47">
        <f t="shared" si="542"/>
        <v>1.0790451750426937</v>
      </c>
      <c r="AF47">
        <f t="shared" si="543"/>
        <v>1.0790451750426937</v>
      </c>
      <c r="AG47">
        <f t="shared" si="544"/>
        <v>1.0790451750426937</v>
      </c>
      <c r="AH47">
        <f t="shared" si="545"/>
        <v>0.34302524566650389</v>
      </c>
      <c r="AI47">
        <f t="shared" si="546"/>
        <v>0.34302524566650389</v>
      </c>
      <c r="AJ47">
        <f t="shared" si="547"/>
        <v>0.34302524566650389</v>
      </c>
      <c r="AK47">
        <f t="shared" si="548"/>
        <v>0.34302524566650389</v>
      </c>
      <c r="AL47">
        <f t="shared" si="549"/>
        <v>0.34302524566650389</v>
      </c>
      <c r="AM47">
        <f t="shared" si="550"/>
        <v>0.34302524566650389</v>
      </c>
      <c r="AN47">
        <f t="shared" si="551"/>
        <v>0.34302524566650389</v>
      </c>
      <c r="AO47">
        <f t="shared" si="552"/>
        <v>0.34302524566650389</v>
      </c>
      <c r="AP47">
        <f t="shared" si="553"/>
        <v>0.42284570497649782</v>
      </c>
      <c r="AQ47">
        <f t="shared" si="554"/>
        <v>0.42284570497649782</v>
      </c>
      <c r="AR47">
        <f t="shared" si="555"/>
        <v>0.42284570497649782</v>
      </c>
      <c r="AS47">
        <f t="shared" si="556"/>
        <v>0.42284570497649782</v>
      </c>
      <c r="AT47">
        <f t="shared" si="557"/>
        <v>0.42284570497649782</v>
      </c>
      <c r="AU47">
        <f t="shared" si="558"/>
        <v>0.42284570497649782</v>
      </c>
      <c r="AV47">
        <f t="shared" si="559"/>
        <v>0.42284570497649782</v>
      </c>
      <c r="AW47">
        <f t="shared" si="560"/>
        <v>0.42284570497649782</v>
      </c>
      <c r="AX47">
        <f t="shared" si="561"/>
        <v>0.70545994512283094</v>
      </c>
      <c r="AY47">
        <f t="shared" si="562"/>
        <v>0.70545994512283094</v>
      </c>
      <c r="AZ47">
        <f t="shared" si="563"/>
        <v>0.70545994512283094</v>
      </c>
      <c r="BA47">
        <f t="shared" si="564"/>
        <v>0.70545994512283094</v>
      </c>
      <c r="BB47">
        <f t="shared" si="565"/>
        <v>0.70545994512283094</v>
      </c>
      <c r="BC47">
        <f t="shared" si="566"/>
        <v>0.70545994512283094</v>
      </c>
      <c r="BD47">
        <f t="shared" si="567"/>
        <v>0.70545994512283094</v>
      </c>
      <c r="BE47">
        <f t="shared" si="568"/>
        <v>0.70545994512283094</v>
      </c>
      <c r="BF47">
        <f t="shared" si="569"/>
        <v>0.70545994512283094</v>
      </c>
      <c r="BG47">
        <f t="shared" si="570"/>
        <v>0.70545994512283094</v>
      </c>
      <c r="BH47">
        <f t="shared" si="571"/>
        <v>0.70545994512283094</v>
      </c>
      <c r="BI47">
        <f t="shared" si="572"/>
        <v>0.70545994512283094</v>
      </c>
      <c r="BJ47">
        <f t="shared" si="573"/>
        <v>0.70545994512283094</v>
      </c>
      <c r="BK47">
        <f t="shared" si="574"/>
        <v>0.70545994512283094</v>
      </c>
      <c r="BL47">
        <f t="shared" si="575"/>
        <v>0.70545994512283094</v>
      </c>
      <c r="BM47">
        <f t="shared" si="576"/>
        <v>0.70545994512283094</v>
      </c>
      <c r="BN47">
        <f t="shared" si="577"/>
        <v>0.70545994512283094</v>
      </c>
      <c r="BO47">
        <f t="shared" si="578"/>
        <v>0.70545994512283094</v>
      </c>
      <c r="BP47">
        <f t="shared" si="579"/>
        <v>0.70545994512283094</v>
      </c>
      <c r="BQ47">
        <f t="shared" si="580"/>
        <v>0.70545994512283094</v>
      </c>
      <c r="BR47">
        <f t="shared" si="581"/>
        <v>0.70545994512283094</v>
      </c>
      <c r="BS47">
        <f t="shared" si="582"/>
        <v>0.70545994512283094</v>
      </c>
      <c r="BT47">
        <f t="shared" si="583"/>
        <v>0.70545994512283094</v>
      </c>
      <c r="BU47">
        <f t="shared" si="584"/>
        <v>0.70545994512283094</v>
      </c>
      <c r="BV47">
        <f t="shared" si="585"/>
        <v>0.70545994512283094</v>
      </c>
      <c r="BW47">
        <f t="shared" si="586"/>
        <v>0.70545994512283094</v>
      </c>
      <c r="BX47">
        <f t="shared" si="587"/>
        <v>0.70545994512283094</v>
      </c>
      <c r="BY47">
        <f t="shared" si="588"/>
        <v>0.70545994512283094</v>
      </c>
      <c r="BZ47">
        <f t="shared" si="589"/>
        <v>0.70545994512283094</v>
      </c>
      <c r="CA47">
        <f t="shared" si="590"/>
        <v>0.70545994512283094</v>
      </c>
      <c r="CB47">
        <f t="shared" si="591"/>
        <v>0.70545994512283094</v>
      </c>
      <c r="CC47">
        <f t="shared" si="592"/>
        <v>0.70545994512283094</v>
      </c>
      <c r="CD47">
        <f t="shared" si="593"/>
        <v>0.70545994512283094</v>
      </c>
      <c r="CE47">
        <f t="shared" si="594"/>
        <v>0.70545994512283094</v>
      </c>
      <c r="CF47">
        <f t="shared" si="595"/>
        <v>0.70545994512283094</v>
      </c>
      <c r="CG47">
        <f t="shared" si="596"/>
        <v>0.70545994512283094</v>
      </c>
      <c r="CH47">
        <f t="shared" si="597"/>
        <v>0.70545994512283094</v>
      </c>
      <c r="CI47">
        <f t="shared" si="598"/>
        <v>0.70545994512283094</v>
      </c>
      <c r="CJ47">
        <f t="shared" si="599"/>
        <v>0.70545994512283094</v>
      </c>
      <c r="CK47">
        <f t="shared" si="600"/>
        <v>0.70545994512283094</v>
      </c>
      <c r="CL47">
        <f t="shared" si="601"/>
        <v>0.70545994512283094</v>
      </c>
      <c r="CM47">
        <f t="shared" si="602"/>
        <v>0.70545994512283094</v>
      </c>
      <c r="CN47">
        <f t="shared" si="603"/>
        <v>0.70545994512283094</v>
      </c>
      <c r="CO47">
        <f t="shared" si="604"/>
        <v>0.70545994512283094</v>
      </c>
      <c r="CP47">
        <f t="shared" si="605"/>
        <v>0.70545994512283094</v>
      </c>
      <c r="CQ47">
        <f t="shared" si="606"/>
        <v>0.70545994512283094</v>
      </c>
      <c r="CR47">
        <f t="shared" si="607"/>
        <v>0.70545994512283094</v>
      </c>
      <c r="CS47">
        <f t="shared" si="608"/>
        <v>0.70545994512283094</v>
      </c>
      <c r="CT47">
        <f t="shared" si="609"/>
        <v>0.70545994512283094</v>
      </c>
      <c r="CU47">
        <f t="shared" si="610"/>
        <v>0.70545994512283094</v>
      </c>
      <c r="CV47">
        <f t="shared" si="611"/>
        <v>0.70545994512283094</v>
      </c>
      <c r="CW47">
        <f t="shared" si="612"/>
        <v>0.70545994512283094</v>
      </c>
      <c r="CX47">
        <f t="shared" si="613"/>
        <v>0.70545994512283094</v>
      </c>
      <c r="CY47">
        <f t="shared" si="614"/>
        <v>0.70545994512283094</v>
      </c>
      <c r="CZ47">
        <f t="shared" si="615"/>
        <v>0.70545994512283094</v>
      </c>
      <c r="DA47">
        <f t="shared" si="616"/>
        <v>0.70545994512283094</v>
      </c>
      <c r="DB47">
        <f t="shared" si="617"/>
        <v>0.70545994512283094</v>
      </c>
      <c r="DC47">
        <f t="shared" si="618"/>
        <v>0.70545994512283094</v>
      </c>
      <c r="DD47">
        <f t="shared" si="619"/>
        <v>0.70545994512283094</v>
      </c>
      <c r="DE47">
        <f t="shared" si="620"/>
        <v>0.70545994512283094</v>
      </c>
      <c r="DF47">
        <f t="shared" si="621"/>
        <v>0.70545994512283094</v>
      </c>
      <c r="DG47">
        <f t="shared" si="622"/>
        <v>0.70545994512283094</v>
      </c>
      <c r="DH47">
        <f t="shared" si="623"/>
        <v>0.70545994512283094</v>
      </c>
      <c r="DI47">
        <f t="shared" si="624"/>
        <v>0.70545994512283094</v>
      </c>
      <c r="DJ47">
        <f t="shared" si="625"/>
        <v>0.70545994512283094</v>
      </c>
      <c r="DK47">
        <f t="shared" si="626"/>
        <v>0.70545994512283094</v>
      </c>
      <c r="DL47">
        <f t="shared" si="627"/>
        <v>0.70545994512283094</v>
      </c>
      <c r="DM47">
        <f t="shared" si="628"/>
        <v>0.70545994512283094</v>
      </c>
      <c r="DN47">
        <f t="shared" si="629"/>
        <v>0.70545994512283094</v>
      </c>
      <c r="DO47">
        <f t="shared" si="630"/>
        <v>0.70545994512283094</v>
      </c>
      <c r="DP47">
        <f t="shared" si="631"/>
        <v>0.70545994512283094</v>
      </c>
      <c r="DQ47">
        <f t="shared" si="632"/>
        <v>0.70545994512283094</v>
      </c>
      <c r="DR47">
        <f t="shared" si="633"/>
        <v>0.70545994512283094</v>
      </c>
      <c r="DS47">
        <f t="shared" si="634"/>
        <v>0.70545994512283094</v>
      </c>
      <c r="DT47">
        <f t="shared" si="635"/>
        <v>0.70545994512283094</v>
      </c>
      <c r="DU47">
        <f t="shared" si="636"/>
        <v>0.70545994512283094</v>
      </c>
      <c r="DV47">
        <f t="shared" si="637"/>
        <v>0.70545994512283094</v>
      </c>
      <c r="DW47">
        <f t="shared" si="638"/>
        <v>0.70545994512283094</v>
      </c>
      <c r="DX47">
        <f t="shared" si="639"/>
        <v>0.70545994512283094</v>
      </c>
      <c r="DY47">
        <f t="shared" si="640"/>
        <v>0.70545994512283094</v>
      </c>
      <c r="DZ47">
        <f t="shared" si="641"/>
        <v>0.70545994512283094</v>
      </c>
      <c r="EA47">
        <f t="shared" si="642"/>
        <v>0.70545994512283094</v>
      </c>
      <c r="EB47">
        <f t="shared" si="643"/>
        <v>0.70545994512283094</v>
      </c>
      <c r="EC47">
        <f t="shared" si="644"/>
        <v>0.70545994512283094</v>
      </c>
      <c r="ED47">
        <f t="shared" si="645"/>
        <v>0.70545994512283094</v>
      </c>
      <c r="EE47">
        <f t="shared" si="646"/>
        <v>0.70545994512283094</v>
      </c>
      <c r="EF47">
        <f t="shared" si="647"/>
        <v>0.70545994512283094</v>
      </c>
      <c r="EG47">
        <f t="shared" si="648"/>
        <v>0.70545994512283094</v>
      </c>
      <c r="EH47">
        <f t="shared" si="649"/>
        <v>0.70545994512283094</v>
      </c>
      <c r="EI47">
        <f t="shared" si="650"/>
        <v>0.70545994512283094</v>
      </c>
      <c r="EJ47">
        <f t="shared" si="651"/>
        <v>0.70545994512283094</v>
      </c>
      <c r="EK47">
        <f t="shared" si="652"/>
        <v>0.70545994512283094</v>
      </c>
      <c r="EL47">
        <f t="shared" si="653"/>
        <v>0.70545994512283094</v>
      </c>
      <c r="EM47">
        <f t="shared" si="654"/>
        <v>0.70545994512283094</v>
      </c>
      <c r="EN47">
        <f t="shared" si="655"/>
        <v>0.70545994512283094</v>
      </c>
      <c r="EO47">
        <f t="shared" si="656"/>
        <v>0.70545994512283094</v>
      </c>
      <c r="EP47">
        <f t="shared" si="657"/>
        <v>0.70545994512283094</v>
      </c>
      <c r="EQ47">
        <f t="shared" si="658"/>
        <v>0.70545994512283094</v>
      </c>
      <c r="ER47">
        <f t="shared" si="659"/>
        <v>0.70545994512283094</v>
      </c>
      <c r="ES47">
        <f t="shared" si="660"/>
        <v>0.70545994512283094</v>
      </c>
      <c r="ET47">
        <f t="shared" si="661"/>
        <v>0.70545994512283094</v>
      </c>
      <c r="EU47">
        <f t="shared" si="662"/>
        <v>0.70545994512283094</v>
      </c>
      <c r="EV47">
        <f t="shared" si="663"/>
        <v>0.70545994512283094</v>
      </c>
      <c r="EW47">
        <f t="shared" si="664"/>
        <v>0.70545994512283094</v>
      </c>
      <c r="EX47">
        <f t="shared" si="665"/>
        <v>0.70545994512283094</v>
      </c>
      <c r="EY47">
        <f t="shared" si="666"/>
        <v>0.70545994512283094</v>
      </c>
      <c r="EZ47">
        <f t="shared" si="667"/>
        <v>0.70545994512283094</v>
      </c>
      <c r="FA47">
        <f t="shared" si="668"/>
        <v>0.70545994512283094</v>
      </c>
      <c r="FB47">
        <f t="shared" si="669"/>
        <v>0.70545994512283094</v>
      </c>
      <c r="FC47">
        <f t="shared" si="670"/>
        <v>0.70545994512283094</v>
      </c>
      <c r="FD47">
        <f t="shared" si="671"/>
        <v>0.70545994512283094</v>
      </c>
      <c r="FE47">
        <f t="shared" si="672"/>
        <v>0.70545994512283094</v>
      </c>
      <c r="FF47">
        <f t="shared" si="673"/>
        <v>0.70545994512283094</v>
      </c>
      <c r="FG47">
        <f t="shared" si="674"/>
        <v>0.70545994512283094</v>
      </c>
      <c r="FH47">
        <f t="shared" si="675"/>
        <v>0.70545994512283094</v>
      </c>
      <c r="FI47">
        <f t="shared" si="676"/>
        <v>0.70545994512283094</v>
      </c>
      <c r="FJ47">
        <f t="shared" si="677"/>
        <v>0.70545994512283094</v>
      </c>
      <c r="FK47">
        <f t="shared" si="678"/>
        <v>0.70545994512283094</v>
      </c>
      <c r="FL47">
        <f t="shared" si="679"/>
        <v>0.70545994512283094</v>
      </c>
      <c r="FM47">
        <f t="shared" si="680"/>
        <v>0.70545994512283094</v>
      </c>
      <c r="FN47">
        <f t="shared" si="681"/>
        <v>0.70545994512283094</v>
      </c>
      <c r="FO47">
        <f t="shared" si="682"/>
        <v>0.70545994512283094</v>
      </c>
      <c r="FP47">
        <f t="shared" si="683"/>
        <v>0.70545994512283094</v>
      </c>
      <c r="FQ47">
        <f t="shared" si="684"/>
        <v>0.70545994512283094</v>
      </c>
      <c r="FR47">
        <f t="shared" si="685"/>
        <v>0.70545994512283094</v>
      </c>
      <c r="FS47">
        <f t="shared" si="686"/>
        <v>0.70545994512283094</v>
      </c>
      <c r="FT47">
        <f t="shared" si="687"/>
        <v>0.70545994512283094</v>
      </c>
      <c r="FU47">
        <f t="shared" si="688"/>
        <v>0.70545994512283094</v>
      </c>
      <c r="FV47">
        <f t="shared" si="689"/>
        <v>0.70545994512283094</v>
      </c>
      <c r="FW47">
        <f t="shared" si="690"/>
        <v>0.70545994512283094</v>
      </c>
      <c r="FX47">
        <f t="shared" si="691"/>
        <v>0.70545994512283094</v>
      </c>
      <c r="FY47">
        <f t="shared" si="692"/>
        <v>0.70545994512283094</v>
      </c>
      <c r="FZ47">
        <f t="shared" si="693"/>
        <v>0.70545994512283094</v>
      </c>
      <c r="GA47">
        <f t="shared" si="694"/>
        <v>0.70545994512283094</v>
      </c>
      <c r="GB47">
        <f t="shared" si="695"/>
        <v>0.70545994512283094</v>
      </c>
      <c r="GC47">
        <f t="shared" si="696"/>
        <v>0.70545994512283094</v>
      </c>
      <c r="GD47">
        <f t="shared" si="697"/>
        <v>0.70545994512283094</v>
      </c>
      <c r="GE47">
        <f t="shared" si="698"/>
        <v>0.70545994512283094</v>
      </c>
      <c r="GF47">
        <f t="shared" si="699"/>
        <v>0.70545994512283094</v>
      </c>
      <c r="GG47">
        <f t="shared" si="700"/>
        <v>0.70545994512283094</v>
      </c>
      <c r="GH47">
        <f t="shared" si="701"/>
        <v>0.70545994512283094</v>
      </c>
      <c r="GI47">
        <f t="shared" si="702"/>
        <v>0.70545994512283094</v>
      </c>
      <c r="GJ47">
        <f t="shared" si="703"/>
        <v>0.70545994512283094</v>
      </c>
      <c r="GK47">
        <f t="shared" si="704"/>
        <v>0.70545994512283094</v>
      </c>
      <c r="GL47">
        <f t="shared" si="705"/>
        <v>0.70545994512283094</v>
      </c>
      <c r="GM47">
        <f t="shared" si="706"/>
        <v>0.70545994512283094</v>
      </c>
      <c r="GN47">
        <f t="shared" si="707"/>
        <v>0.70545994512283094</v>
      </c>
      <c r="GO47">
        <f t="shared" si="708"/>
        <v>0.70545994512283094</v>
      </c>
      <c r="GP47">
        <f t="shared" si="709"/>
        <v>0.70545994512283094</v>
      </c>
      <c r="GQ47">
        <f t="shared" si="710"/>
        <v>0.70545994512283094</v>
      </c>
      <c r="GR47">
        <f t="shared" si="711"/>
        <v>0.70545994512283094</v>
      </c>
      <c r="GS47">
        <f t="shared" si="712"/>
        <v>0.70545994512283094</v>
      </c>
      <c r="GT47">
        <f t="shared" si="713"/>
        <v>0.70545994512283094</v>
      </c>
      <c r="GU47">
        <f t="shared" si="714"/>
        <v>0.70545994512283094</v>
      </c>
      <c r="GV47">
        <f t="shared" si="715"/>
        <v>0.70545994512283094</v>
      </c>
      <c r="GW47">
        <f t="shared" si="716"/>
        <v>0.70545994512283094</v>
      </c>
      <c r="GX47">
        <f t="shared" si="717"/>
        <v>0.70545994512283094</v>
      </c>
      <c r="GY47">
        <f t="shared" si="718"/>
        <v>0.70545994512283094</v>
      </c>
      <c r="GZ47">
        <f t="shared" si="719"/>
        <v>0.70545994512283094</v>
      </c>
      <c r="HA47">
        <f t="shared" si="720"/>
        <v>0.70545994512283094</v>
      </c>
      <c r="HB47">
        <f t="shared" si="721"/>
        <v>0.70545994512283094</v>
      </c>
      <c r="HC47">
        <f t="shared" si="722"/>
        <v>0.70545994512283094</v>
      </c>
      <c r="HD47">
        <f t="shared" si="723"/>
        <v>0.70545994512283094</v>
      </c>
      <c r="HE47">
        <f t="shared" si="724"/>
        <v>0.70545994512283094</v>
      </c>
      <c r="HF47">
        <f t="shared" si="725"/>
        <v>0.70545994512283094</v>
      </c>
      <c r="HG47">
        <f t="shared" si="726"/>
        <v>0.70545994512283094</v>
      </c>
      <c r="HH47">
        <f t="shared" si="727"/>
        <v>0.70545994512283094</v>
      </c>
      <c r="HI47">
        <f t="shared" si="728"/>
        <v>0.70545994512283094</v>
      </c>
      <c r="HJ47">
        <f t="shared" si="729"/>
        <v>0.70545994512283094</v>
      </c>
      <c r="HK47">
        <f t="shared" si="730"/>
        <v>0.70545994512283094</v>
      </c>
      <c r="HL47">
        <f t="shared" si="731"/>
        <v>0.70545994512283094</v>
      </c>
      <c r="HM47">
        <f t="shared" si="732"/>
        <v>0.70545994512283094</v>
      </c>
      <c r="HN47">
        <f t="shared" si="733"/>
        <v>0.70545994512283094</v>
      </c>
      <c r="HO47">
        <f t="shared" si="734"/>
        <v>0.70545994512283094</v>
      </c>
      <c r="HP47">
        <f t="shared" si="735"/>
        <v>0.70545994512283094</v>
      </c>
      <c r="HQ47">
        <f t="shared" si="736"/>
        <v>0.70545994512283094</v>
      </c>
      <c r="HR47">
        <f t="shared" si="737"/>
        <v>0.70545994512283094</v>
      </c>
      <c r="HS47">
        <f t="shared" si="738"/>
        <v>0.70545994512283094</v>
      </c>
      <c r="HT47">
        <f t="shared" si="739"/>
        <v>0.70545994512283094</v>
      </c>
      <c r="HU47">
        <f t="shared" si="740"/>
        <v>0.70545994512283094</v>
      </c>
      <c r="HV47">
        <f t="shared" si="741"/>
        <v>0.70545994512283094</v>
      </c>
      <c r="HW47">
        <f t="shared" si="742"/>
        <v>0.70545994512283094</v>
      </c>
      <c r="HX47">
        <f t="shared" si="743"/>
        <v>0.70545994512283094</v>
      </c>
      <c r="HY47">
        <f t="shared" si="744"/>
        <v>0.70545994512283094</v>
      </c>
      <c r="HZ47">
        <f t="shared" si="745"/>
        <v>0.70545994512283094</v>
      </c>
      <c r="IA47">
        <f t="shared" si="746"/>
        <v>0.70545994512283094</v>
      </c>
      <c r="IB47">
        <f t="shared" si="747"/>
        <v>0.70545994512283094</v>
      </c>
      <c r="IC47">
        <f t="shared" si="748"/>
        <v>0.70545994512283094</v>
      </c>
      <c r="ID47">
        <f t="shared" si="749"/>
        <v>0.70545994512283094</v>
      </c>
      <c r="IE47">
        <f t="shared" si="750"/>
        <v>0.70545994512283094</v>
      </c>
      <c r="IF47">
        <f t="shared" si="751"/>
        <v>0.70545994512283094</v>
      </c>
      <c r="IG47">
        <f t="shared" si="752"/>
        <v>0.70545994512283094</v>
      </c>
      <c r="IH47">
        <f t="shared" si="753"/>
        <v>0.70545994512283094</v>
      </c>
      <c r="II47">
        <f t="shared" si="754"/>
        <v>0.70545994512283094</v>
      </c>
      <c r="IJ47">
        <f t="shared" si="755"/>
        <v>0.70545994512283094</v>
      </c>
      <c r="IK47">
        <f t="shared" si="756"/>
        <v>0.70545994512283094</v>
      </c>
      <c r="IL47">
        <f t="shared" si="757"/>
        <v>0.70545994512283094</v>
      </c>
      <c r="IM47">
        <f t="shared" si="758"/>
        <v>0.70545994512283094</v>
      </c>
      <c r="IN47">
        <f t="shared" si="759"/>
        <v>0.70545994512283094</v>
      </c>
      <c r="IO47">
        <f t="shared" si="760"/>
        <v>0.70545994512283094</v>
      </c>
      <c r="IP47">
        <f t="shared" si="761"/>
        <v>0.70545994512283094</v>
      </c>
      <c r="IQ47">
        <f t="shared" si="762"/>
        <v>0.70545994512283094</v>
      </c>
      <c r="IR47">
        <f t="shared" si="763"/>
        <v>0.70545994512283094</v>
      </c>
      <c r="IS47">
        <f t="shared" si="764"/>
        <v>0.70545994512283094</v>
      </c>
      <c r="IT47">
        <f t="shared" si="765"/>
        <v>0.70545994512283094</v>
      </c>
      <c r="IU47">
        <f t="shared" si="766"/>
        <v>0.70545994512283094</v>
      </c>
      <c r="IV47">
        <f t="shared" si="767"/>
        <v>0.70545994512283094</v>
      </c>
    </row>
    <row r="48" spans="1:256" x14ac:dyDescent="0.2">
      <c r="A48" t="s">
        <v>519</v>
      </c>
      <c r="B48">
        <f t="shared" si="513"/>
        <v>0.81619886646087059</v>
      </c>
      <c r="C48">
        <f t="shared" si="514"/>
        <v>0.81619886646087059</v>
      </c>
      <c r="D48">
        <f t="shared" si="515"/>
        <v>0.81619886646087059</v>
      </c>
      <c r="E48">
        <f t="shared" si="516"/>
        <v>0.81619886646087059</v>
      </c>
      <c r="F48">
        <f t="shared" si="517"/>
        <v>0.81619886646087059</v>
      </c>
      <c r="G48">
        <f t="shared" si="518"/>
        <v>0.81619886646087059</v>
      </c>
      <c r="H48">
        <f t="shared" si="519"/>
        <v>0.81619886646087059</v>
      </c>
      <c r="I48">
        <f t="shared" si="520"/>
        <v>0.81619886646087059</v>
      </c>
      <c r="J48">
        <f t="shared" si="521"/>
        <v>1.2271575238622272</v>
      </c>
      <c r="K48">
        <f t="shared" si="522"/>
        <v>1.2271575238622272</v>
      </c>
      <c r="L48">
        <f t="shared" si="523"/>
        <v>1.2271575238622272</v>
      </c>
      <c r="M48">
        <f t="shared" si="524"/>
        <v>1.2271575238622272</v>
      </c>
      <c r="N48">
        <f t="shared" si="525"/>
        <v>1.2271575238622272</v>
      </c>
      <c r="O48">
        <f t="shared" si="526"/>
        <v>1.2271575238622272</v>
      </c>
      <c r="P48">
        <f t="shared" si="527"/>
        <v>1.2271575238622272</v>
      </c>
      <c r="Q48">
        <f t="shared" si="528"/>
        <v>1.2271575238622272</v>
      </c>
      <c r="R48">
        <f t="shared" si="529"/>
        <v>1.3839474219373173</v>
      </c>
      <c r="S48">
        <f t="shared" si="530"/>
        <v>1.3839474219373173</v>
      </c>
      <c r="T48">
        <f t="shared" si="531"/>
        <v>1.3839474219373173</v>
      </c>
      <c r="U48">
        <f t="shared" si="532"/>
        <v>1.3839474219373173</v>
      </c>
      <c r="V48">
        <f t="shared" si="533"/>
        <v>1.3839474219373173</v>
      </c>
      <c r="W48">
        <f t="shared" si="534"/>
        <v>1.3839474219373173</v>
      </c>
      <c r="X48">
        <f t="shared" si="535"/>
        <v>1.3839474219373173</v>
      </c>
      <c r="Y48">
        <f t="shared" si="536"/>
        <v>1.3839474219373173</v>
      </c>
      <c r="Z48">
        <f t="shared" si="537"/>
        <v>2</v>
      </c>
      <c r="AA48">
        <f t="shared" si="538"/>
        <v>2</v>
      </c>
      <c r="AB48">
        <f t="shared" si="539"/>
        <v>2</v>
      </c>
      <c r="AC48">
        <f t="shared" si="540"/>
        <v>2</v>
      </c>
      <c r="AD48">
        <f t="shared" si="541"/>
        <v>2</v>
      </c>
      <c r="AE48">
        <f t="shared" si="542"/>
        <v>2</v>
      </c>
      <c r="AF48">
        <f t="shared" si="543"/>
        <v>2</v>
      </c>
      <c r="AG48">
        <f t="shared" si="544"/>
        <v>2</v>
      </c>
      <c r="AH48">
        <f t="shared" si="545"/>
        <v>0.81556205749511723</v>
      </c>
      <c r="AI48">
        <f t="shared" si="546"/>
        <v>0.81556205749511723</v>
      </c>
      <c r="AJ48">
        <f t="shared" si="547"/>
        <v>0.81556205749511723</v>
      </c>
      <c r="AK48">
        <f t="shared" si="548"/>
        <v>0.81556205749511723</v>
      </c>
      <c r="AL48">
        <f t="shared" si="549"/>
        <v>0.81556205749511723</v>
      </c>
      <c r="AM48">
        <f t="shared" si="550"/>
        <v>0.81556205749511723</v>
      </c>
      <c r="AN48">
        <f t="shared" si="551"/>
        <v>0.81556205749511723</v>
      </c>
      <c r="AO48">
        <f t="shared" si="552"/>
        <v>0.81556205749511723</v>
      </c>
      <c r="AP48">
        <f t="shared" si="553"/>
        <v>1.6311241149902345</v>
      </c>
      <c r="AQ48">
        <f t="shared" si="554"/>
        <v>1.6311241149902345</v>
      </c>
      <c r="AR48">
        <f t="shared" si="555"/>
        <v>1.6311241149902345</v>
      </c>
      <c r="AS48">
        <f t="shared" si="556"/>
        <v>1.6311241149902345</v>
      </c>
      <c r="AT48">
        <f t="shared" si="557"/>
        <v>1.6311241149902345</v>
      </c>
      <c r="AU48">
        <f t="shared" si="558"/>
        <v>1.6311241149902345</v>
      </c>
      <c r="AV48">
        <f t="shared" si="559"/>
        <v>1.6311241149902345</v>
      </c>
      <c r="AW48">
        <f t="shared" si="560"/>
        <v>1.6311241149902345</v>
      </c>
      <c r="AX48">
        <f t="shared" si="561"/>
        <v>0.10000000000000005</v>
      </c>
      <c r="AY48">
        <f t="shared" si="562"/>
        <v>0.10000000000000005</v>
      </c>
      <c r="AZ48">
        <f t="shared" si="563"/>
        <v>0.10000000000000005</v>
      </c>
      <c r="BA48">
        <f t="shared" si="564"/>
        <v>0.10000000000000005</v>
      </c>
      <c r="BB48">
        <f t="shared" si="565"/>
        <v>0.10000000000000005</v>
      </c>
      <c r="BC48">
        <f t="shared" si="566"/>
        <v>0.10000000000000005</v>
      </c>
      <c r="BD48">
        <f t="shared" si="567"/>
        <v>0.10000000000000005</v>
      </c>
      <c r="BE48">
        <f t="shared" si="568"/>
        <v>0.10000000000000005</v>
      </c>
      <c r="BF48">
        <f t="shared" si="569"/>
        <v>0.10000000000000005</v>
      </c>
      <c r="BG48">
        <f t="shared" si="570"/>
        <v>0.10000000000000005</v>
      </c>
      <c r="BH48">
        <f t="shared" si="571"/>
        <v>0.10000000000000005</v>
      </c>
      <c r="BI48">
        <f t="shared" si="572"/>
        <v>0.10000000000000005</v>
      </c>
      <c r="BJ48">
        <f t="shared" si="573"/>
        <v>0.10000000000000005</v>
      </c>
      <c r="BK48">
        <f t="shared" si="574"/>
        <v>0.10000000000000005</v>
      </c>
      <c r="BL48">
        <f t="shared" si="575"/>
        <v>0.10000000000000005</v>
      </c>
      <c r="BM48">
        <f t="shared" si="576"/>
        <v>0.10000000000000005</v>
      </c>
      <c r="BN48">
        <f t="shared" si="577"/>
        <v>0.10000000000000005</v>
      </c>
      <c r="BO48">
        <f t="shared" si="578"/>
        <v>0.10000000000000005</v>
      </c>
      <c r="BP48">
        <f t="shared" si="579"/>
        <v>0.10000000000000005</v>
      </c>
      <c r="BQ48">
        <f t="shared" si="580"/>
        <v>0.10000000000000005</v>
      </c>
      <c r="BR48">
        <f t="shared" si="581"/>
        <v>0.10000000000000005</v>
      </c>
      <c r="BS48">
        <f t="shared" si="582"/>
        <v>0.10000000000000005</v>
      </c>
      <c r="BT48">
        <f t="shared" si="583"/>
        <v>0.10000000000000005</v>
      </c>
      <c r="BU48">
        <f t="shared" si="584"/>
        <v>0.10000000000000005</v>
      </c>
      <c r="BV48">
        <f t="shared" si="585"/>
        <v>0.10000000000000005</v>
      </c>
      <c r="BW48">
        <f t="shared" si="586"/>
        <v>0.10000000000000005</v>
      </c>
      <c r="BX48">
        <f t="shared" si="587"/>
        <v>0.10000000000000005</v>
      </c>
      <c r="BY48">
        <f t="shared" si="588"/>
        <v>0.10000000000000005</v>
      </c>
      <c r="BZ48">
        <f t="shared" si="589"/>
        <v>0.10000000000000005</v>
      </c>
      <c r="CA48">
        <f t="shared" si="590"/>
        <v>0.10000000000000005</v>
      </c>
      <c r="CB48">
        <f t="shared" si="591"/>
        <v>0.10000000000000005</v>
      </c>
      <c r="CC48">
        <f t="shared" si="592"/>
        <v>0.10000000000000005</v>
      </c>
      <c r="CD48">
        <f t="shared" si="593"/>
        <v>0.10000000000000005</v>
      </c>
      <c r="CE48">
        <f t="shared" si="594"/>
        <v>0.10000000000000005</v>
      </c>
      <c r="CF48">
        <f t="shared" si="595"/>
        <v>0.10000000000000005</v>
      </c>
      <c r="CG48">
        <f t="shared" si="596"/>
        <v>0.10000000000000005</v>
      </c>
      <c r="CH48">
        <f t="shared" si="597"/>
        <v>0.10000000000000005</v>
      </c>
      <c r="CI48">
        <f t="shared" si="598"/>
        <v>0.10000000000000005</v>
      </c>
      <c r="CJ48">
        <f t="shared" si="599"/>
        <v>0.10000000000000005</v>
      </c>
      <c r="CK48">
        <f t="shared" si="600"/>
        <v>0.10000000000000005</v>
      </c>
      <c r="CL48">
        <f t="shared" si="601"/>
        <v>0.10000000000000005</v>
      </c>
      <c r="CM48">
        <f t="shared" si="602"/>
        <v>0.10000000000000005</v>
      </c>
      <c r="CN48">
        <f t="shared" si="603"/>
        <v>0.10000000000000005</v>
      </c>
      <c r="CO48">
        <f t="shared" si="604"/>
        <v>0.10000000000000005</v>
      </c>
      <c r="CP48">
        <f t="shared" si="605"/>
        <v>0.10000000000000005</v>
      </c>
      <c r="CQ48">
        <f t="shared" si="606"/>
        <v>0.10000000000000005</v>
      </c>
      <c r="CR48">
        <f t="shared" si="607"/>
        <v>0.10000000000000005</v>
      </c>
      <c r="CS48">
        <f t="shared" si="608"/>
        <v>0.10000000000000005</v>
      </c>
      <c r="CT48">
        <f t="shared" si="609"/>
        <v>0.10000000000000005</v>
      </c>
      <c r="CU48">
        <f t="shared" si="610"/>
        <v>0.10000000000000005</v>
      </c>
      <c r="CV48">
        <f t="shared" si="611"/>
        <v>0.10000000000000005</v>
      </c>
      <c r="CW48">
        <f t="shared" si="612"/>
        <v>0.10000000000000005</v>
      </c>
      <c r="CX48">
        <f t="shared" si="613"/>
        <v>0.10000000000000005</v>
      </c>
      <c r="CY48">
        <f t="shared" si="614"/>
        <v>0.10000000000000005</v>
      </c>
      <c r="CZ48">
        <f t="shared" si="615"/>
        <v>0.10000000000000005</v>
      </c>
      <c r="DA48">
        <f t="shared" si="616"/>
        <v>0.10000000000000005</v>
      </c>
      <c r="DB48">
        <f t="shared" si="617"/>
        <v>0.10000000000000005</v>
      </c>
      <c r="DC48">
        <f t="shared" si="618"/>
        <v>0.10000000000000005</v>
      </c>
      <c r="DD48">
        <f t="shared" si="619"/>
        <v>0.10000000000000005</v>
      </c>
      <c r="DE48">
        <f t="shared" si="620"/>
        <v>0.10000000000000005</v>
      </c>
      <c r="DF48">
        <f t="shared" si="621"/>
        <v>0.10000000000000005</v>
      </c>
      <c r="DG48">
        <f t="shared" si="622"/>
        <v>0.10000000000000005</v>
      </c>
      <c r="DH48">
        <f t="shared" si="623"/>
        <v>0.10000000000000005</v>
      </c>
      <c r="DI48">
        <f t="shared" si="624"/>
        <v>0.10000000000000005</v>
      </c>
      <c r="DJ48">
        <f t="shared" si="625"/>
        <v>0.10000000000000005</v>
      </c>
      <c r="DK48">
        <f t="shared" si="626"/>
        <v>0.10000000000000005</v>
      </c>
      <c r="DL48">
        <f t="shared" si="627"/>
        <v>0.10000000000000005</v>
      </c>
      <c r="DM48">
        <f t="shared" si="628"/>
        <v>0.10000000000000005</v>
      </c>
      <c r="DN48">
        <f t="shared" si="629"/>
        <v>0.10000000000000005</v>
      </c>
      <c r="DO48">
        <f t="shared" si="630"/>
        <v>0.10000000000000005</v>
      </c>
      <c r="DP48">
        <f t="shared" si="631"/>
        <v>0.10000000000000005</v>
      </c>
      <c r="DQ48">
        <f t="shared" si="632"/>
        <v>0.10000000000000005</v>
      </c>
      <c r="DR48">
        <f t="shared" si="633"/>
        <v>0.10000000000000005</v>
      </c>
      <c r="DS48">
        <f t="shared" si="634"/>
        <v>0.10000000000000005</v>
      </c>
      <c r="DT48">
        <f t="shared" si="635"/>
        <v>0.10000000000000005</v>
      </c>
      <c r="DU48">
        <f t="shared" si="636"/>
        <v>0.10000000000000005</v>
      </c>
      <c r="DV48">
        <f t="shared" si="637"/>
        <v>0.10000000000000005</v>
      </c>
      <c r="DW48">
        <f t="shared" si="638"/>
        <v>0.10000000000000005</v>
      </c>
      <c r="DX48">
        <f t="shared" si="639"/>
        <v>0.10000000000000005</v>
      </c>
      <c r="DY48">
        <f t="shared" si="640"/>
        <v>0.10000000000000005</v>
      </c>
      <c r="DZ48">
        <f t="shared" si="641"/>
        <v>0.10000000000000005</v>
      </c>
      <c r="EA48">
        <f t="shared" si="642"/>
        <v>0.10000000000000005</v>
      </c>
      <c r="EB48">
        <f t="shared" si="643"/>
        <v>0.10000000000000005</v>
      </c>
      <c r="EC48">
        <f t="shared" si="644"/>
        <v>0.10000000000000005</v>
      </c>
      <c r="ED48">
        <f t="shared" si="645"/>
        <v>0.10000000000000005</v>
      </c>
      <c r="EE48">
        <f t="shared" si="646"/>
        <v>0.10000000000000005</v>
      </c>
      <c r="EF48">
        <f t="shared" si="647"/>
        <v>0.10000000000000005</v>
      </c>
      <c r="EG48">
        <f t="shared" si="648"/>
        <v>0.10000000000000005</v>
      </c>
      <c r="EH48">
        <f t="shared" si="649"/>
        <v>0.10000000000000005</v>
      </c>
      <c r="EI48">
        <f t="shared" si="650"/>
        <v>0.10000000000000005</v>
      </c>
      <c r="EJ48">
        <f t="shared" si="651"/>
        <v>0.10000000000000005</v>
      </c>
      <c r="EK48">
        <f t="shared" si="652"/>
        <v>0.10000000000000005</v>
      </c>
      <c r="EL48">
        <f t="shared" si="653"/>
        <v>0.10000000000000005</v>
      </c>
      <c r="EM48">
        <f t="shared" si="654"/>
        <v>0.10000000000000005</v>
      </c>
      <c r="EN48">
        <f t="shared" si="655"/>
        <v>0.10000000000000005</v>
      </c>
      <c r="EO48">
        <f t="shared" si="656"/>
        <v>0.10000000000000005</v>
      </c>
      <c r="EP48">
        <f t="shared" si="657"/>
        <v>0.10000000000000005</v>
      </c>
      <c r="EQ48">
        <f t="shared" si="658"/>
        <v>0.10000000000000005</v>
      </c>
      <c r="ER48">
        <f t="shared" si="659"/>
        <v>0.10000000000000005</v>
      </c>
      <c r="ES48">
        <f t="shared" si="660"/>
        <v>0.10000000000000005</v>
      </c>
      <c r="ET48">
        <f t="shared" si="661"/>
        <v>0.10000000000000005</v>
      </c>
      <c r="EU48">
        <f t="shared" si="662"/>
        <v>0.10000000000000005</v>
      </c>
      <c r="EV48">
        <f t="shared" si="663"/>
        <v>0.10000000000000005</v>
      </c>
      <c r="EW48">
        <f t="shared" si="664"/>
        <v>0.10000000000000005</v>
      </c>
      <c r="EX48">
        <f t="shared" si="665"/>
        <v>0.10000000000000005</v>
      </c>
      <c r="EY48">
        <f t="shared" si="666"/>
        <v>0.10000000000000005</v>
      </c>
      <c r="EZ48">
        <f t="shared" si="667"/>
        <v>0.10000000000000005</v>
      </c>
      <c r="FA48">
        <f t="shared" si="668"/>
        <v>0.10000000000000005</v>
      </c>
      <c r="FB48">
        <f t="shared" si="669"/>
        <v>0.10000000000000005</v>
      </c>
      <c r="FC48">
        <f t="shared" si="670"/>
        <v>0.10000000000000005</v>
      </c>
      <c r="FD48">
        <f t="shared" si="671"/>
        <v>0.10000000000000005</v>
      </c>
      <c r="FE48">
        <f t="shared" si="672"/>
        <v>0.10000000000000005</v>
      </c>
      <c r="FF48">
        <f t="shared" si="673"/>
        <v>0.10000000000000005</v>
      </c>
      <c r="FG48">
        <f t="shared" si="674"/>
        <v>0.10000000000000005</v>
      </c>
      <c r="FH48">
        <f t="shared" si="675"/>
        <v>0.10000000000000005</v>
      </c>
      <c r="FI48">
        <f t="shared" si="676"/>
        <v>0.10000000000000005</v>
      </c>
      <c r="FJ48">
        <f t="shared" si="677"/>
        <v>0.10000000000000005</v>
      </c>
      <c r="FK48">
        <f t="shared" si="678"/>
        <v>0.10000000000000005</v>
      </c>
      <c r="FL48">
        <f t="shared" si="679"/>
        <v>0.10000000000000005</v>
      </c>
      <c r="FM48">
        <f t="shared" si="680"/>
        <v>0.10000000000000005</v>
      </c>
      <c r="FN48">
        <f t="shared" si="681"/>
        <v>0.10000000000000005</v>
      </c>
      <c r="FO48">
        <f t="shared" si="682"/>
        <v>0.10000000000000005</v>
      </c>
      <c r="FP48">
        <f t="shared" si="683"/>
        <v>0.10000000000000005</v>
      </c>
      <c r="FQ48">
        <f t="shared" si="684"/>
        <v>0.10000000000000005</v>
      </c>
      <c r="FR48">
        <f t="shared" si="685"/>
        <v>0.10000000000000005</v>
      </c>
      <c r="FS48">
        <f t="shared" si="686"/>
        <v>0.10000000000000005</v>
      </c>
      <c r="FT48">
        <f t="shared" si="687"/>
        <v>0.10000000000000005</v>
      </c>
      <c r="FU48">
        <f t="shared" si="688"/>
        <v>0.10000000000000005</v>
      </c>
      <c r="FV48">
        <f t="shared" si="689"/>
        <v>0.10000000000000005</v>
      </c>
      <c r="FW48">
        <f t="shared" si="690"/>
        <v>0.10000000000000005</v>
      </c>
      <c r="FX48">
        <f t="shared" si="691"/>
        <v>0.10000000000000005</v>
      </c>
      <c r="FY48">
        <f t="shared" si="692"/>
        <v>0.10000000000000005</v>
      </c>
      <c r="FZ48">
        <f t="shared" si="693"/>
        <v>0.10000000000000005</v>
      </c>
      <c r="GA48">
        <f t="shared" si="694"/>
        <v>0.10000000000000005</v>
      </c>
      <c r="GB48">
        <f t="shared" si="695"/>
        <v>0.10000000000000005</v>
      </c>
      <c r="GC48">
        <f t="shared" si="696"/>
        <v>0.10000000000000005</v>
      </c>
      <c r="GD48">
        <f t="shared" si="697"/>
        <v>0.10000000000000005</v>
      </c>
      <c r="GE48">
        <f t="shared" si="698"/>
        <v>0.10000000000000005</v>
      </c>
      <c r="GF48">
        <f t="shared" si="699"/>
        <v>0.10000000000000005</v>
      </c>
      <c r="GG48">
        <f t="shared" si="700"/>
        <v>0.10000000000000005</v>
      </c>
      <c r="GH48">
        <f t="shared" si="701"/>
        <v>0.10000000000000005</v>
      </c>
      <c r="GI48">
        <f t="shared" si="702"/>
        <v>0.10000000000000005</v>
      </c>
      <c r="GJ48">
        <f t="shared" si="703"/>
        <v>0.10000000000000005</v>
      </c>
      <c r="GK48">
        <f t="shared" si="704"/>
        <v>0.10000000000000005</v>
      </c>
      <c r="GL48">
        <f t="shared" si="705"/>
        <v>0.10000000000000005</v>
      </c>
      <c r="GM48">
        <f t="shared" si="706"/>
        <v>0.10000000000000005</v>
      </c>
      <c r="GN48">
        <f t="shared" si="707"/>
        <v>0.10000000000000005</v>
      </c>
      <c r="GO48">
        <f t="shared" si="708"/>
        <v>0.10000000000000005</v>
      </c>
      <c r="GP48">
        <f t="shared" si="709"/>
        <v>0.10000000000000005</v>
      </c>
      <c r="GQ48">
        <f t="shared" si="710"/>
        <v>0.10000000000000005</v>
      </c>
      <c r="GR48">
        <f t="shared" si="711"/>
        <v>0.10000000000000005</v>
      </c>
      <c r="GS48">
        <f t="shared" si="712"/>
        <v>0.10000000000000005</v>
      </c>
      <c r="GT48">
        <f t="shared" si="713"/>
        <v>0.10000000000000005</v>
      </c>
      <c r="GU48">
        <f t="shared" si="714"/>
        <v>0.10000000000000005</v>
      </c>
      <c r="GV48">
        <f t="shared" si="715"/>
        <v>0.10000000000000005</v>
      </c>
      <c r="GW48">
        <f t="shared" si="716"/>
        <v>0.10000000000000005</v>
      </c>
      <c r="GX48">
        <f t="shared" si="717"/>
        <v>0.10000000000000005</v>
      </c>
      <c r="GY48">
        <f t="shared" si="718"/>
        <v>0.10000000000000005</v>
      </c>
      <c r="GZ48">
        <f t="shared" si="719"/>
        <v>0.10000000000000005</v>
      </c>
      <c r="HA48">
        <f t="shared" si="720"/>
        <v>0.10000000000000005</v>
      </c>
      <c r="HB48">
        <f t="shared" si="721"/>
        <v>0.10000000000000005</v>
      </c>
      <c r="HC48">
        <f t="shared" si="722"/>
        <v>0.10000000000000005</v>
      </c>
      <c r="HD48">
        <f t="shared" si="723"/>
        <v>0.10000000000000005</v>
      </c>
      <c r="HE48">
        <f t="shared" si="724"/>
        <v>0.10000000000000005</v>
      </c>
      <c r="HF48">
        <f t="shared" si="725"/>
        <v>0.10000000000000005</v>
      </c>
      <c r="HG48">
        <f t="shared" si="726"/>
        <v>0.10000000000000005</v>
      </c>
      <c r="HH48">
        <f t="shared" si="727"/>
        <v>0.10000000000000005</v>
      </c>
      <c r="HI48">
        <f t="shared" si="728"/>
        <v>0.10000000000000005</v>
      </c>
      <c r="HJ48">
        <f t="shared" si="729"/>
        <v>0.10000000000000005</v>
      </c>
      <c r="HK48">
        <f t="shared" si="730"/>
        <v>0.10000000000000005</v>
      </c>
      <c r="HL48">
        <f t="shared" si="731"/>
        <v>0.10000000000000005</v>
      </c>
      <c r="HM48">
        <f t="shared" si="732"/>
        <v>0.10000000000000005</v>
      </c>
      <c r="HN48">
        <f t="shared" si="733"/>
        <v>0.10000000000000005</v>
      </c>
      <c r="HO48">
        <f t="shared" si="734"/>
        <v>0.10000000000000005</v>
      </c>
      <c r="HP48">
        <f t="shared" si="735"/>
        <v>0.10000000000000005</v>
      </c>
      <c r="HQ48">
        <f t="shared" si="736"/>
        <v>0.10000000000000005</v>
      </c>
      <c r="HR48">
        <f t="shared" si="737"/>
        <v>0.10000000000000005</v>
      </c>
      <c r="HS48">
        <f t="shared" si="738"/>
        <v>0.10000000000000005</v>
      </c>
      <c r="HT48">
        <f t="shared" si="739"/>
        <v>0.10000000000000005</v>
      </c>
      <c r="HU48">
        <f t="shared" si="740"/>
        <v>0.10000000000000005</v>
      </c>
      <c r="HV48">
        <f t="shared" si="741"/>
        <v>0.10000000000000005</v>
      </c>
      <c r="HW48">
        <f t="shared" si="742"/>
        <v>0.10000000000000005</v>
      </c>
      <c r="HX48">
        <f t="shared" si="743"/>
        <v>0.10000000000000005</v>
      </c>
      <c r="HY48">
        <f t="shared" si="744"/>
        <v>0.10000000000000005</v>
      </c>
      <c r="HZ48">
        <f t="shared" si="745"/>
        <v>0.10000000000000005</v>
      </c>
      <c r="IA48">
        <f t="shared" si="746"/>
        <v>0.10000000000000005</v>
      </c>
      <c r="IB48">
        <f t="shared" si="747"/>
        <v>0.10000000000000005</v>
      </c>
      <c r="IC48">
        <f t="shared" si="748"/>
        <v>0.10000000000000005</v>
      </c>
      <c r="ID48">
        <f t="shared" si="749"/>
        <v>0.10000000000000005</v>
      </c>
      <c r="IE48">
        <f t="shared" si="750"/>
        <v>0.10000000000000005</v>
      </c>
      <c r="IF48">
        <f t="shared" si="751"/>
        <v>0.10000000000000005</v>
      </c>
      <c r="IG48">
        <f t="shared" si="752"/>
        <v>0.10000000000000005</v>
      </c>
      <c r="IH48">
        <f t="shared" si="753"/>
        <v>0.10000000000000005</v>
      </c>
      <c r="II48">
        <f t="shared" si="754"/>
        <v>0.10000000000000005</v>
      </c>
      <c r="IJ48">
        <f t="shared" si="755"/>
        <v>0.10000000000000005</v>
      </c>
      <c r="IK48">
        <f t="shared" si="756"/>
        <v>0.10000000000000005</v>
      </c>
      <c r="IL48">
        <f t="shared" si="757"/>
        <v>0.10000000000000005</v>
      </c>
      <c r="IM48">
        <f t="shared" si="758"/>
        <v>0.10000000000000005</v>
      </c>
      <c r="IN48">
        <f t="shared" si="759"/>
        <v>0.10000000000000005</v>
      </c>
      <c r="IO48">
        <f t="shared" si="760"/>
        <v>0.10000000000000005</v>
      </c>
      <c r="IP48">
        <f t="shared" si="761"/>
        <v>0.10000000000000005</v>
      </c>
      <c r="IQ48">
        <f t="shared" si="762"/>
        <v>0.10000000000000005</v>
      </c>
      <c r="IR48">
        <f t="shared" si="763"/>
        <v>0.10000000000000005</v>
      </c>
      <c r="IS48">
        <f t="shared" si="764"/>
        <v>0.10000000000000005</v>
      </c>
      <c r="IT48">
        <f t="shared" si="765"/>
        <v>0.10000000000000005</v>
      </c>
      <c r="IU48">
        <f t="shared" si="766"/>
        <v>0.10000000000000005</v>
      </c>
      <c r="IV48">
        <f t="shared" si="767"/>
        <v>0.10000000000000005</v>
      </c>
    </row>
    <row r="49" spans="1:256" x14ac:dyDescent="0.2">
      <c r="A49" t="s">
        <v>520</v>
      </c>
      <c r="B49">
        <f t="shared" si="513"/>
        <v>2</v>
      </c>
      <c r="C49">
        <f t="shared" si="514"/>
        <v>2</v>
      </c>
      <c r="D49">
        <f t="shared" si="515"/>
        <v>2</v>
      </c>
      <c r="E49">
        <f t="shared" si="516"/>
        <v>2</v>
      </c>
      <c r="F49">
        <f t="shared" si="517"/>
        <v>2</v>
      </c>
      <c r="G49">
        <f t="shared" si="518"/>
        <v>2</v>
      </c>
      <c r="H49">
        <f t="shared" si="519"/>
        <v>2</v>
      </c>
      <c r="I49">
        <f t="shared" si="520"/>
        <v>2</v>
      </c>
      <c r="J49">
        <f t="shared" si="521"/>
        <v>1.2588886721164863</v>
      </c>
      <c r="K49">
        <f t="shared" si="522"/>
        <v>1.2588886721164863</v>
      </c>
      <c r="L49">
        <f t="shared" si="523"/>
        <v>1.2588886721164863</v>
      </c>
      <c r="M49">
        <f t="shared" si="524"/>
        <v>1.2588886721164863</v>
      </c>
      <c r="N49">
        <f t="shared" si="525"/>
        <v>1.2588886721164863</v>
      </c>
      <c r="O49">
        <f t="shared" si="526"/>
        <v>1.2588886721164863</v>
      </c>
      <c r="P49">
        <f t="shared" si="527"/>
        <v>1.2588886721164863</v>
      </c>
      <c r="Q49">
        <f t="shared" si="528"/>
        <v>1.2588886721164863</v>
      </c>
      <c r="R49">
        <f t="shared" si="529"/>
        <v>1.7014752369813673</v>
      </c>
      <c r="S49">
        <f t="shared" si="530"/>
        <v>1.7014752369813673</v>
      </c>
      <c r="T49">
        <f t="shared" si="531"/>
        <v>1.7014752369813673</v>
      </c>
      <c r="U49">
        <f t="shared" si="532"/>
        <v>1.7014752369813673</v>
      </c>
      <c r="V49">
        <f t="shared" si="533"/>
        <v>1.7014752369813673</v>
      </c>
      <c r="W49">
        <f t="shared" si="534"/>
        <v>1.7014752369813673</v>
      </c>
      <c r="X49">
        <f t="shared" si="535"/>
        <v>1.7014752369813673</v>
      </c>
      <c r="Y49">
        <f t="shared" si="536"/>
        <v>1.7014752369813673</v>
      </c>
      <c r="Z49">
        <f t="shared" si="537"/>
        <v>1.0819012967522843</v>
      </c>
      <c r="AA49">
        <f t="shared" si="538"/>
        <v>1.0819012967522843</v>
      </c>
      <c r="AB49">
        <f t="shared" si="539"/>
        <v>1.0819012967522843</v>
      </c>
      <c r="AC49">
        <f t="shared" si="540"/>
        <v>1.0819012967522843</v>
      </c>
      <c r="AD49">
        <f t="shared" si="541"/>
        <v>1.0819012967522843</v>
      </c>
      <c r="AE49">
        <f t="shared" si="542"/>
        <v>1.0819012967522843</v>
      </c>
      <c r="AF49">
        <f t="shared" si="543"/>
        <v>1.0819012967522843</v>
      </c>
      <c r="AG49">
        <f t="shared" si="544"/>
        <v>1.0819012967522843</v>
      </c>
      <c r="AH49">
        <f t="shared" si="545"/>
        <v>0.74665122985839849</v>
      </c>
      <c r="AI49">
        <f t="shared" si="546"/>
        <v>0.74665122985839849</v>
      </c>
      <c r="AJ49">
        <f t="shared" si="547"/>
        <v>0.74665122985839849</v>
      </c>
      <c r="AK49">
        <f t="shared" si="548"/>
        <v>0.74665122985839849</v>
      </c>
      <c r="AL49">
        <f t="shared" si="549"/>
        <v>0.74665122985839849</v>
      </c>
      <c r="AM49">
        <f t="shared" si="550"/>
        <v>0.74665122985839849</v>
      </c>
      <c r="AN49">
        <f t="shared" si="551"/>
        <v>0.74665122985839849</v>
      </c>
      <c r="AO49">
        <f t="shared" si="552"/>
        <v>0.74665122985839849</v>
      </c>
      <c r="AP49">
        <f t="shared" si="553"/>
        <v>1.0244287247794079</v>
      </c>
      <c r="AQ49">
        <f t="shared" si="554"/>
        <v>1.0244287247794079</v>
      </c>
      <c r="AR49">
        <f t="shared" si="555"/>
        <v>1.0244287247794079</v>
      </c>
      <c r="AS49">
        <f t="shared" si="556"/>
        <v>1.0244287247794079</v>
      </c>
      <c r="AT49">
        <f t="shared" si="557"/>
        <v>1.0244287247794079</v>
      </c>
      <c r="AU49">
        <f t="shared" si="558"/>
        <v>1.0244287247794079</v>
      </c>
      <c r="AV49">
        <f t="shared" si="559"/>
        <v>1.0244287247794079</v>
      </c>
      <c r="AW49">
        <f t="shared" si="560"/>
        <v>1.0244287247794079</v>
      </c>
      <c r="AX49">
        <f t="shared" si="561"/>
        <v>1.1955836181439143</v>
      </c>
      <c r="AY49">
        <f t="shared" si="562"/>
        <v>1.1955836181439143</v>
      </c>
      <c r="AZ49">
        <f t="shared" si="563"/>
        <v>1.1955836181439143</v>
      </c>
      <c r="BA49">
        <f t="shared" si="564"/>
        <v>1.1955836181439143</v>
      </c>
      <c r="BB49">
        <f t="shared" si="565"/>
        <v>1.1955836181439143</v>
      </c>
      <c r="BC49">
        <f t="shared" si="566"/>
        <v>1.1955836181439143</v>
      </c>
      <c r="BD49">
        <f t="shared" si="567"/>
        <v>1.1955836181439143</v>
      </c>
      <c r="BE49">
        <f t="shared" si="568"/>
        <v>1.1955836181439143</v>
      </c>
      <c r="BF49">
        <f t="shared" si="569"/>
        <v>1.1955836181439143</v>
      </c>
      <c r="BG49">
        <f t="shared" si="570"/>
        <v>1.1955836181439143</v>
      </c>
      <c r="BH49">
        <f t="shared" si="571"/>
        <v>1.1955836181439143</v>
      </c>
      <c r="BI49">
        <f t="shared" si="572"/>
        <v>1.1955836181439143</v>
      </c>
      <c r="BJ49">
        <f t="shared" si="573"/>
        <v>1.1955836181439143</v>
      </c>
      <c r="BK49">
        <f t="shared" si="574"/>
        <v>1.1955836181439143</v>
      </c>
      <c r="BL49">
        <f t="shared" si="575"/>
        <v>1.1955836181439143</v>
      </c>
      <c r="BM49">
        <f t="shared" si="576"/>
        <v>1.1955836181439143</v>
      </c>
      <c r="BN49">
        <f t="shared" si="577"/>
        <v>1.1955836181439143</v>
      </c>
      <c r="BO49">
        <f t="shared" si="578"/>
        <v>1.1955836181439143</v>
      </c>
      <c r="BP49">
        <f t="shared" si="579"/>
        <v>1.1955836181439143</v>
      </c>
      <c r="BQ49">
        <f t="shared" si="580"/>
        <v>1.1955836181439143</v>
      </c>
      <c r="BR49">
        <f t="shared" si="581"/>
        <v>1.1955836181439143</v>
      </c>
      <c r="BS49">
        <f t="shared" si="582"/>
        <v>1.1955836181439143</v>
      </c>
      <c r="BT49">
        <f t="shared" si="583"/>
        <v>1.1955836181439143</v>
      </c>
      <c r="BU49">
        <f t="shared" si="584"/>
        <v>1.1955836181439143</v>
      </c>
      <c r="BV49">
        <f t="shared" si="585"/>
        <v>1.1955836181439143</v>
      </c>
      <c r="BW49">
        <f t="shared" si="586"/>
        <v>1.1955836181439143</v>
      </c>
      <c r="BX49">
        <f t="shared" si="587"/>
        <v>1.1955836181439143</v>
      </c>
      <c r="BY49">
        <f t="shared" si="588"/>
        <v>1.1955836181439143</v>
      </c>
      <c r="BZ49">
        <f t="shared" si="589"/>
        <v>1.1955836181439143</v>
      </c>
      <c r="CA49">
        <f t="shared" si="590"/>
        <v>1.1955836181439143</v>
      </c>
      <c r="CB49">
        <f t="shared" si="591"/>
        <v>1.1955836181439143</v>
      </c>
      <c r="CC49">
        <f t="shared" si="592"/>
        <v>1.1955836181439143</v>
      </c>
      <c r="CD49">
        <f t="shared" si="593"/>
        <v>1.1955836181439143</v>
      </c>
      <c r="CE49">
        <f t="shared" si="594"/>
        <v>1.1955836181439143</v>
      </c>
      <c r="CF49">
        <f t="shared" si="595"/>
        <v>1.1955836181439143</v>
      </c>
      <c r="CG49">
        <f t="shared" si="596"/>
        <v>1.1955836181439143</v>
      </c>
      <c r="CH49">
        <f t="shared" si="597"/>
        <v>1.1955836181439143</v>
      </c>
      <c r="CI49">
        <f t="shared" si="598"/>
        <v>1.1955836181439143</v>
      </c>
      <c r="CJ49">
        <f t="shared" si="599"/>
        <v>1.1955836181439143</v>
      </c>
      <c r="CK49">
        <f t="shared" si="600"/>
        <v>1.1955836181439143</v>
      </c>
      <c r="CL49">
        <f t="shared" si="601"/>
        <v>1.1955836181439143</v>
      </c>
      <c r="CM49">
        <f t="shared" si="602"/>
        <v>1.1955836181439143</v>
      </c>
      <c r="CN49">
        <f t="shared" si="603"/>
        <v>1.1955836181439143</v>
      </c>
      <c r="CO49">
        <f t="shared" si="604"/>
        <v>1.1955836181439143</v>
      </c>
      <c r="CP49">
        <f t="shared" si="605"/>
        <v>1.1955836181439143</v>
      </c>
      <c r="CQ49">
        <f t="shared" si="606"/>
        <v>1.1955836181439143</v>
      </c>
      <c r="CR49">
        <f t="shared" si="607"/>
        <v>1.1955836181439143</v>
      </c>
      <c r="CS49">
        <f t="shared" si="608"/>
        <v>1.1955836181439143</v>
      </c>
      <c r="CT49">
        <f t="shared" si="609"/>
        <v>1.1955836181439143</v>
      </c>
      <c r="CU49">
        <f t="shared" si="610"/>
        <v>1.1955836181439143</v>
      </c>
      <c r="CV49">
        <f t="shared" si="611"/>
        <v>1.1955836181439143</v>
      </c>
      <c r="CW49">
        <f t="shared" si="612"/>
        <v>1.1955836181439143</v>
      </c>
      <c r="CX49">
        <f t="shared" si="613"/>
        <v>1.1955836181439143</v>
      </c>
      <c r="CY49">
        <f t="shared" si="614"/>
        <v>1.1955836181439143</v>
      </c>
      <c r="CZ49">
        <f t="shared" si="615"/>
        <v>1.1955836181439143</v>
      </c>
      <c r="DA49">
        <f t="shared" si="616"/>
        <v>1.1955836181439143</v>
      </c>
      <c r="DB49">
        <f t="shared" si="617"/>
        <v>1.1955836181439143</v>
      </c>
      <c r="DC49">
        <f t="shared" si="618"/>
        <v>1.1955836181439143</v>
      </c>
      <c r="DD49">
        <f t="shared" si="619"/>
        <v>1.1955836181439143</v>
      </c>
      <c r="DE49">
        <f t="shared" si="620"/>
        <v>1.1955836181439143</v>
      </c>
      <c r="DF49">
        <f t="shared" si="621"/>
        <v>1.1955836181439143</v>
      </c>
      <c r="DG49">
        <f t="shared" si="622"/>
        <v>1.1955836181439143</v>
      </c>
      <c r="DH49">
        <f t="shared" si="623"/>
        <v>1.1955836181439143</v>
      </c>
      <c r="DI49">
        <f t="shared" si="624"/>
        <v>1.1955836181439143</v>
      </c>
      <c r="DJ49">
        <f t="shared" si="625"/>
        <v>1.1955836181439143</v>
      </c>
      <c r="DK49">
        <f t="shared" si="626"/>
        <v>1.1955836181439143</v>
      </c>
      <c r="DL49">
        <f t="shared" si="627"/>
        <v>1.1955836181439143</v>
      </c>
      <c r="DM49">
        <f t="shared" si="628"/>
        <v>1.1955836181439143</v>
      </c>
      <c r="DN49">
        <f t="shared" si="629"/>
        <v>1.1955836181439143</v>
      </c>
      <c r="DO49">
        <f t="shared" si="630"/>
        <v>1.1955836181439143</v>
      </c>
      <c r="DP49">
        <f t="shared" si="631"/>
        <v>1.1955836181439143</v>
      </c>
      <c r="DQ49">
        <f t="shared" si="632"/>
        <v>1.1955836181439143</v>
      </c>
      <c r="DR49">
        <f t="shared" si="633"/>
        <v>1.1955836181439143</v>
      </c>
      <c r="DS49">
        <f t="shared" si="634"/>
        <v>1.1955836181439143</v>
      </c>
      <c r="DT49">
        <f t="shared" si="635"/>
        <v>1.1955836181439143</v>
      </c>
      <c r="DU49">
        <f t="shared" si="636"/>
        <v>1.1955836181439143</v>
      </c>
      <c r="DV49">
        <f t="shared" si="637"/>
        <v>1.1955836181439143</v>
      </c>
      <c r="DW49">
        <f t="shared" si="638"/>
        <v>1.1955836181439143</v>
      </c>
      <c r="DX49">
        <f t="shared" si="639"/>
        <v>1.1955836181439143</v>
      </c>
      <c r="DY49">
        <f t="shared" si="640"/>
        <v>1.1955836181439143</v>
      </c>
      <c r="DZ49">
        <f t="shared" si="641"/>
        <v>1.1955836181439143</v>
      </c>
      <c r="EA49">
        <f t="shared" si="642"/>
        <v>1.1955836181439143</v>
      </c>
      <c r="EB49">
        <f t="shared" si="643"/>
        <v>1.1955836181439143</v>
      </c>
      <c r="EC49">
        <f t="shared" si="644"/>
        <v>1.1955836181439143</v>
      </c>
      <c r="ED49">
        <f t="shared" si="645"/>
        <v>1.1955836181439143</v>
      </c>
      <c r="EE49">
        <f t="shared" si="646"/>
        <v>1.1955836181439143</v>
      </c>
      <c r="EF49">
        <f t="shared" si="647"/>
        <v>1.1955836181439143</v>
      </c>
      <c r="EG49">
        <f t="shared" si="648"/>
        <v>1.1955836181439143</v>
      </c>
      <c r="EH49">
        <f t="shared" si="649"/>
        <v>1.1955836181439143</v>
      </c>
      <c r="EI49">
        <f t="shared" si="650"/>
        <v>1.1955836181439143</v>
      </c>
      <c r="EJ49">
        <f t="shared" si="651"/>
        <v>1.1955836181439143</v>
      </c>
      <c r="EK49">
        <f t="shared" si="652"/>
        <v>1.1955836181439143</v>
      </c>
      <c r="EL49">
        <f t="shared" si="653"/>
        <v>1.1955836181439143</v>
      </c>
      <c r="EM49">
        <f t="shared" si="654"/>
        <v>1.1955836181439143</v>
      </c>
      <c r="EN49">
        <f t="shared" si="655"/>
        <v>1.1955836181439143</v>
      </c>
      <c r="EO49">
        <f t="shared" si="656"/>
        <v>1.1955836181439143</v>
      </c>
      <c r="EP49">
        <f t="shared" si="657"/>
        <v>1.1955836181439143</v>
      </c>
      <c r="EQ49">
        <f t="shared" si="658"/>
        <v>1.1955836181439143</v>
      </c>
      <c r="ER49">
        <f t="shared" si="659"/>
        <v>1.1955836181439143</v>
      </c>
      <c r="ES49">
        <f t="shared" si="660"/>
        <v>1.1955836181439143</v>
      </c>
      <c r="ET49">
        <f t="shared" si="661"/>
        <v>1.1955836181439143</v>
      </c>
      <c r="EU49">
        <f t="shared" si="662"/>
        <v>1.1955836181439143</v>
      </c>
      <c r="EV49">
        <f t="shared" si="663"/>
        <v>1.1955836181439143</v>
      </c>
      <c r="EW49">
        <f t="shared" si="664"/>
        <v>1.1955836181439143</v>
      </c>
      <c r="EX49">
        <f t="shared" si="665"/>
        <v>1.1955836181439143</v>
      </c>
      <c r="EY49">
        <f t="shared" si="666"/>
        <v>1.1955836181439143</v>
      </c>
      <c r="EZ49">
        <f t="shared" si="667"/>
        <v>1.1955836181439143</v>
      </c>
      <c r="FA49">
        <f t="shared" si="668"/>
        <v>1.1955836181439143</v>
      </c>
      <c r="FB49">
        <f t="shared" si="669"/>
        <v>1.1955836181439143</v>
      </c>
      <c r="FC49">
        <f t="shared" si="670"/>
        <v>1.1955836181439143</v>
      </c>
      <c r="FD49">
        <f t="shared" si="671"/>
        <v>1.1955836181439143</v>
      </c>
      <c r="FE49">
        <f t="shared" si="672"/>
        <v>1.1955836181439143</v>
      </c>
      <c r="FF49">
        <f t="shared" si="673"/>
        <v>1.1955836181439143</v>
      </c>
      <c r="FG49">
        <f t="shared" si="674"/>
        <v>1.1955836181439143</v>
      </c>
      <c r="FH49">
        <f t="shared" si="675"/>
        <v>1.1955836181439143</v>
      </c>
      <c r="FI49">
        <f t="shared" si="676"/>
        <v>1.1955836181439143</v>
      </c>
      <c r="FJ49">
        <f t="shared" si="677"/>
        <v>1.1955836181439143</v>
      </c>
      <c r="FK49">
        <f t="shared" si="678"/>
        <v>1.1955836181439143</v>
      </c>
      <c r="FL49">
        <f t="shared" si="679"/>
        <v>1.1955836181439143</v>
      </c>
      <c r="FM49">
        <f t="shared" si="680"/>
        <v>1.1955836181439143</v>
      </c>
      <c r="FN49">
        <f t="shared" si="681"/>
        <v>1.1955836181439143</v>
      </c>
      <c r="FO49">
        <f t="shared" si="682"/>
        <v>1.1955836181439143</v>
      </c>
      <c r="FP49">
        <f t="shared" si="683"/>
        <v>1.1955836181439143</v>
      </c>
      <c r="FQ49">
        <f t="shared" si="684"/>
        <v>1.1955836181439143</v>
      </c>
      <c r="FR49">
        <f t="shared" si="685"/>
        <v>1.1955836181439143</v>
      </c>
      <c r="FS49">
        <f t="shared" si="686"/>
        <v>1.1955836181439143</v>
      </c>
      <c r="FT49">
        <f t="shared" si="687"/>
        <v>1.1955836181439143</v>
      </c>
      <c r="FU49">
        <f t="shared" si="688"/>
        <v>1.1955836181439143</v>
      </c>
      <c r="FV49">
        <f t="shared" si="689"/>
        <v>1.1955836181439143</v>
      </c>
      <c r="FW49">
        <f t="shared" si="690"/>
        <v>1.1955836181439143</v>
      </c>
      <c r="FX49">
        <f t="shared" si="691"/>
        <v>1.1955836181439143</v>
      </c>
      <c r="FY49">
        <f t="shared" si="692"/>
        <v>1.1955836181439143</v>
      </c>
      <c r="FZ49">
        <f t="shared" si="693"/>
        <v>1.1955836181439143</v>
      </c>
      <c r="GA49">
        <f t="shared" si="694"/>
        <v>1.1955836181439143</v>
      </c>
      <c r="GB49">
        <f t="shared" si="695"/>
        <v>1.1955836181439143</v>
      </c>
      <c r="GC49">
        <f t="shared" si="696"/>
        <v>1.1955836181439143</v>
      </c>
      <c r="GD49">
        <f t="shared" si="697"/>
        <v>1.1955836181439143</v>
      </c>
      <c r="GE49">
        <f t="shared" si="698"/>
        <v>1.1955836181439143</v>
      </c>
      <c r="GF49">
        <f t="shared" si="699"/>
        <v>1.1955836181439143</v>
      </c>
      <c r="GG49">
        <f t="shared" si="700"/>
        <v>1.1955836181439143</v>
      </c>
      <c r="GH49">
        <f t="shared" si="701"/>
        <v>1.1955836181439143</v>
      </c>
      <c r="GI49">
        <f t="shared" si="702"/>
        <v>1.1955836181439143</v>
      </c>
      <c r="GJ49">
        <f t="shared" si="703"/>
        <v>1.1955836181439143</v>
      </c>
      <c r="GK49">
        <f t="shared" si="704"/>
        <v>1.1955836181439143</v>
      </c>
      <c r="GL49">
        <f t="shared" si="705"/>
        <v>1.1955836181439143</v>
      </c>
      <c r="GM49">
        <f t="shared" si="706"/>
        <v>1.1955836181439143</v>
      </c>
      <c r="GN49">
        <f t="shared" si="707"/>
        <v>1.1955836181439143</v>
      </c>
      <c r="GO49">
        <f t="shared" si="708"/>
        <v>1.1955836181439143</v>
      </c>
      <c r="GP49">
        <f t="shared" si="709"/>
        <v>1.1955836181439143</v>
      </c>
      <c r="GQ49">
        <f t="shared" si="710"/>
        <v>1.1955836181439143</v>
      </c>
      <c r="GR49">
        <f t="shared" si="711"/>
        <v>1.1955836181439143</v>
      </c>
      <c r="GS49">
        <f t="shared" si="712"/>
        <v>1.1955836181439143</v>
      </c>
      <c r="GT49">
        <f t="shared" si="713"/>
        <v>1.1955836181439143</v>
      </c>
      <c r="GU49">
        <f t="shared" si="714"/>
        <v>1.1955836181439143</v>
      </c>
      <c r="GV49">
        <f t="shared" si="715"/>
        <v>1.1955836181439143</v>
      </c>
      <c r="GW49">
        <f t="shared" si="716"/>
        <v>1.1955836181439143</v>
      </c>
      <c r="GX49">
        <f t="shared" si="717"/>
        <v>1.1955836181439143</v>
      </c>
      <c r="GY49">
        <f t="shared" si="718"/>
        <v>1.1955836181439143</v>
      </c>
      <c r="GZ49">
        <f t="shared" si="719"/>
        <v>1.1955836181439143</v>
      </c>
      <c r="HA49">
        <f t="shared" si="720"/>
        <v>1.1955836181439143</v>
      </c>
      <c r="HB49">
        <f t="shared" si="721"/>
        <v>1.1955836181439143</v>
      </c>
      <c r="HC49">
        <f t="shared" si="722"/>
        <v>1.1955836181439143</v>
      </c>
      <c r="HD49">
        <f t="shared" si="723"/>
        <v>1.1955836181439143</v>
      </c>
      <c r="HE49">
        <f t="shared" si="724"/>
        <v>1.1955836181439143</v>
      </c>
      <c r="HF49">
        <f t="shared" si="725"/>
        <v>1.1955836181439143</v>
      </c>
      <c r="HG49">
        <f t="shared" si="726"/>
        <v>1.1955836181439143</v>
      </c>
      <c r="HH49">
        <f t="shared" si="727"/>
        <v>1.1955836181439143</v>
      </c>
      <c r="HI49">
        <f t="shared" si="728"/>
        <v>1.1955836181439143</v>
      </c>
      <c r="HJ49">
        <f t="shared" si="729"/>
        <v>1.1955836181439143</v>
      </c>
      <c r="HK49">
        <f t="shared" si="730"/>
        <v>1.1955836181439143</v>
      </c>
      <c r="HL49">
        <f t="shared" si="731"/>
        <v>1.1955836181439143</v>
      </c>
      <c r="HM49">
        <f t="shared" si="732"/>
        <v>1.1955836181439143</v>
      </c>
      <c r="HN49">
        <f t="shared" si="733"/>
        <v>1.1955836181439143</v>
      </c>
      <c r="HO49">
        <f t="shared" si="734"/>
        <v>1.1955836181439143</v>
      </c>
      <c r="HP49">
        <f t="shared" si="735"/>
        <v>1.1955836181439143</v>
      </c>
      <c r="HQ49">
        <f t="shared" si="736"/>
        <v>1.1955836181439143</v>
      </c>
      <c r="HR49">
        <f t="shared" si="737"/>
        <v>1.1955836181439143</v>
      </c>
      <c r="HS49">
        <f t="shared" si="738"/>
        <v>1.1955836181439143</v>
      </c>
      <c r="HT49">
        <f t="shared" si="739"/>
        <v>1.1955836181439143</v>
      </c>
      <c r="HU49">
        <f t="shared" si="740"/>
        <v>1.1955836181439143</v>
      </c>
      <c r="HV49">
        <f t="shared" si="741"/>
        <v>1.1955836181439143</v>
      </c>
      <c r="HW49">
        <f t="shared" si="742"/>
        <v>1.1955836181439143</v>
      </c>
      <c r="HX49">
        <f t="shared" si="743"/>
        <v>1.1955836181439143</v>
      </c>
      <c r="HY49">
        <f t="shared" si="744"/>
        <v>1.1955836181439143</v>
      </c>
      <c r="HZ49">
        <f t="shared" si="745"/>
        <v>1.1955836181439143</v>
      </c>
      <c r="IA49">
        <f t="shared" si="746"/>
        <v>1.1955836181439143</v>
      </c>
      <c r="IB49">
        <f t="shared" si="747"/>
        <v>1.1955836181439143</v>
      </c>
      <c r="IC49">
        <f t="shared" si="748"/>
        <v>1.1955836181439143</v>
      </c>
      <c r="ID49">
        <f t="shared" si="749"/>
        <v>1.1955836181439143</v>
      </c>
      <c r="IE49">
        <f t="shared" si="750"/>
        <v>1.1955836181439143</v>
      </c>
      <c r="IF49">
        <f t="shared" si="751"/>
        <v>1.1955836181439143</v>
      </c>
      <c r="IG49">
        <f t="shared" si="752"/>
        <v>1.1955836181439143</v>
      </c>
      <c r="IH49">
        <f t="shared" si="753"/>
        <v>1.1955836181439143</v>
      </c>
      <c r="II49">
        <f t="shared" si="754"/>
        <v>1.1955836181439143</v>
      </c>
      <c r="IJ49">
        <f t="shared" si="755"/>
        <v>1.1955836181439143</v>
      </c>
      <c r="IK49">
        <f t="shared" si="756"/>
        <v>1.1955836181439143</v>
      </c>
      <c r="IL49">
        <f t="shared" si="757"/>
        <v>1.1955836181439143</v>
      </c>
      <c r="IM49">
        <f t="shared" si="758"/>
        <v>1.1955836181439143</v>
      </c>
      <c r="IN49">
        <f t="shared" si="759"/>
        <v>1.1955836181439143</v>
      </c>
      <c r="IO49">
        <f t="shared" si="760"/>
        <v>1.1955836181439143</v>
      </c>
      <c r="IP49">
        <f t="shared" si="761"/>
        <v>1.1955836181439143</v>
      </c>
      <c r="IQ49">
        <f t="shared" si="762"/>
        <v>1.1955836181439143</v>
      </c>
      <c r="IR49">
        <f t="shared" si="763"/>
        <v>1.1955836181439143</v>
      </c>
      <c r="IS49">
        <f t="shared" si="764"/>
        <v>1.1955836181439143</v>
      </c>
      <c r="IT49">
        <f t="shared" si="765"/>
        <v>1.1955836181439143</v>
      </c>
      <c r="IU49">
        <f t="shared" si="766"/>
        <v>1.1955836181439143</v>
      </c>
      <c r="IV49">
        <f t="shared" si="767"/>
        <v>1.1955836181439143</v>
      </c>
    </row>
    <row r="50" spans="1:256" x14ac:dyDescent="0.2">
      <c r="A50" t="s">
        <v>521</v>
      </c>
      <c r="B50">
        <f t="shared" si="513"/>
        <v>1.3866254213376783</v>
      </c>
      <c r="C50">
        <f t="shared" si="514"/>
        <v>1.3866254213376783</v>
      </c>
      <c r="D50">
        <f t="shared" si="515"/>
        <v>1.3866254213376783</v>
      </c>
      <c r="E50">
        <f t="shared" si="516"/>
        <v>1.3866254213376783</v>
      </c>
      <c r="F50">
        <f t="shared" si="517"/>
        <v>1.3866254213376783</v>
      </c>
      <c r="G50">
        <f t="shared" si="518"/>
        <v>1.3866254213376783</v>
      </c>
      <c r="H50">
        <f t="shared" si="519"/>
        <v>1.3866254213376783</v>
      </c>
      <c r="I50">
        <f t="shared" si="520"/>
        <v>1.3866254213376783</v>
      </c>
      <c r="J50">
        <f t="shared" si="521"/>
        <v>0.78378221304046125</v>
      </c>
      <c r="K50">
        <f t="shared" si="522"/>
        <v>0.78378221304046125</v>
      </c>
      <c r="L50">
        <f t="shared" si="523"/>
        <v>0.78378221304046125</v>
      </c>
      <c r="M50">
        <f t="shared" si="524"/>
        <v>0.78378221304046125</v>
      </c>
      <c r="N50">
        <f t="shared" si="525"/>
        <v>0.78378221304046125</v>
      </c>
      <c r="O50">
        <f t="shared" si="526"/>
        <v>0.78378221304046125</v>
      </c>
      <c r="P50">
        <f t="shared" si="527"/>
        <v>0.78378221304046125</v>
      </c>
      <c r="Q50">
        <f t="shared" si="528"/>
        <v>0.78378221304046125</v>
      </c>
      <c r="R50">
        <f t="shared" si="529"/>
        <v>1.0862396960066762</v>
      </c>
      <c r="S50">
        <f t="shared" si="530"/>
        <v>1.0862396960066762</v>
      </c>
      <c r="T50">
        <f t="shared" si="531"/>
        <v>1.0862396960066762</v>
      </c>
      <c r="U50">
        <f t="shared" si="532"/>
        <v>1.0862396960066762</v>
      </c>
      <c r="V50">
        <f t="shared" si="533"/>
        <v>1.0862396960066762</v>
      </c>
      <c r="W50">
        <f t="shared" si="534"/>
        <v>1.0862396960066762</v>
      </c>
      <c r="X50">
        <f t="shared" si="535"/>
        <v>1.0862396960066762</v>
      </c>
      <c r="Y50">
        <f t="shared" si="536"/>
        <v>1.0862396960066762</v>
      </c>
      <c r="Z50">
        <f t="shared" si="537"/>
        <v>1.0062650038175254</v>
      </c>
      <c r="AA50">
        <f t="shared" si="538"/>
        <v>1.0062650038175254</v>
      </c>
      <c r="AB50">
        <f t="shared" si="539"/>
        <v>1.0062650038175254</v>
      </c>
      <c r="AC50">
        <f t="shared" si="540"/>
        <v>1.0062650038175254</v>
      </c>
      <c r="AD50">
        <f t="shared" si="541"/>
        <v>1.0062650038175254</v>
      </c>
      <c r="AE50">
        <f t="shared" si="542"/>
        <v>1.0062650038175254</v>
      </c>
      <c r="AF50">
        <f t="shared" si="543"/>
        <v>1.0062650038175254</v>
      </c>
      <c r="AG50">
        <f t="shared" si="544"/>
        <v>1.0062650038175254</v>
      </c>
      <c r="AH50">
        <f t="shared" si="545"/>
        <v>0.42901557922363281</v>
      </c>
      <c r="AI50">
        <f t="shared" si="546"/>
        <v>0.42901557922363281</v>
      </c>
      <c r="AJ50">
        <f t="shared" si="547"/>
        <v>0.42901557922363281</v>
      </c>
      <c r="AK50">
        <f t="shared" si="548"/>
        <v>0.42901557922363281</v>
      </c>
      <c r="AL50">
        <f t="shared" si="549"/>
        <v>0.42901557922363281</v>
      </c>
      <c r="AM50">
        <f t="shared" si="550"/>
        <v>0.42901557922363281</v>
      </c>
      <c r="AN50">
        <f t="shared" si="551"/>
        <v>0.42901557922363281</v>
      </c>
      <c r="AO50">
        <f t="shared" si="552"/>
        <v>0.42901557922363281</v>
      </c>
      <c r="AP50">
        <f t="shared" si="553"/>
        <v>0.85803115844726563</v>
      </c>
      <c r="AQ50">
        <f t="shared" si="554"/>
        <v>0.85803115844726563</v>
      </c>
      <c r="AR50">
        <f t="shared" si="555"/>
        <v>0.85803115844726563</v>
      </c>
      <c r="AS50">
        <f t="shared" si="556"/>
        <v>0.85803115844726563</v>
      </c>
      <c r="AT50">
        <f t="shared" si="557"/>
        <v>0.85803115844726563</v>
      </c>
      <c r="AU50">
        <f t="shared" si="558"/>
        <v>0.85803115844726563</v>
      </c>
      <c r="AV50">
        <f t="shared" si="559"/>
        <v>0.85803115844726563</v>
      </c>
      <c r="AW50">
        <f t="shared" si="560"/>
        <v>0.85803115844726563</v>
      </c>
      <c r="AX50">
        <f t="shared" si="561"/>
        <v>0.99999890295439675</v>
      </c>
      <c r="AY50">
        <f t="shared" si="562"/>
        <v>0.99999890295439675</v>
      </c>
      <c r="AZ50">
        <f t="shared" si="563"/>
        <v>0.99999890295439675</v>
      </c>
      <c r="BA50">
        <f t="shared" si="564"/>
        <v>0.99999890295439675</v>
      </c>
      <c r="BB50">
        <f t="shared" si="565"/>
        <v>0.99999890295439675</v>
      </c>
      <c r="BC50">
        <f t="shared" si="566"/>
        <v>0.99999890295439675</v>
      </c>
      <c r="BD50">
        <f t="shared" si="567"/>
        <v>0.99999890295439675</v>
      </c>
      <c r="BE50">
        <f t="shared" si="568"/>
        <v>0.99999890295439675</v>
      </c>
      <c r="BF50">
        <f t="shared" si="569"/>
        <v>0.99999890295439675</v>
      </c>
      <c r="BG50">
        <f t="shared" si="570"/>
        <v>0.99999890295439675</v>
      </c>
      <c r="BH50">
        <f t="shared" si="571"/>
        <v>0.99999890295439675</v>
      </c>
      <c r="BI50">
        <f t="shared" si="572"/>
        <v>0.99999890295439675</v>
      </c>
      <c r="BJ50">
        <f t="shared" si="573"/>
        <v>0.99999890295439675</v>
      </c>
      <c r="BK50">
        <f t="shared" si="574"/>
        <v>0.99999890295439675</v>
      </c>
      <c r="BL50">
        <f t="shared" si="575"/>
        <v>0.99999890295439675</v>
      </c>
      <c r="BM50">
        <f t="shared" si="576"/>
        <v>0.99999890295439675</v>
      </c>
      <c r="BN50">
        <f t="shared" si="577"/>
        <v>0.99999890295439675</v>
      </c>
      <c r="BO50">
        <f t="shared" si="578"/>
        <v>0.99999890295439675</v>
      </c>
      <c r="BP50">
        <f t="shared" si="579"/>
        <v>0.99999890295439675</v>
      </c>
      <c r="BQ50">
        <f t="shared" si="580"/>
        <v>0.99999890295439675</v>
      </c>
      <c r="BR50">
        <f t="shared" si="581"/>
        <v>0.99999890295439675</v>
      </c>
      <c r="BS50">
        <f t="shared" si="582"/>
        <v>0.99999890295439675</v>
      </c>
      <c r="BT50">
        <f t="shared" si="583"/>
        <v>0.99999890295439675</v>
      </c>
      <c r="BU50">
        <f t="shared" si="584"/>
        <v>0.99999890295439675</v>
      </c>
      <c r="BV50">
        <f t="shared" si="585"/>
        <v>0.99999890295439675</v>
      </c>
      <c r="BW50">
        <f t="shared" si="586"/>
        <v>0.99999890295439675</v>
      </c>
      <c r="BX50">
        <f t="shared" si="587"/>
        <v>0.99999890295439675</v>
      </c>
      <c r="BY50">
        <f t="shared" si="588"/>
        <v>0.99999890295439675</v>
      </c>
      <c r="BZ50">
        <f t="shared" si="589"/>
        <v>0.99999890295439675</v>
      </c>
      <c r="CA50">
        <f t="shared" si="590"/>
        <v>0.99999890295439675</v>
      </c>
      <c r="CB50">
        <f t="shared" si="591"/>
        <v>0.99999890295439675</v>
      </c>
      <c r="CC50">
        <f t="shared" si="592"/>
        <v>0.99999890295439675</v>
      </c>
      <c r="CD50">
        <f t="shared" si="593"/>
        <v>0.99999890295439675</v>
      </c>
      <c r="CE50">
        <f t="shared" si="594"/>
        <v>0.99999890295439675</v>
      </c>
      <c r="CF50">
        <f t="shared" si="595"/>
        <v>0.99999890295439675</v>
      </c>
      <c r="CG50">
        <f t="shared" si="596"/>
        <v>0.99999890295439675</v>
      </c>
      <c r="CH50">
        <f t="shared" si="597"/>
        <v>0.99999890295439675</v>
      </c>
      <c r="CI50">
        <f t="shared" si="598"/>
        <v>0.99999890295439675</v>
      </c>
      <c r="CJ50">
        <f t="shared" si="599"/>
        <v>0.99999890295439675</v>
      </c>
      <c r="CK50">
        <f t="shared" si="600"/>
        <v>0.99999890295439675</v>
      </c>
      <c r="CL50">
        <f t="shared" si="601"/>
        <v>0.99999890295439675</v>
      </c>
      <c r="CM50">
        <f t="shared" si="602"/>
        <v>0.99999890295439675</v>
      </c>
      <c r="CN50">
        <f t="shared" si="603"/>
        <v>0.99999890295439675</v>
      </c>
      <c r="CO50">
        <f t="shared" si="604"/>
        <v>0.99999890295439675</v>
      </c>
      <c r="CP50">
        <f t="shared" si="605"/>
        <v>0.99999890295439675</v>
      </c>
      <c r="CQ50">
        <f t="shared" si="606"/>
        <v>0.99999890295439675</v>
      </c>
      <c r="CR50">
        <f t="shared" si="607"/>
        <v>0.99999890295439675</v>
      </c>
      <c r="CS50">
        <f t="shared" si="608"/>
        <v>0.99999890295439675</v>
      </c>
      <c r="CT50">
        <f t="shared" si="609"/>
        <v>0.99999890295439675</v>
      </c>
      <c r="CU50">
        <f t="shared" si="610"/>
        <v>0.99999890295439675</v>
      </c>
      <c r="CV50">
        <f t="shared" si="611"/>
        <v>0.99999890295439675</v>
      </c>
      <c r="CW50">
        <f t="shared" si="612"/>
        <v>0.99999890295439675</v>
      </c>
      <c r="CX50">
        <f t="shared" si="613"/>
        <v>0.99999890295439675</v>
      </c>
      <c r="CY50">
        <f t="shared" si="614"/>
        <v>0.99999890295439675</v>
      </c>
      <c r="CZ50">
        <f t="shared" si="615"/>
        <v>0.99999890295439675</v>
      </c>
      <c r="DA50">
        <f t="shared" si="616"/>
        <v>0.99999890295439675</v>
      </c>
      <c r="DB50">
        <f t="shared" si="617"/>
        <v>0.99999890295439675</v>
      </c>
      <c r="DC50">
        <f t="shared" si="618"/>
        <v>0.99999890295439675</v>
      </c>
      <c r="DD50">
        <f t="shared" si="619"/>
        <v>0.99999890295439675</v>
      </c>
      <c r="DE50">
        <f t="shared" si="620"/>
        <v>0.99999890295439675</v>
      </c>
      <c r="DF50">
        <f t="shared" si="621"/>
        <v>0.99999890295439675</v>
      </c>
      <c r="DG50">
        <f t="shared" si="622"/>
        <v>0.99999890295439675</v>
      </c>
      <c r="DH50">
        <f t="shared" si="623"/>
        <v>0.99999890295439675</v>
      </c>
      <c r="DI50">
        <f t="shared" si="624"/>
        <v>0.99999890295439675</v>
      </c>
      <c r="DJ50">
        <f t="shared" si="625"/>
        <v>0.99999890295439675</v>
      </c>
      <c r="DK50">
        <f t="shared" si="626"/>
        <v>0.99999890295439675</v>
      </c>
      <c r="DL50">
        <f t="shared" si="627"/>
        <v>0.99999890295439675</v>
      </c>
      <c r="DM50">
        <f t="shared" si="628"/>
        <v>0.99999890295439675</v>
      </c>
      <c r="DN50">
        <f t="shared" si="629"/>
        <v>0.99999890295439675</v>
      </c>
      <c r="DO50">
        <f t="shared" si="630"/>
        <v>0.99999890295439675</v>
      </c>
      <c r="DP50">
        <f t="shared" si="631"/>
        <v>0.99999890295439675</v>
      </c>
      <c r="DQ50">
        <f t="shared" si="632"/>
        <v>0.99999890295439675</v>
      </c>
      <c r="DR50">
        <f t="shared" si="633"/>
        <v>0.99999890295439675</v>
      </c>
      <c r="DS50">
        <f t="shared" si="634"/>
        <v>0.99999890295439675</v>
      </c>
      <c r="DT50">
        <f t="shared" si="635"/>
        <v>0.99999890295439675</v>
      </c>
      <c r="DU50">
        <f t="shared" si="636"/>
        <v>0.99999890295439675</v>
      </c>
      <c r="DV50">
        <f t="shared" si="637"/>
        <v>0.99999890295439675</v>
      </c>
      <c r="DW50">
        <f t="shared" si="638"/>
        <v>0.99999890295439675</v>
      </c>
      <c r="DX50">
        <f t="shared" si="639"/>
        <v>0.99999890295439675</v>
      </c>
      <c r="DY50">
        <f t="shared" si="640"/>
        <v>0.99999890295439675</v>
      </c>
      <c r="DZ50">
        <f t="shared" si="641"/>
        <v>0.99999890295439675</v>
      </c>
      <c r="EA50">
        <f t="shared" si="642"/>
        <v>0.99999890295439675</v>
      </c>
      <c r="EB50">
        <f t="shared" si="643"/>
        <v>0.99999890295439675</v>
      </c>
      <c r="EC50">
        <f t="shared" si="644"/>
        <v>0.99999890295439675</v>
      </c>
      <c r="ED50">
        <f t="shared" si="645"/>
        <v>0.99999890295439675</v>
      </c>
      <c r="EE50">
        <f t="shared" si="646"/>
        <v>0.99999890295439675</v>
      </c>
      <c r="EF50">
        <f t="shared" si="647"/>
        <v>0.99999890295439675</v>
      </c>
      <c r="EG50">
        <f t="shared" si="648"/>
        <v>0.99999890295439675</v>
      </c>
      <c r="EH50">
        <f t="shared" si="649"/>
        <v>0.99999890295439675</v>
      </c>
      <c r="EI50">
        <f t="shared" si="650"/>
        <v>0.99999890295439675</v>
      </c>
      <c r="EJ50">
        <f t="shared" si="651"/>
        <v>0.99999890295439675</v>
      </c>
      <c r="EK50">
        <f t="shared" si="652"/>
        <v>0.99999890295439675</v>
      </c>
      <c r="EL50">
        <f t="shared" si="653"/>
        <v>0.99999890295439675</v>
      </c>
      <c r="EM50">
        <f t="shared" si="654"/>
        <v>0.99999890295439675</v>
      </c>
      <c r="EN50">
        <f t="shared" si="655"/>
        <v>0.99999890295439675</v>
      </c>
      <c r="EO50">
        <f t="shared" si="656"/>
        <v>0.99999890295439675</v>
      </c>
      <c r="EP50">
        <f t="shared" si="657"/>
        <v>0.99999890295439675</v>
      </c>
      <c r="EQ50">
        <f t="shared" si="658"/>
        <v>0.99999890295439675</v>
      </c>
      <c r="ER50">
        <f t="shared" si="659"/>
        <v>0.99999890295439675</v>
      </c>
      <c r="ES50">
        <f t="shared" si="660"/>
        <v>0.99999890295439675</v>
      </c>
      <c r="ET50">
        <f t="shared" si="661"/>
        <v>0.99999890295439675</v>
      </c>
      <c r="EU50">
        <f t="shared" si="662"/>
        <v>0.99999890295439675</v>
      </c>
      <c r="EV50">
        <f t="shared" si="663"/>
        <v>0.99999890295439675</v>
      </c>
      <c r="EW50">
        <f t="shared" si="664"/>
        <v>0.99999890295439675</v>
      </c>
      <c r="EX50">
        <f t="shared" si="665"/>
        <v>0.99999890295439675</v>
      </c>
      <c r="EY50">
        <f t="shared" si="666"/>
        <v>0.99999890295439675</v>
      </c>
      <c r="EZ50">
        <f t="shared" si="667"/>
        <v>0.99999890295439675</v>
      </c>
      <c r="FA50">
        <f t="shared" si="668"/>
        <v>0.99999890295439675</v>
      </c>
      <c r="FB50">
        <f t="shared" si="669"/>
        <v>0.99999890295439675</v>
      </c>
      <c r="FC50">
        <f t="shared" si="670"/>
        <v>0.99999890295439675</v>
      </c>
      <c r="FD50">
        <f t="shared" si="671"/>
        <v>0.99999890295439675</v>
      </c>
      <c r="FE50">
        <f t="shared" si="672"/>
        <v>0.99999890295439675</v>
      </c>
      <c r="FF50">
        <f t="shared" si="673"/>
        <v>0.99999890295439675</v>
      </c>
      <c r="FG50">
        <f t="shared" si="674"/>
        <v>0.99999890295439675</v>
      </c>
      <c r="FH50">
        <f t="shared" si="675"/>
        <v>0.99999890295439675</v>
      </c>
      <c r="FI50">
        <f t="shared" si="676"/>
        <v>0.99999890295439675</v>
      </c>
      <c r="FJ50">
        <f t="shared" si="677"/>
        <v>0.99999890295439675</v>
      </c>
      <c r="FK50">
        <f t="shared" si="678"/>
        <v>0.99999890295439675</v>
      </c>
      <c r="FL50">
        <f t="shared" si="679"/>
        <v>0.99999890295439675</v>
      </c>
      <c r="FM50">
        <f t="shared" si="680"/>
        <v>0.99999890295439675</v>
      </c>
      <c r="FN50">
        <f t="shared" si="681"/>
        <v>0.99999890295439675</v>
      </c>
      <c r="FO50">
        <f t="shared" si="682"/>
        <v>0.99999890295439675</v>
      </c>
      <c r="FP50">
        <f t="shared" si="683"/>
        <v>0.99999890295439675</v>
      </c>
      <c r="FQ50">
        <f t="shared" si="684"/>
        <v>0.99999890295439675</v>
      </c>
      <c r="FR50">
        <f t="shared" si="685"/>
        <v>0.99999890295439675</v>
      </c>
      <c r="FS50">
        <f t="shared" si="686"/>
        <v>0.99999890295439675</v>
      </c>
      <c r="FT50">
        <f t="shared" si="687"/>
        <v>0.99999890295439675</v>
      </c>
      <c r="FU50">
        <f t="shared" si="688"/>
        <v>0.99999890295439675</v>
      </c>
      <c r="FV50">
        <f t="shared" si="689"/>
        <v>0.99999890295439675</v>
      </c>
      <c r="FW50">
        <f t="shared" si="690"/>
        <v>0.99999890295439675</v>
      </c>
      <c r="FX50">
        <f t="shared" si="691"/>
        <v>0.99999890295439675</v>
      </c>
      <c r="FY50">
        <f t="shared" si="692"/>
        <v>0.99999890295439675</v>
      </c>
      <c r="FZ50">
        <f t="shared" si="693"/>
        <v>0.99999890295439675</v>
      </c>
      <c r="GA50">
        <f t="shared" si="694"/>
        <v>0.99999890295439675</v>
      </c>
      <c r="GB50">
        <f t="shared" si="695"/>
        <v>0.99999890295439675</v>
      </c>
      <c r="GC50">
        <f t="shared" si="696"/>
        <v>0.99999890295439675</v>
      </c>
      <c r="GD50">
        <f t="shared" si="697"/>
        <v>0.99999890295439675</v>
      </c>
      <c r="GE50">
        <f t="shared" si="698"/>
        <v>0.99999890295439675</v>
      </c>
      <c r="GF50">
        <f t="shared" si="699"/>
        <v>0.99999890295439675</v>
      </c>
      <c r="GG50">
        <f t="shared" si="700"/>
        <v>0.99999890295439675</v>
      </c>
      <c r="GH50">
        <f t="shared" si="701"/>
        <v>0.99999890295439675</v>
      </c>
      <c r="GI50">
        <f t="shared" si="702"/>
        <v>0.99999890295439675</v>
      </c>
      <c r="GJ50">
        <f t="shared" si="703"/>
        <v>0.99999890295439675</v>
      </c>
      <c r="GK50">
        <f t="shared" si="704"/>
        <v>0.99999890295439675</v>
      </c>
      <c r="GL50">
        <f t="shared" si="705"/>
        <v>0.99999890295439675</v>
      </c>
      <c r="GM50">
        <f t="shared" si="706"/>
        <v>0.99999890295439675</v>
      </c>
      <c r="GN50">
        <f t="shared" si="707"/>
        <v>0.99999890295439675</v>
      </c>
      <c r="GO50">
        <f t="shared" si="708"/>
        <v>0.99999890295439675</v>
      </c>
      <c r="GP50">
        <f t="shared" si="709"/>
        <v>0.99999890295439675</v>
      </c>
      <c r="GQ50">
        <f t="shared" si="710"/>
        <v>0.99999890295439675</v>
      </c>
      <c r="GR50">
        <f t="shared" si="711"/>
        <v>0.99999890295439675</v>
      </c>
      <c r="GS50">
        <f t="shared" si="712"/>
        <v>0.99999890295439675</v>
      </c>
      <c r="GT50">
        <f t="shared" si="713"/>
        <v>0.99999890295439675</v>
      </c>
      <c r="GU50">
        <f t="shared" si="714"/>
        <v>0.99999890295439675</v>
      </c>
      <c r="GV50">
        <f t="shared" si="715"/>
        <v>0.99999890295439675</v>
      </c>
      <c r="GW50">
        <f t="shared" si="716"/>
        <v>0.99999890295439675</v>
      </c>
      <c r="GX50">
        <f t="shared" si="717"/>
        <v>0.99999890295439675</v>
      </c>
      <c r="GY50">
        <f t="shared" si="718"/>
        <v>0.99999890295439675</v>
      </c>
      <c r="GZ50">
        <f t="shared" si="719"/>
        <v>0.99999890295439675</v>
      </c>
      <c r="HA50">
        <f t="shared" si="720"/>
        <v>0.99999890295439675</v>
      </c>
      <c r="HB50">
        <f t="shared" si="721"/>
        <v>0.99999890295439675</v>
      </c>
      <c r="HC50">
        <f t="shared" si="722"/>
        <v>0.99999890295439675</v>
      </c>
      <c r="HD50">
        <f t="shared" si="723"/>
        <v>0.99999890295439675</v>
      </c>
      <c r="HE50">
        <f t="shared" si="724"/>
        <v>0.99999890295439675</v>
      </c>
      <c r="HF50">
        <f t="shared" si="725"/>
        <v>0.99999890295439675</v>
      </c>
      <c r="HG50">
        <f t="shared" si="726"/>
        <v>0.99999890295439675</v>
      </c>
      <c r="HH50">
        <f t="shared" si="727"/>
        <v>0.99999890295439675</v>
      </c>
      <c r="HI50">
        <f t="shared" si="728"/>
        <v>0.99999890295439675</v>
      </c>
      <c r="HJ50">
        <f t="shared" si="729"/>
        <v>0.99999890295439675</v>
      </c>
      <c r="HK50">
        <f t="shared" si="730"/>
        <v>0.99999890295439675</v>
      </c>
      <c r="HL50">
        <f t="shared" si="731"/>
        <v>0.99999890295439675</v>
      </c>
      <c r="HM50">
        <f t="shared" si="732"/>
        <v>0.99999890295439675</v>
      </c>
      <c r="HN50">
        <f t="shared" si="733"/>
        <v>0.99999890295439675</v>
      </c>
      <c r="HO50">
        <f t="shared" si="734"/>
        <v>0.99999890295439675</v>
      </c>
      <c r="HP50">
        <f t="shared" si="735"/>
        <v>0.99999890295439675</v>
      </c>
      <c r="HQ50">
        <f t="shared" si="736"/>
        <v>0.99999890295439675</v>
      </c>
      <c r="HR50">
        <f t="shared" si="737"/>
        <v>0.99999890295439675</v>
      </c>
      <c r="HS50">
        <f t="shared" si="738"/>
        <v>0.99999890295439675</v>
      </c>
      <c r="HT50">
        <f t="shared" si="739"/>
        <v>0.99999890295439675</v>
      </c>
      <c r="HU50">
        <f t="shared" si="740"/>
        <v>0.99999890295439675</v>
      </c>
      <c r="HV50">
        <f t="shared" si="741"/>
        <v>0.99999890295439675</v>
      </c>
      <c r="HW50">
        <f t="shared" si="742"/>
        <v>0.99999890295439675</v>
      </c>
      <c r="HX50">
        <f t="shared" si="743"/>
        <v>0.99999890295439675</v>
      </c>
      <c r="HY50">
        <f t="shared" si="744"/>
        <v>0.99999890295439675</v>
      </c>
      <c r="HZ50">
        <f t="shared" si="745"/>
        <v>0.99999890295439675</v>
      </c>
      <c r="IA50">
        <f t="shared" si="746"/>
        <v>0.99999890295439675</v>
      </c>
      <c r="IB50">
        <f t="shared" si="747"/>
        <v>0.99999890295439675</v>
      </c>
      <c r="IC50">
        <f t="shared" si="748"/>
        <v>0.99999890295439675</v>
      </c>
      <c r="ID50">
        <f t="shared" si="749"/>
        <v>0.99999890295439675</v>
      </c>
      <c r="IE50">
        <f t="shared" si="750"/>
        <v>0.99999890295439675</v>
      </c>
      <c r="IF50">
        <f t="shared" si="751"/>
        <v>0.99999890295439675</v>
      </c>
      <c r="IG50">
        <f t="shared" si="752"/>
        <v>0.99999890295439675</v>
      </c>
      <c r="IH50">
        <f t="shared" si="753"/>
        <v>0.99999890295439675</v>
      </c>
      <c r="II50">
        <f t="shared" si="754"/>
        <v>0.99999890295439675</v>
      </c>
      <c r="IJ50">
        <f t="shared" si="755"/>
        <v>0.99999890295439675</v>
      </c>
      <c r="IK50">
        <f t="shared" si="756"/>
        <v>0.99999890295439675</v>
      </c>
      <c r="IL50">
        <f t="shared" si="757"/>
        <v>0.99999890295439675</v>
      </c>
      <c r="IM50">
        <f t="shared" si="758"/>
        <v>0.99999890295439675</v>
      </c>
      <c r="IN50">
        <f t="shared" si="759"/>
        <v>0.99999890295439675</v>
      </c>
      <c r="IO50">
        <f t="shared" si="760"/>
        <v>0.99999890295439675</v>
      </c>
      <c r="IP50">
        <f t="shared" si="761"/>
        <v>0.99999890295439675</v>
      </c>
      <c r="IQ50">
        <f t="shared" si="762"/>
        <v>0.99999890295439675</v>
      </c>
      <c r="IR50">
        <f t="shared" si="763"/>
        <v>0.99999890295439675</v>
      </c>
      <c r="IS50">
        <f t="shared" si="764"/>
        <v>0.99999890295439675</v>
      </c>
      <c r="IT50">
        <f t="shared" si="765"/>
        <v>0.99999890295439675</v>
      </c>
      <c r="IU50">
        <f t="shared" si="766"/>
        <v>0.99999890295439675</v>
      </c>
      <c r="IV50">
        <f t="shared" si="767"/>
        <v>0.99999890295439675</v>
      </c>
    </row>
    <row r="51" spans="1:256" x14ac:dyDescent="0.2">
      <c r="A51" t="s">
        <v>522</v>
      </c>
      <c r="B51">
        <f t="shared" si="513"/>
        <v>0.37530305113551871</v>
      </c>
      <c r="C51">
        <f t="shared" si="514"/>
        <v>0.37530305113551871</v>
      </c>
      <c r="D51">
        <f t="shared" si="515"/>
        <v>0.37530305113551871</v>
      </c>
      <c r="E51">
        <f t="shared" si="516"/>
        <v>0.37530305113551871</v>
      </c>
      <c r="F51">
        <f t="shared" si="517"/>
        <v>0.37530305113551871</v>
      </c>
      <c r="G51">
        <f t="shared" si="518"/>
        <v>0.37530305113551871</v>
      </c>
      <c r="H51">
        <f t="shared" si="519"/>
        <v>0.37530305113551871</v>
      </c>
      <c r="I51">
        <f t="shared" si="520"/>
        <v>0.37530305113551871</v>
      </c>
      <c r="J51">
        <f t="shared" si="521"/>
        <v>0.75060610227103752</v>
      </c>
      <c r="K51">
        <f t="shared" si="522"/>
        <v>0.75060610227103752</v>
      </c>
      <c r="L51">
        <f t="shared" si="523"/>
        <v>0.75060610227103752</v>
      </c>
      <c r="M51">
        <f t="shared" si="524"/>
        <v>0.75060610227103752</v>
      </c>
      <c r="N51">
        <f t="shared" si="525"/>
        <v>0.75060610227103752</v>
      </c>
      <c r="O51">
        <f t="shared" si="526"/>
        <v>0.75060610227103752</v>
      </c>
      <c r="P51">
        <f t="shared" si="527"/>
        <v>0.75060610227103752</v>
      </c>
      <c r="Q51">
        <f t="shared" si="528"/>
        <v>0.75060610227103752</v>
      </c>
      <c r="R51">
        <f t="shared" si="529"/>
        <v>0.64659921769035633</v>
      </c>
      <c r="S51">
        <f t="shared" si="530"/>
        <v>0.64659921769035633</v>
      </c>
      <c r="T51">
        <f t="shared" si="531"/>
        <v>0.64659921769035633</v>
      </c>
      <c r="U51">
        <f t="shared" si="532"/>
        <v>0.64659921769035633</v>
      </c>
      <c r="V51">
        <f t="shared" si="533"/>
        <v>0.64659921769035633</v>
      </c>
      <c r="W51">
        <f t="shared" si="534"/>
        <v>0.64659921769035633</v>
      </c>
      <c r="X51">
        <f t="shared" si="535"/>
        <v>0.64659921769035633</v>
      </c>
      <c r="Y51">
        <f t="shared" si="536"/>
        <v>0.64659921769035633</v>
      </c>
      <c r="Z51">
        <f t="shared" si="537"/>
        <v>0.53978941844687023</v>
      </c>
      <c r="AA51">
        <f t="shared" si="538"/>
        <v>0.53978941844687023</v>
      </c>
      <c r="AB51">
        <f t="shared" si="539"/>
        <v>0.53978941844687023</v>
      </c>
      <c r="AC51">
        <f t="shared" si="540"/>
        <v>0.53978941844687023</v>
      </c>
      <c r="AD51">
        <f t="shared" si="541"/>
        <v>0.53978941844687023</v>
      </c>
      <c r="AE51">
        <f t="shared" si="542"/>
        <v>0.53978941844687023</v>
      </c>
      <c r="AF51">
        <f t="shared" si="543"/>
        <v>0.53978941844687023</v>
      </c>
      <c r="AG51">
        <f t="shared" si="544"/>
        <v>0.53978941844687023</v>
      </c>
      <c r="AH51">
        <f t="shared" si="545"/>
        <v>0.46971038818359373</v>
      </c>
      <c r="AI51">
        <f t="shared" si="546"/>
        <v>0.46971038818359373</v>
      </c>
      <c r="AJ51">
        <f t="shared" si="547"/>
        <v>0.46971038818359373</v>
      </c>
      <c r="AK51">
        <f t="shared" si="548"/>
        <v>0.46971038818359373</v>
      </c>
      <c r="AL51">
        <f t="shared" si="549"/>
        <v>0.46971038818359373</v>
      </c>
      <c r="AM51">
        <f t="shared" si="550"/>
        <v>0.46971038818359373</v>
      </c>
      <c r="AN51">
        <f t="shared" si="551"/>
        <v>0.46971038818359373</v>
      </c>
      <c r="AO51">
        <f t="shared" si="552"/>
        <v>0.46971038818359373</v>
      </c>
      <c r="AP51">
        <f t="shared" si="553"/>
        <v>0.1</v>
      </c>
      <c r="AQ51">
        <f t="shared" si="554"/>
        <v>0.1</v>
      </c>
      <c r="AR51">
        <f t="shared" si="555"/>
        <v>0.1</v>
      </c>
      <c r="AS51">
        <f t="shared" si="556"/>
        <v>0.1</v>
      </c>
      <c r="AT51">
        <f t="shared" si="557"/>
        <v>0.1</v>
      </c>
      <c r="AU51">
        <f t="shared" si="558"/>
        <v>0.1</v>
      </c>
      <c r="AV51">
        <f t="shared" si="559"/>
        <v>0.1</v>
      </c>
      <c r="AW51">
        <f t="shared" si="560"/>
        <v>0.1</v>
      </c>
      <c r="AX51">
        <f t="shared" si="561"/>
        <v>0.1</v>
      </c>
      <c r="AY51">
        <f t="shared" si="562"/>
        <v>0.1</v>
      </c>
      <c r="AZ51">
        <f t="shared" si="563"/>
        <v>0.1</v>
      </c>
      <c r="BA51">
        <f t="shared" si="564"/>
        <v>0.1</v>
      </c>
      <c r="BB51">
        <f t="shared" si="565"/>
        <v>0.1</v>
      </c>
      <c r="BC51">
        <f t="shared" si="566"/>
        <v>0.1</v>
      </c>
      <c r="BD51">
        <f t="shared" si="567"/>
        <v>0.1</v>
      </c>
      <c r="BE51">
        <f t="shared" si="568"/>
        <v>0.1</v>
      </c>
      <c r="BF51">
        <f t="shared" si="569"/>
        <v>0.1</v>
      </c>
      <c r="BG51">
        <f t="shared" si="570"/>
        <v>0.1</v>
      </c>
      <c r="BH51">
        <f t="shared" si="571"/>
        <v>0.1</v>
      </c>
      <c r="BI51">
        <f t="shared" si="572"/>
        <v>0.1</v>
      </c>
      <c r="BJ51">
        <f t="shared" si="573"/>
        <v>0.1</v>
      </c>
      <c r="BK51">
        <f t="shared" si="574"/>
        <v>0.1</v>
      </c>
      <c r="BL51">
        <f t="shared" si="575"/>
        <v>0.1</v>
      </c>
      <c r="BM51">
        <f t="shared" si="576"/>
        <v>0.1</v>
      </c>
      <c r="BN51">
        <f t="shared" si="577"/>
        <v>0.1</v>
      </c>
      <c r="BO51">
        <f t="shared" si="578"/>
        <v>0.1</v>
      </c>
      <c r="BP51">
        <f t="shared" si="579"/>
        <v>0.1</v>
      </c>
      <c r="BQ51">
        <f t="shared" si="580"/>
        <v>0.1</v>
      </c>
      <c r="BR51">
        <f t="shared" si="581"/>
        <v>0.1</v>
      </c>
      <c r="BS51">
        <f t="shared" si="582"/>
        <v>0.1</v>
      </c>
      <c r="BT51">
        <f t="shared" si="583"/>
        <v>0.1</v>
      </c>
      <c r="BU51">
        <f t="shared" si="584"/>
        <v>0.1</v>
      </c>
      <c r="BV51">
        <f t="shared" si="585"/>
        <v>0.1</v>
      </c>
      <c r="BW51">
        <f t="shared" si="586"/>
        <v>0.1</v>
      </c>
      <c r="BX51">
        <f t="shared" si="587"/>
        <v>0.1</v>
      </c>
      <c r="BY51">
        <f t="shared" si="588"/>
        <v>0.1</v>
      </c>
      <c r="BZ51">
        <f t="shared" si="589"/>
        <v>0.1</v>
      </c>
      <c r="CA51">
        <f t="shared" si="590"/>
        <v>0.1</v>
      </c>
      <c r="CB51">
        <f t="shared" si="591"/>
        <v>0.1</v>
      </c>
      <c r="CC51">
        <f t="shared" si="592"/>
        <v>0.1</v>
      </c>
      <c r="CD51">
        <f t="shared" si="593"/>
        <v>0.1</v>
      </c>
      <c r="CE51">
        <f t="shared" si="594"/>
        <v>0.1</v>
      </c>
      <c r="CF51">
        <f t="shared" si="595"/>
        <v>0.1</v>
      </c>
      <c r="CG51">
        <f t="shared" si="596"/>
        <v>0.1</v>
      </c>
      <c r="CH51">
        <f t="shared" si="597"/>
        <v>0.1</v>
      </c>
      <c r="CI51">
        <f t="shared" si="598"/>
        <v>0.1</v>
      </c>
      <c r="CJ51">
        <f t="shared" si="599"/>
        <v>0.1</v>
      </c>
      <c r="CK51">
        <f t="shared" si="600"/>
        <v>0.1</v>
      </c>
      <c r="CL51">
        <f t="shared" si="601"/>
        <v>0.1</v>
      </c>
      <c r="CM51">
        <f t="shared" si="602"/>
        <v>0.1</v>
      </c>
      <c r="CN51">
        <f t="shared" si="603"/>
        <v>0.1</v>
      </c>
      <c r="CO51">
        <f t="shared" si="604"/>
        <v>0.1</v>
      </c>
      <c r="CP51">
        <f t="shared" si="605"/>
        <v>0.1</v>
      </c>
      <c r="CQ51">
        <f t="shared" si="606"/>
        <v>0.1</v>
      </c>
      <c r="CR51">
        <f t="shared" si="607"/>
        <v>0.1</v>
      </c>
      <c r="CS51">
        <f t="shared" si="608"/>
        <v>0.1</v>
      </c>
      <c r="CT51">
        <f t="shared" si="609"/>
        <v>0.1</v>
      </c>
      <c r="CU51">
        <f t="shared" si="610"/>
        <v>0.1</v>
      </c>
      <c r="CV51">
        <f t="shared" si="611"/>
        <v>0.1</v>
      </c>
      <c r="CW51">
        <f t="shared" si="612"/>
        <v>0.1</v>
      </c>
      <c r="CX51">
        <f t="shared" si="613"/>
        <v>0.1</v>
      </c>
      <c r="CY51">
        <f t="shared" si="614"/>
        <v>0.1</v>
      </c>
      <c r="CZ51">
        <f t="shared" si="615"/>
        <v>0.1</v>
      </c>
      <c r="DA51">
        <f t="shared" si="616"/>
        <v>0.1</v>
      </c>
      <c r="DB51">
        <f t="shared" si="617"/>
        <v>0.1</v>
      </c>
      <c r="DC51">
        <f t="shared" si="618"/>
        <v>0.1</v>
      </c>
      <c r="DD51">
        <f t="shared" si="619"/>
        <v>0.1</v>
      </c>
      <c r="DE51">
        <f t="shared" si="620"/>
        <v>0.1</v>
      </c>
      <c r="DF51">
        <f t="shared" si="621"/>
        <v>0.1</v>
      </c>
      <c r="DG51">
        <f t="shared" si="622"/>
        <v>0.1</v>
      </c>
      <c r="DH51">
        <f t="shared" si="623"/>
        <v>0.1</v>
      </c>
      <c r="DI51">
        <f t="shared" si="624"/>
        <v>0.1</v>
      </c>
      <c r="DJ51">
        <f t="shared" si="625"/>
        <v>0.1</v>
      </c>
      <c r="DK51">
        <f t="shared" si="626"/>
        <v>0.1</v>
      </c>
      <c r="DL51">
        <f t="shared" si="627"/>
        <v>0.1</v>
      </c>
      <c r="DM51">
        <f t="shared" si="628"/>
        <v>0.1</v>
      </c>
      <c r="DN51">
        <f t="shared" si="629"/>
        <v>0.1</v>
      </c>
      <c r="DO51">
        <f t="shared" si="630"/>
        <v>0.1</v>
      </c>
      <c r="DP51">
        <f t="shared" si="631"/>
        <v>0.1</v>
      </c>
      <c r="DQ51">
        <f t="shared" si="632"/>
        <v>0.1</v>
      </c>
      <c r="DR51">
        <f t="shared" si="633"/>
        <v>0.1</v>
      </c>
      <c r="DS51">
        <f t="shared" si="634"/>
        <v>0.1</v>
      </c>
      <c r="DT51">
        <f t="shared" si="635"/>
        <v>0.1</v>
      </c>
      <c r="DU51">
        <f t="shared" si="636"/>
        <v>0.1</v>
      </c>
      <c r="DV51">
        <f t="shared" si="637"/>
        <v>0.1</v>
      </c>
      <c r="DW51">
        <f t="shared" si="638"/>
        <v>0.1</v>
      </c>
      <c r="DX51">
        <f t="shared" si="639"/>
        <v>0.1</v>
      </c>
      <c r="DY51">
        <f t="shared" si="640"/>
        <v>0.1</v>
      </c>
      <c r="DZ51">
        <f t="shared" si="641"/>
        <v>0.1</v>
      </c>
      <c r="EA51">
        <f t="shared" si="642"/>
        <v>0.1</v>
      </c>
      <c r="EB51">
        <f t="shared" si="643"/>
        <v>0.1</v>
      </c>
      <c r="EC51">
        <f t="shared" si="644"/>
        <v>0.1</v>
      </c>
      <c r="ED51">
        <f t="shared" si="645"/>
        <v>0.1</v>
      </c>
      <c r="EE51">
        <f t="shared" si="646"/>
        <v>0.1</v>
      </c>
      <c r="EF51">
        <f t="shared" si="647"/>
        <v>0.1</v>
      </c>
      <c r="EG51">
        <f t="shared" si="648"/>
        <v>0.1</v>
      </c>
      <c r="EH51">
        <f t="shared" si="649"/>
        <v>0.1</v>
      </c>
      <c r="EI51">
        <f t="shared" si="650"/>
        <v>0.1</v>
      </c>
      <c r="EJ51">
        <f t="shared" si="651"/>
        <v>0.1</v>
      </c>
      <c r="EK51">
        <f t="shared" si="652"/>
        <v>0.1</v>
      </c>
      <c r="EL51">
        <f t="shared" si="653"/>
        <v>0.1</v>
      </c>
      <c r="EM51">
        <f t="shared" si="654"/>
        <v>0.1</v>
      </c>
      <c r="EN51">
        <f t="shared" si="655"/>
        <v>0.1</v>
      </c>
      <c r="EO51">
        <f t="shared" si="656"/>
        <v>0.1</v>
      </c>
      <c r="EP51">
        <f t="shared" si="657"/>
        <v>0.1</v>
      </c>
      <c r="EQ51">
        <f t="shared" si="658"/>
        <v>0.1</v>
      </c>
      <c r="ER51">
        <f t="shared" si="659"/>
        <v>0.1</v>
      </c>
      <c r="ES51">
        <f t="shared" si="660"/>
        <v>0.1</v>
      </c>
      <c r="ET51">
        <f t="shared" si="661"/>
        <v>0.1</v>
      </c>
      <c r="EU51">
        <f t="shared" si="662"/>
        <v>0.1</v>
      </c>
      <c r="EV51">
        <f t="shared" si="663"/>
        <v>0.1</v>
      </c>
      <c r="EW51">
        <f t="shared" si="664"/>
        <v>0.1</v>
      </c>
      <c r="EX51">
        <f t="shared" si="665"/>
        <v>0.1</v>
      </c>
      <c r="EY51">
        <f t="shared" si="666"/>
        <v>0.1</v>
      </c>
      <c r="EZ51">
        <f t="shared" si="667"/>
        <v>0.1</v>
      </c>
      <c r="FA51">
        <f t="shared" si="668"/>
        <v>0.1</v>
      </c>
      <c r="FB51">
        <f t="shared" si="669"/>
        <v>0.1</v>
      </c>
      <c r="FC51">
        <f t="shared" si="670"/>
        <v>0.1</v>
      </c>
      <c r="FD51">
        <f t="shared" si="671"/>
        <v>0.1</v>
      </c>
      <c r="FE51">
        <f t="shared" si="672"/>
        <v>0.1</v>
      </c>
      <c r="FF51">
        <f t="shared" si="673"/>
        <v>0.1</v>
      </c>
      <c r="FG51">
        <f t="shared" si="674"/>
        <v>0.1</v>
      </c>
      <c r="FH51">
        <f t="shared" si="675"/>
        <v>0.1</v>
      </c>
      <c r="FI51">
        <f t="shared" si="676"/>
        <v>0.1</v>
      </c>
      <c r="FJ51">
        <f t="shared" si="677"/>
        <v>0.1</v>
      </c>
      <c r="FK51">
        <f t="shared" si="678"/>
        <v>0.1</v>
      </c>
      <c r="FL51">
        <f t="shared" si="679"/>
        <v>0.1</v>
      </c>
      <c r="FM51">
        <f t="shared" si="680"/>
        <v>0.1</v>
      </c>
      <c r="FN51">
        <f t="shared" si="681"/>
        <v>0.1</v>
      </c>
      <c r="FO51">
        <f t="shared" si="682"/>
        <v>0.1</v>
      </c>
      <c r="FP51">
        <f t="shared" si="683"/>
        <v>0.1</v>
      </c>
      <c r="FQ51">
        <f t="shared" si="684"/>
        <v>0.1</v>
      </c>
      <c r="FR51">
        <f t="shared" si="685"/>
        <v>0.1</v>
      </c>
      <c r="FS51">
        <f t="shared" si="686"/>
        <v>0.1</v>
      </c>
      <c r="FT51">
        <f t="shared" si="687"/>
        <v>0.1</v>
      </c>
      <c r="FU51">
        <f t="shared" si="688"/>
        <v>0.1</v>
      </c>
      <c r="FV51">
        <f t="shared" si="689"/>
        <v>0.1</v>
      </c>
      <c r="FW51">
        <f t="shared" si="690"/>
        <v>0.1</v>
      </c>
      <c r="FX51">
        <f t="shared" si="691"/>
        <v>0.1</v>
      </c>
      <c r="FY51">
        <f t="shared" si="692"/>
        <v>0.1</v>
      </c>
      <c r="FZ51">
        <f t="shared" si="693"/>
        <v>0.1</v>
      </c>
      <c r="GA51">
        <f t="shared" si="694"/>
        <v>0.1</v>
      </c>
      <c r="GB51">
        <f t="shared" si="695"/>
        <v>0.1</v>
      </c>
      <c r="GC51">
        <f t="shared" si="696"/>
        <v>0.1</v>
      </c>
      <c r="GD51">
        <f t="shared" si="697"/>
        <v>0.1</v>
      </c>
      <c r="GE51">
        <f t="shared" si="698"/>
        <v>0.1</v>
      </c>
      <c r="GF51">
        <f t="shared" si="699"/>
        <v>0.1</v>
      </c>
      <c r="GG51">
        <f t="shared" si="700"/>
        <v>0.1</v>
      </c>
      <c r="GH51">
        <f t="shared" si="701"/>
        <v>0.1</v>
      </c>
      <c r="GI51">
        <f t="shared" si="702"/>
        <v>0.1</v>
      </c>
      <c r="GJ51">
        <f t="shared" si="703"/>
        <v>0.1</v>
      </c>
      <c r="GK51">
        <f t="shared" si="704"/>
        <v>0.1</v>
      </c>
      <c r="GL51">
        <f t="shared" si="705"/>
        <v>0.1</v>
      </c>
      <c r="GM51">
        <f t="shared" si="706"/>
        <v>0.1</v>
      </c>
      <c r="GN51">
        <f t="shared" si="707"/>
        <v>0.1</v>
      </c>
      <c r="GO51">
        <f t="shared" si="708"/>
        <v>0.1</v>
      </c>
      <c r="GP51">
        <f t="shared" si="709"/>
        <v>0.1</v>
      </c>
      <c r="GQ51">
        <f t="shared" si="710"/>
        <v>0.1</v>
      </c>
      <c r="GR51">
        <f t="shared" si="711"/>
        <v>0.1</v>
      </c>
      <c r="GS51">
        <f t="shared" si="712"/>
        <v>0.1</v>
      </c>
      <c r="GT51">
        <f t="shared" si="713"/>
        <v>0.1</v>
      </c>
      <c r="GU51">
        <f t="shared" si="714"/>
        <v>0.1</v>
      </c>
      <c r="GV51">
        <f t="shared" si="715"/>
        <v>0.1</v>
      </c>
      <c r="GW51">
        <f t="shared" si="716"/>
        <v>0.1</v>
      </c>
      <c r="GX51">
        <f t="shared" si="717"/>
        <v>0.1</v>
      </c>
      <c r="GY51">
        <f t="shared" si="718"/>
        <v>0.1</v>
      </c>
      <c r="GZ51">
        <f t="shared" si="719"/>
        <v>0.1</v>
      </c>
      <c r="HA51">
        <f t="shared" si="720"/>
        <v>0.1</v>
      </c>
      <c r="HB51">
        <f t="shared" si="721"/>
        <v>0.1</v>
      </c>
      <c r="HC51">
        <f t="shared" si="722"/>
        <v>0.1</v>
      </c>
      <c r="HD51">
        <f t="shared" si="723"/>
        <v>0.1</v>
      </c>
      <c r="HE51">
        <f t="shared" si="724"/>
        <v>0.1</v>
      </c>
      <c r="HF51">
        <f t="shared" si="725"/>
        <v>0.1</v>
      </c>
      <c r="HG51">
        <f t="shared" si="726"/>
        <v>0.1</v>
      </c>
      <c r="HH51">
        <f t="shared" si="727"/>
        <v>0.1</v>
      </c>
      <c r="HI51">
        <f t="shared" si="728"/>
        <v>0.1</v>
      </c>
      <c r="HJ51">
        <f t="shared" si="729"/>
        <v>0.1</v>
      </c>
      <c r="HK51">
        <f t="shared" si="730"/>
        <v>0.1</v>
      </c>
      <c r="HL51">
        <f t="shared" si="731"/>
        <v>0.1</v>
      </c>
      <c r="HM51">
        <f t="shared" si="732"/>
        <v>0.1</v>
      </c>
      <c r="HN51">
        <f t="shared" si="733"/>
        <v>0.1</v>
      </c>
      <c r="HO51">
        <f t="shared" si="734"/>
        <v>0.1</v>
      </c>
      <c r="HP51">
        <f t="shared" si="735"/>
        <v>0.1</v>
      </c>
      <c r="HQ51">
        <f t="shared" si="736"/>
        <v>0.1</v>
      </c>
      <c r="HR51">
        <f t="shared" si="737"/>
        <v>0.1</v>
      </c>
      <c r="HS51">
        <f t="shared" si="738"/>
        <v>0.1</v>
      </c>
      <c r="HT51">
        <f t="shared" si="739"/>
        <v>0.1</v>
      </c>
      <c r="HU51">
        <f t="shared" si="740"/>
        <v>0.1</v>
      </c>
      <c r="HV51">
        <f t="shared" si="741"/>
        <v>0.1</v>
      </c>
      <c r="HW51">
        <f t="shared" si="742"/>
        <v>0.1</v>
      </c>
      <c r="HX51">
        <f t="shared" si="743"/>
        <v>0.1</v>
      </c>
      <c r="HY51">
        <f t="shared" si="744"/>
        <v>0.1</v>
      </c>
      <c r="HZ51">
        <f t="shared" si="745"/>
        <v>0.1</v>
      </c>
      <c r="IA51">
        <f t="shared" si="746"/>
        <v>0.1</v>
      </c>
      <c r="IB51">
        <f t="shared" si="747"/>
        <v>0.1</v>
      </c>
      <c r="IC51">
        <f t="shared" si="748"/>
        <v>0.1</v>
      </c>
      <c r="ID51">
        <f t="shared" si="749"/>
        <v>0.1</v>
      </c>
      <c r="IE51">
        <f t="shared" si="750"/>
        <v>0.1</v>
      </c>
      <c r="IF51">
        <f t="shared" si="751"/>
        <v>0.1</v>
      </c>
      <c r="IG51">
        <f t="shared" si="752"/>
        <v>0.1</v>
      </c>
      <c r="IH51">
        <f t="shared" si="753"/>
        <v>0.1</v>
      </c>
      <c r="II51">
        <f t="shared" si="754"/>
        <v>0.1</v>
      </c>
      <c r="IJ51">
        <f t="shared" si="755"/>
        <v>0.1</v>
      </c>
      <c r="IK51">
        <f t="shared" si="756"/>
        <v>0.1</v>
      </c>
      <c r="IL51">
        <f t="shared" si="757"/>
        <v>0.1</v>
      </c>
      <c r="IM51">
        <f t="shared" si="758"/>
        <v>0.1</v>
      </c>
      <c r="IN51">
        <f t="shared" si="759"/>
        <v>0.1</v>
      </c>
      <c r="IO51">
        <f t="shared" si="760"/>
        <v>0.1</v>
      </c>
      <c r="IP51">
        <f t="shared" si="761"/>
        <v>0.1</v>
      </c>
      <c r="IQ51">
        <f t="shared" si="762"/>
        <v>0.1</v>
      </c>
      <c r="IR51">
        <f t="shared" si="763"/>
        <v>0.1</v>
      </c>
      <c r="IS51">
        <f t="shared" si="764"/>
        <v>0.1</v>
      </c>
      <c r="IT51">
        <f t="shared" si="765"/>
        <v>0.1</v>
      </c>
      <c r="IU51">
        <f t="shared" si="766"/>
        <v>0.1</v>
      </c>
      <c r="IV51">
        <f t="shared" si="767"/>
        <v>0.1</v>
      </c>
    </row>
    <row r="52" spans="1:256" x14ac:dyDescent="0.2">
      <c r="A52" t="s">
        <v>523</v>
      </c>
      <c r="B52">
        <f t="shared" si="513"/>
        <v>1.2716975662866161</v>
      </c>
      <c r="C52">
        <f t="shared" si="514"/>
        <v>1.2716975662866161</v>
      </c>
      <c r="D52">
        <f t="shared" si="515"/>
        <v>1.2716975662866161</v>
      </c>
      <c r="E52">
        <f t="shared" si="516"/>
        <v>1.2716975662866161</v>
      </c>
      <c r="F52">
        <f t="shared" si="517"/>
        <v>1.2716975662866161</v>
      </c>
      <c r="G52">
        <f t="shared" si="518"/>
        <v>1.2716975662866161</v>
      </c>
      <c r="H52">
        <f t="shared" si="519"/>
        <v>1.2716975662866161</v>
      </c>
      <c r="I52">
        <f t="shared" si="520"/>
        <v>1.2716975662866161</v>
      </c>
      <c r="J52">
        <f t="shared" si="521"/>
        <v>0.12716975662866162</v>
      </c>
      <c r="K52">
        <f t="shared" si="522"/>
        <v>0.12716975662866162</v>
      </c>
      <c r="L52">
        <f t="shared" si="523"/>
        <v>0.12716975662866162</v>
      </c>
      <c r="M52">
        <f t="shared" si="524"/>
        <v>0.12716975662866162</v>
      </c>
      <c r="N52">
        <f t="shared" si="525"/>
        <v>0.12716975662866162</v>
      </c>
      <c r="O52">
        <f t="shared" si="526"/>
        <v>0.12716975662866162</v>
      </c>
      <c r="P52">
        <f t="shared" si="527"/>
        <v>0.12716975662866162</v>
      </c>
      <c r="Q52">
        <f t="shared" si="528"/>
        <v>0.12716975662866162</v>
      </c>
      <c r="R52">
        <f t="shared" si="529"/>
        <v>0.17552498705675243</v>
      </c>
      <c r="S52">
        <f t="shared" si="530"/>
        <v>0.17552498705675243</v>
      </c>
      <c r="T52">
        <f t="shared" si="531"/>
        <v>0.17552498705675243</v>
      </c>
      <c r="U52">
        <f t="shared" si="532"/>
        <v>0.17552498705675243</v>
      </c>
      <c r="V52">
        <f t="shared" si="533"/>
        <v>0.17552498705675243</v>
      </c>
      <c r="W52">
        <f t="shared" si="534"/>
        <v>0.17552498705675243</v>
      </c>
      <c r="X52">
        <f t="shared" si="535"/>
        <v>0.17552498705675243</v>
      </c>
      <c r="Y52">
        <f t="shared" si="536"/>
        <v>0.17552498705675243</v>
      </c>
      <c r="Z52">
        <f t="shared" si="537"/>
        <v>0.35104997411350491</v>
      </c>
      <c r="AA52">
        <f t="shared" si="538"/>
        <v>0.35104997411350491</v>
      </c>
      <c r="AB52">
        <f t="shared" si="539"/>
        <v>0.35104997411350491</v>
      </c>
      <c r="AC52">
        <f t="shared" si="540"/>
        <v>0.35104997411350491</v>
      </c>
      <c r="AD52">
        <f t="shared" si="541"/>
        <v>0.35104997411350491</v>
      </c>
      <c r="AE52">
        <f t="shared" si="542"/>
        <v>0.35104997411350491</v>
      </c>
      <c r="AF52">
        <f t="shared" si="543"/>
        <v>0.35104997411350491</v>
      </c>
      <c r="AG52">
        <f t="shared" si="544"/>
        <v>0.35104997411350491</v>
      </c>
      <c r="AH52">
        <f t="shared" si="545"/>
        <v>0.69426445007324222</v>
      </c>
      <c r="AI52">
        <f t="shared" si="546"/>
        <v>0.69426445007324222</v>
      </c>
      <c r="AJ52">
        <f t="shared" si="547"/>
        <v>0.69426445007324222</v>
      </c>
      <c r="AK52">
        <f t="shared" si="548"/>
        <v>0.69426445007324222</v>
      </c>
      <c r="AL52">
        <f t="shared" si="549"/>
        <v>0.69426445007324222</v>
      </c>
      <c r="AM52">
        <f t="shared" si="550"/>
        <v>0.69426445007324222</v>
      </c>
      <c r="AN52">
        <f t="shared" si="551"/>
        <v>0.69426445007324222</v>
      </c>
      <c r="AO52">
        <f t="shared" si="552"/>
        <v>0.69426445007324222</v>
      </c>
      <c r="AP52">
        <f t="shared" si="553"/>
        <v>0.1</v>
      </c>
      <c r="AQ52">
        <f t="shared" si="554"/>
        <v>0.1</v>
      </c>
      <c r="AR52">
        <f t="shared" si="555"/>
        <v>0.1</v>
      </c>
      <c r="AS52">
        <f t="shared" si="556"/>
        <v>0.1</v>
      </c>
      <c r="AT52">
        <f t="shared" si="557"/>
        <v>0.1</v>
      </c>
      <c r="AU52">
        <f t="shared" si="558"/>
        <v>0.1</v>
      </c>
      <c r="AV52">
        <f t="shared" si="559"/>
        <v>0.1</v>
      </c>
      <c r="AW52">
        <f t="shared" si="560"/>
        <v>0.1</v>
      </c>
      <c r="AX52">
        <f t="shared" si="561"/>
        <v>0.1</v>
      </c>
      <c r="AY52">
        <f t="shared" si="562"/>
        <v>0.1</v>
      </c>
      <c r="AZ52">
        <f t="shared" si="563"/>
        <v>0.1</v>
      </c>
      <c r="BA52">
        <f t="shared" si="564"/>
        <v>0.1</v>
      </c>
      <c r="BB52">
        <f t="shared" si="565"/>
        <v>0.1</v>
      </c>
      <c r="BC52">
        <f t="shared" si="566"/>
        <v>0.1</v>
      </c>
      <c r="BD52">
        <f t="shared" si="567"/>
        <v>0.1</v>
      </c>
      <c r="BE52">
        <f t="shared" si="568"/>
        <v>0.1</v>
      </c>
      <c r="BF52">
        <f t="shared" si="569"/>
        <v>0.1</v>
      </c>
      <c r="BG52">
        <f t="shared" si="570"/>
        <v>0.1</v>
      </c>
      <c r="BH52">
        <f t="shared" si="571"/>
        <v>0.1</v>
      </c>
      <c r="BI52">
        <f t="shared" si="572"/>
        <v>0.1</v>
      </c>
      <c r="BJ52">
        <f t="shared" si="573"/>
        <v>0.1</v>
      </c>
      <c r="BK52">
        <f t="shared" si="574"/>
        <v>0.1</v>
      </c>
      <c r="BL52">
        <f t="shared" si="575"/>
        <v>0.1</v>
      </c>
      <c r="BM52">
        <f t="shared" si="576"/>
        <v>0.1</v>
      </c>
      <c r="BN52">
        <f t="shared" si="577"/>
        <v>0.1</v>
      </c>
      <c r="BO52">
        <f t="shared" si="578"/>
        <v>0.1</v>
      </c>
      <c r="BP52">
        <f t="shared" si="579"/>
        <v>0.1</v>
      </c>
      <c r="BQ52">
        <f t="shared" si="580"/>
        <v>0.1</v>
      </c>
      <c r="BR52">
        <f t="shared" si="581"/>
        <v>0.1</v>
      </c>
      <c r="BS52">
        <f t="shared" si="582"/>
        <v>0.1</v>
      </c>
      <c r="BT52">
        <f t="shared" si="583"/>
        <v>0.1</v>
      </c>
      <c r="BU52">
        <f t="shared" si="584"/>
        <v>0.1</v>
      </c>
      <c r="BV52">
        <f t="shared" si="585"/>
        <v>0.1</v>
      </c>
      <c r="BW52">
        <f t="shared" si="586"/>
        <v>0.1</v>
      </c>
      <c r="BX52">
        <f t="shared" si="587"/>
        <v>0.1</v>
      </c>
      <c r="BY52">
        <f t="shared" si="588"/>
        <v>0.1</v>
      </c>
      <c r="BZ52">
        <f t="shared" si="589"/>
        <v>0.1</v>
      </c>
      <c r="CA52">
        <f t="shared" si="590"/>
        <v>0.1</v>
      </c>
      <c r="CB52">
        <f t="shared" si="591"/>
        <v>0.1</v>
      </c>
      <c r="CC52">
        <f t="shared" si="592"/>
        <v>0.1</v>
      </c>
      <c r="CD52">
        <f t="shared" si="593"/>
        <v>0.1</v>
      </c>
      <c r="CE52">
        <f t="shared" si="594"/>
        <v>0.1</v>
      </c>
      <c r="CF52">
        <f t="shared" si="595"/>
        <v>0.1</v>
      </c>
      <c r="CG52">
        <f t="shared" si="596"/>
        <v>0.1</v>
      </c>
      <c r="CH52">
        <f t="shared" si="597"/>
        <v>0.1</v>
      </c>
      <c r="CI52">
        <f t="shared" si="598"/>
        <v>0.1</v>
      </c>
      <c r="CJ52">
        <f t="shared" si="599"/>
        <v>0.1</v>
      </c>
      <c r="CK52">
        <f t="shared" si="600"/>
        <v>0.1</v>
      </c>
      <c r="CL52">
        <f t="shared" si="601"/>
        <v>0.1</v>
      </c>
      <c r="CM52">
        <f t="shared" si="602"/>
        <v>0.1</v>
      </c>
      <c r="CN52">
        <f t="shared" si="603"/>
        <v>0.1</v>
      </c>
      <c r="CO52">
        <f t="shared" si="604"/>
        <v>0.1</v>
      </c>
      <c r="CP52">
        <f t="shared" si="605"/>
        <v>0.1</v>
      </c>
      <c r="CQ52">
        <f t="shared" si="606"/>
        <v>0.1</v>
      </c>
      <c r="CR52">
        <f t="shared" si="607"/>
        <v>0.1</v>
      </c>
      <c r="CS52">
        <f t="shared" si="608"/>
        <v>0.1</v>
      </c>
      <c r="CT52">
        <f t="shared" si="609"/>
        <v>0.1</v>
      </c>
      <c r="CU52">
        <f t="shared" si="610"/>
        <v>0.1</v>
      </c>
      <c r="CV52">
        <f t="shared" si="611"/>
        <v>0.1</v>
      </c>
      <c r="CW52">
        <f t="shared" si="612"/>
        <v>0.1</v>
      </c>
      <c r="CX52">
        <f t="shared" si="613"/>
        <v>0.1</v>
      </c>
      <c r="CY52">
        <f t="shared" si="614"/>
        <v>0.1</v>
      </c>
      <c r="CZ52">
        <f t="shared" si="615"/>
        <v>0.1</v>
      </c>
      <c r="DA52">
        <f t="shared" si="616"/>
        <v>0.1</v>
      </c>
      <c r="DB52">
        <f t="shared" si="617"/>
        <v>0.1</v>
      </c>
      <c r="DC52">
        <f t="shared" si="618"/>
        <v>0.1</v>
      </c>
      <c r="DD52">
        <f t="shared" si="619"/>
        <v>0.1</v>
      </c>
      <c r="DE52">
        <f t="shared" si="620"/>
        <v>0.1</v>
      </c>
      <c r="DF52">
        <f t="shared" si="621"/>
        <v>0.1</v>
      </c>
      <c r="DG52">
        <f t="shared" si="622"/>
        <v>0.1</v>
      </c>
      <c r="DH52">
        <f t="shared" si="623"/>
        <v>0.1</v>
      </c>
      <c r="DI52">
        <f t="shared" si="624"/>
        <v>0.1</v>
      </c>
      <c r="DJ52">
        <f t="shared" si="625"/>
        <v>0.1</v>
      </c>
      <c r="DK52">
        <f t="shared" si="626"/>
        <v>0.1</v>
      </c>
      <c r="DL52">
        <f t="shared" si="627"/>
        <v>0.1</v>
      </c>
      <c r="DM52">
        <f t="shared" si="628"/>
        <v>0.1</v>
      </c>
      <c r="DN52">
        <f t="shared" si="629"/>
        <v>0.1</v>
      </c>
      <c r="DO52">
        <f t="shared" si="630"/>
        <v>0.1</v>
      </c>
      <c r="DP52">
        <f t="shared" si="631"/>
        <v>0.1</v>
      </c>
      <c r="DQ52">
        <f t="shared" si="632"/>
        <v>0.1</v>
      </c>
      <c r="DR52">
        <f t="shared" si="633"/>
        <v>0.1</v>
      </c>
      <c r="DS52">
        <f t="shared" si="634"/>
        <v>0.1</v>
      </c>
      <c r="DT52">
        <f t="shared" si="635"/>
        <v>0.1</v>
      </c>
      <c r="DU52">
        <f t="shared" si="636"/>
        <v>0.1</v>
      </c>
      <c r="DV52">
        <f t="shared" si="637"/>
        <v>0.1</v>
      </c>
      <c r="DW52">
        <f t="shared" si="638"/>
        <v>0.1</v>
      </c>
      <c r="DX52">
        <f t="shared" si="639"/>
        <v>0.1</v>
      </c>
      <c r="DY52">
        <f t="shared" si="640"/>
        <v>0.1</v>
      </c>
      <c r="DZ52">
        <f t="shared" si="641"/>
        <v>0.1</v>
      </c>
      <c r="EA52">
        <f t="shared" si="642"/>
        <v>0.1</v>
      </c>
      <c r="EB52">
        <f t="shared" si="643"/>
        <v>0.1</v>
      </c>
      <c r="EC52">
        <f t="shared" si="644"/>
        <v>0.1</v>
      </c>
      <c r="ED52">
        <f t="shared" si="645"/>
        <v>0.1</v>
      </c>
      <c r="EE52">
        <f t="shared" si="646"/>
        <v>0.1</v>
      </c>
      <c r="EF52">
        <f t="shared" si="647"/>
        <v>0.1</v>
      </c>
      <c r="EG52">
        <f t="shared" si="648"/>
        <v>0.1</v>
      </c>
      <c r="EH52">
        <f t="shared" si="649"/>
        <v>0.1</v>
      </c>
      <c r="EI52">
        <f t="shared" si="650"/>
        <v>0.1</v>
      </c>
      <c r="EJ52">
        <f t="shared" si="651"/>
        <v>0.1</v>
      </c>
      <c r="EK52">
        <f t="shared" si="652"/>
        <v>0.1</v>
      </c>
      <c r="EL52">
        <f t="shared" si="653"/>
        <v>0.1</v>
      </c>
      <c r="EM52">
        <f t="shared" si="654"/>
        <v>0.1</v>
      </c>
      <c r="EN52">
        <f t="shared" si="655"/>
        <v>0.1</v>
      </c>
      <c r="EO52">
        <f t="shared" si="656"/>
        <v>0.1</v>
      </c>
      <c r="EP52">
        <f t="shared" si="657"/>
        <v>0.1</v>
      </c>
      <c r="EQ52">
        <f t="shared" si="658"/>
        <v>0.1</v>
      </c>
      <c r="ER52">
        <f t="shared" si="659"/>
        <v>0.1</v>
      </c>
      <c r="ES52">
        <f t="shared" si="660"/>
        <v>0.1</v>
      </c>
      <c r="ET52">
        <f t="shared" si="661"/>
        <v>0.1</v>
      </c>
      <c r="EU52">
        <f t="shared" si="662"/>
        <v>0.1</v>
      </c>
      <c r="EV52">
        <f t="shared" si="663"/>
        <v>0.1</v>
      </c>
      <c r="EW52">
        <f t="shared" si="664"/>
        <v>0.1</v>
      </c>
      <c r="EX52">
        <f t="shared" si="665"/>
        <v>0.1</v>
      </c>
      <c r="EY52">
        <f t="shared" si="666"/>
        <v>0.1</v>
      </c>
      <c r="EZ52">
        <f t="shared" si="667"/>
        <v>0.1</v>
      </c>
      <c r="FA52">
        <f t="shared" si="668"/>
        <v>0.1</v>
      </c>
      <c r="FB52">
        <f t="shared" si="669"/>
        <v>0.1</v>
      </c>
      <c r="FC52">
        <f t="shared" si="670"/>
        <v>0.1</v>
      </c>
      <c r="FD52">
        <f t="shared" si="671"/>
        <v>0.1</v>
      </c>
      <c r="FE52">
        <f t="shared" si="672"/>
        <v>0.1</v>
      </c>
      <c r="FF52">
        <f t="shared" si="673"/>
        <v>0.1</v>
      </c>
      <c r="FG52">
        <f t="shared" si="674"/>
        <v>0.1</v>
      </c>
      <c r="FH52">
        <f t="shared" si="675"/>
        <v>0.1</v>
      </c>
      <c r="FI52">
        <f t="shared" si="676"/>
        <v>0.1</v>
      </c>
      <c r="FJ52">
        <f t="shared" si="677"/>
        <v>0.1</v>
      </c>
      <c r="FK52">
        <f t="shared" si="678"/>
        <v>0.1</v>
      </c>
      <c r="FL52">
        <f t="shared" si="679"/>
        <v>0.1</v>
      </c>
      <c r="FM52">
        <f t="shared" si="680"/>
        <v>0.1</v>
      </c>
      <c r="FN52">
        <f t="shared" si="681"/>
        <v>0.1</v>
      </c>
      <c r="FO52">
        <f t="shared" si="682"/>
        <v>0.1</v>
      </c>
      <c r="FP52">
        <f t="shared" si="683"/>
        <v>0.1</v>
      </c>
      <c r="FQ52">
        <f t="shared" si="684"/>
        <v>0.1</v>
      </c>
      <c r="FR52">
        <f t="shared" si="685"/>
        <v>0.1</v>
      </c>
      <c r="FS52">
        <f t="shared" si="686"/>
        <v>0.1</v>
      </c>
      <c r="FT52">
        <f t="shared" si="687"/>
        <v>0.1</v>
      </c>
      <c r="FU52">
        <f t="shared" si="688"/>
        <v>0.1</v>
      </c>
      <c r="FV52">
        <f t="shared" si="689"/>
        <v>0.1</v>
      </c>
      <c r="FW52">
        <f t="shared" si="690"/>
        <v>0.1</v>
      </c>
      <c r="FX52">
        <f t="shared" si="691"/>
        <v>0.1</v>
      </c>
      <c r="FY52">
        <f t="shared" si="692"/>
        <v>0.1</v>
      </c>
      <c r="FZ52">
        <f t="shared" si="693"/>
        <v>0.1</v>
      </c>
      <c r="GA52">
        <f t="shared" si="694"/>
        <v>0.1</v>
      </c>
      <c r="GB52">
        <f t="shared" si="695"/>
        <v>0.1</v>
      </c>
      <c r="GC52">
        <f t="shared" si="696"/>
        <v>0.1</v>
      </c>
      <c r="GD52">
        <f t="shared" si="697"/>
        <v>0.1</v>
      </c>
      <c r="GE52">
        <f t="shared" si="698"/>
        <v>0.1</v>
      </c>
      <c r="GF52">
        <f t="shared" si="699"/>
        <v>0.1</v>
      </c>
      <c r="GG52">
        <f t="shared" si="700"/>
        <v>0.1</v>
      </c>
      <c r="GH52">
        <f t="shared" si="701"/>
        <v>0.1</v>
      </c>
      <c r="GI52">
        <f t="shared" si="702"/>
        <v>0.1</v>
      </c>
      <c r="GJ52">
        <f t="shared" si="703"/>
        <v>0.1</v>
      </c>
      <c r="GK52">
        <f t="shared" si="704"/>
        <v>0.1</v>
      </c>
      <c r="GL52">
        <f t="shared" si="705"/>
        <v>0.1</v>
      </c>
      <c r="GM52">
        <f t="shared" si="706"/>
        <v>0.1</v>
      </c>
      <c r="GN52">
        <f t="shared" si="707"/>
        <v>0.1</v>
      </c>
      <c r="GO52">
        <f t="shared" si="708"/>
        <v>0.1</v>
      </c>
      <c r="GP52">
        <f t="shared" si="709"/>
        <v>0.1</v>
      </c>
      <c r="GQ52">
        <f t="shared" si="710"/>
        <v>0.1</v>
      </c>
      <c r="GR52">
        <f t="shared" si="711"/>
        <v>0.1</v>
      </c>
      <c r="GS52">
        <f t="shared" si="712"/>
        <v>0.1</v>
      </c>
      <c r="GT52">
        <f t="shared" si="713"/>
        <v>0.1</v>
      </c>
      <c r="GU52">
        <f t="shared" si="714"/>
        <v>0.1</v>
      </c>
      <c r="GV52">
        <f t="shared" si="715"/>
        <v>0.1</v>
      </c>
      <c r="GW52">
        <f t="shared" si="716"/>
        <v>0.1</v>
      </c>
      <c r="GX52">
        <f t="shared" si="717"/>
        <v>0.1</v>
      </c>
      <c r="GY52">
        <f t="shared" si="718"/>
        <v>0.1</v>
      </c>
      <c r="GZ52">
        <f t="shared" si="719"/>
        <v>0.1</v>
      </c>
      <c r="HA52">
        <f t="shared" si="720"/>
        <v>0.1</v>
      </c>
      <c r="HB52">
        <f t="shared" si="721"/>
        <v>0.1</v>
      </c>
      <c r="HC52">
        <f t="shared" si="722"/>
        <v>0.1</v>
      </c>
      <c r="HD52">
        <f t="shared" si="723"/>
        <v>0.1</v>
      </c>
      <c r="HE52">
        <f t="shared" si="724"/>
        <v>0.1</v>
      </c>
      <c r="HF52">
        <f t="shared" si="725"/>
        <v>0.1</v>
      </c>
      <c r="HG52">
        <f t="shared" si="726"/>
        <v>0.1</v>
      </c>
      <c r="HH52">
        <f t="shared" si="727"/>
        <v>0.1</v>
      </c>
      <c r="HI52">
        <f t="shared" si="728"/>
        <v>0.1</v>
      </c>
      <c r="HJ52">
        <f t="shared" si="729"/>
        <v>0.1</v>
      </c>
      <c r="HK52">
        <f t="shared" si="730"/>
        <v>0.1</v>
      </c>
      <c r="HL52">
        <f t="shared" si="731"/>
        <v>0.1</v>
      </c>
      <c r="HM52">
        <f t="shared" si="732"/>
        <v>0.1</v>
      </c>
      <c r="HN52">
        <f t="shared" si="733"/>
        <v>0.1</v>
      </c>
      <c r="HO52">
        <f t="shared" si="734"/>
        <v>0.1</v>
      </c>
      <c r="HP52">
        <f t="shared" si="735"/>
        <v>0.1</v>
      </c>
      <c r="HQ52">
        <f t="shared" si="736"/>
        <v>0.1</v>
      </c>
      <c r="HR52">
        <f t="shared" si="737"/>
        <v>0.1</v>
      </c>
      <c r="HS52">
        <f t="shared" si="738"/>
        <v>0.1</v>
      </c>
      <c r="HT52">
        <f t="shared" si="739"/>
        <v>0.1</v>
      </c>
      <c r="HU52">
        <f t="shared" si="740"/>
        <v>0.1</v>
      </c>
      <c r="HV52">
        <f t="shared" si="741"/>
        <v>0.1</v>
      </c>
      <c r="HW52">
        <f t="shared" si="742"/>
        <v>0.1</v>
      </c>
      <c r="HX52">
        <f t="shared" si="743"/>
        <v>0.1</v>
      </c>
      <c r="HY52">
        <f t="shared" si="744"/>
        <v>0.1</v>
      </c>
      <c r="HZ52">
        <f t="shared" si="745"/>
        <v>0.1</v>
      </c>
      <c r="IA52">
        <f t="shared" si="746"/>
        <v>0.1</v>
      </c>
      <c r="IB52">
        <f t="shared" si="747"/>
        <v>0.1</v>
      </c>
      <c r="IC52">
        <f t="shared" si="748"/>
        <v>0.1</v>
      </c>
      <c r="ID52">
        <f t="shared" si="749"/>
        <v>0.1</v>
      </c>
      <c r="IE52">
        <f t="shared" si="750"/>
        <v>0.1</v>
      </c>
      <c r="IF52">
        <f t="shared" si="751"/>
        <v>0.1</v>
      </c>
      <c r="IG52">
        <f t="shared" si="752"/>
        <v>0.1</v>
      </c>
      <c r="IH52">
        <f t="shared" si="753"/>
        <v>0.1</v>
      </c>
      <c r="II52">
        <f t="shared" si="754"/>
        <v>0.1</v>
      </c>
      <c r="IJ52">
        <f t="shared" si="755"/>
        <v>0.1</v>
      </c>
      <c r="IK52">
        <f t="shared" si="756"/>
        <v>0.1</v>
      </c>
      <c r="IL52">
        <f t="shared" si="757"/>
        <v>0.1</v>
      </c>
      <c r="IM52">
        <f t="shared" si="758"/>
        <v>0.1</v>
      </c>
      <c r="IN52">
        <f t="shared" si="759"/>
        <v>0.1</v>
      </c>
      <c r="IO52">
        <f t="shared" si="760"/>
        <v>0.1</v>
      </c>
      <c r="IP52">
        <f t="shared" si="761"/>
        <v>0.1</v>
      </c>
      <c r="IQ52">
        <f t="shared" si="762"/>
        <v>0.1</v>
      </c>
      <c r="IR52">
        <f t="shared" si="763"/>
        <v>0.1</v>
      </c>
      <c r="IS52">
        <f t="shared" si="764"/>
        <v>0.1</v>
      </c>
      <c r="IT52">
        <f t="shared" si="765"/>
        <v>0.1</v>
      </c>
      <c r="IU52">
        <f t="shared" si="766"/>
        <v>0.1</v>
      </c>
      <c r="IV52">
        <f t="shared" si="767"/>
        <v>0.1</v>
      </c>
    </row>
    <row r="53" spans="1:256" x14ac:dyDescent="0.2">
      <c r="A53" t="s">
        <v>524</v>
      </c>
      <c r="B53">
        <f t="shared" si="513"/>
        <v>0.4681082558625711</v>
      </c>
      <c r="C53">
        <f t="shared" si="514"/>
        <v>0.4681082558625711</v>
      </c>
      <c r="D53">
        <f t="shared" si="515"/>
        <v>0.4681082558625711</v>
      </c>
      <c r="E53">
        <f t="shared" si="516"/>
        <v>0.4681082558625711</v>
      </c>
      <c r="F53">
        <f t="shared" si="517"/>
        <v>0.4681082558625711</v>
      </c>
      <c r="G53">
        <f t="shared" si="518"/>
        <v>0.4681082558625711</v>
      </c>
      <c r="H53">
        <f t="shared" si="519"/>
        <v>0.4681082558625711</v>
      </c>
      <c r="I53">
        <f t="shared" si="520"/>
        <v>0.4681082558625711</v>
      </c>
      <c r="J53">
        <f t="shared" si="521"/>
        <v>0.9362165117251422</v>
      </c>
      <c r="K53">
        <f t="shared" si="522"/>
        <v>0.9362165117251422</v>
      </c>
      <c r="L53">
        <f t="shared" si="523"/>
        <v>0.9362165117251422</v>
      </c>
      <c r="M53">
        <f t="shared" si="524"/>
        <v>0.9362165117251422</v>
      </c>
      <c r="N53">
        <f t="shared" si="525"/>
        <v>0.9362165117251422</v>
      </c>
      <c r="O53">
        <f t="shared" si="526"/>
        <v>0.9362165117251422</v>
      </c>
      <c r="P53">
        <f t="shared" si="527"/>
        <v>0.9362165117251422</v>
      </c>
      <c r="Q53">
        <f t="shared" si="528"/>
        <v>0.9362165117251422</v>
      </c>
      <c r="R53">
        <f t="shared" si="529"/>
        <v>9.9999999999999978E-2</v>
      </c>
      <c r="S53">
        <f t="shared" si="530"/>
        <v>9.9999999999999978E-2</v>
      </c>
      <c r="T53">
        <f t="shared" si="531"/>
        <v>9.9999999999999978E-2</v>
      </c>
      <c r="U53">
        <f t="shared" si="532"/>
        <v>9.9999999999999978E-2</v>
      </c>
      <c r="V53">
        <f t="shared" si="533"/>
        <v>9.9999999999999978E-2</v>
      </c>
      <c r="W53">
        <f t="shared" si="534"/>
        <v>9.9999999999999978E-2</v>
      </c>
      <c r="X53">
        <f t="shared" si="535"/>
        <v>9.9999999999999978E-2</v>
      </c>
      <c r="Y53">
        <f t="shared" si="536"/>
        <v>9.9999999999999978E-2</v>
      </c>
      <c r="Z53">
        <f t="shared" si="537"/>
        <v>0.19999999999999996</v>
      </c>
      <c r="AA53">
        <f t="shared" si="538"/>
        <v>0.19999999999999996</v>
      </c>
      <c r="AB53">
        <f t="shared" si="539"/>
        <v>0.19999999999999996</v>
      </c>
      <c r="AC53">
        <f t="shared" si="540"/>
        <v>0.19999999999999996</v>
      </c>
      <c r="AD53">
        <f t="shared" si="541"/>
        <v>0.19999999999999996</v>
      </c>
      <c r="AE53">
        <f t="shared" si="542"/>
        <v>0.19999999999999996</v>
      </c>
      <c r="AF53">
        <f t="shared" si="543"/>
        <v>0.19999999999999996</v>
      </c>
      <c r="AG53">
        <f t="shared" si="544"/>
        <v>0.19999999999999996</v>
      </c>
      <c r="AH53">
        <f t="shared" si="545"/>
        <v>0.51738662719726558</v>
      </c>
      <c r="AI53">
        <f t="shared" si="546"/>
        <v>0.51738662719726558</v>
      </c>
      <c r="AJ53">
        <f t="shared" si="547"/>
        <v>0.51738662719726558</v>
      </c>
      <c r="AK53">
        <f t="shared" si="548"/>
        <v>0.51738662719726558</v>
      </c>
      <c r="AL53">
        <f t="shared" si="549"/>
        <v>0.51738662719726558</v>
      </c>
      <c r="AM53">
        <f t="shared" si="550"/>
        <v>0.51738662719726558</v>
      </c>
      <c r="AN53">
        <f t="shared" si="551"/>
        <v>0.51738662719726558</v>
      </c>
      <c r="AO53">
        <f t="shared" si="552"/>
        <v>0.51738662719726558</v>
      </c>
      <c r="AP53">
        <f t="shared" si="553"/>
        <v>1.0287643187805906</v>
      </c>
      <c r="AQ53">
        <f t="shared" si="554"/>
        <v>1.0287643187805906</v>
      </c>
      <c r="AR53">
        <f t="shared" si="555"/>
        <v>1.0287643187805906</v>
      </c>
      <c r="AS53">
        <f t="shared" si="556"/>
        <v>1.0287643187805906</v>
      </c>
      <c r="AT53">
        <f t="shared" si="557"/>
        <v>1.0287643187805906</v>
      </c>
      <c r="AU53">
        <f t="shared" si="558"/>
        <v>1.0287643187805906</v>
      </c>
      <c r="AV53">
        <f t="shared" si="559"/>
        <v>1.0287643187805906</v>
      </c>
      <c r="AW53">
        <f t="shared" si="560"/>
        <v>1.0287643187805906</v>
      </c>
      <c r="AX53">
        <f t="shared" si="561"/>
        <v>0.99999992473849342</v>
      </c>
      <c r="AY53">
        <f t="shared" si="562"/>
        <v>0.99999992473849342</v>
      </c>
      <c r="AZ53">
        <f t="shared" si="563"/>
        <v>0.99999992473849342</v>
      </c>
      <c r="BA53">
        <f t="shared" si="564"/>
        <v>0.99999992473849342</v>
      </c>
      <c r="BB53">
        <f t="shared" si="565"/>
        <v>0.99999992473849342</v>
      </c>
      <c r="BC53">
        <f t="shared" si="566"/>
        <v>0.99999992473849342</v>
      </c>
      <c r="BD53">
        <f t="shared" si="567"/>
        <v>0.99999992473849342</v>
      </c>
      <c r="BE53">
        <f t="shared" si="568"/>
        <v>0.99999992473849342</v>
      </c>
      <c r="BF53">
        <f t="shared" si="569"/>
        <v>0.99999992473849342</v>
      </c>
      <c r="BG53">
        <f t="shared" si="570"/>
        <v>0.99999992473849342</v>
      </c>
      <c r="BH53">
        <f t="shared" si="571"/>
        <v>0.99999992473849342</v>
      </c>
      <c r="BI53">
        <f t="shared" si="572"/>
        <v>0.99999992473849342</v>
      </c>
      <c r="BJ53">
        <f t="shared" si="573"/>
        <v>0.99999992473849342</v>
      </c>
      <c r="BK53">
        <f t="shared" si="574"/>
        <v>0.99999992473849342</v>
      </c>
      <c r="BL53">
        <f t="shared" si="575"/>
        <v>0.99999992473849342</v>
      </c>
      <c r="BM53">
        <f t="shared" si="576"/>
        <v>0.99999992473849342</v>
      </c>
      <c r="BN53">
        <f t="shared" si="577"/>
        <v>0.99999992473849342</v>
      </c>
      <c r="BO53">
        <f t="shared" si="578"/>
        <v>0.99999992473849342</v>
      </c>
      <c r="BP53">
        <f t="shared" si="579"/>
        <v>0.99999992473849342</v>
      </c>
      <c r="BQ53">
        <f t="shared" si="580"/>
        <v>0.99999992473849342</v>
      </c>
      <c r="BR53">
        <f t="shared" si="581"/>
        <v>0.99999992473849342</v>
      </c>
      <c r="BS53">
        <f t="shared" si="582"/>
        <v>0.99999992473849342</v>
      </c>
      <c r="BT53">
        <f t="shared" si="583"/>
        <v>0.99999992473849342</v>
      </c>
      <c r="BU53">
        <f t="shared" si="584"/>
        <v>0.99999992473849342</v>
      </c>
      <c r="BV53">
        <f t="shared" si="585"/>
        <v>0.99999992473849342</v>
      </c>
      <c r="BW53">
        <f t="shared" si="586"/>
        <v>0.99999992473849342</v>
      </c>
      <c r="BX53">
        <f t="shared" si="587"/>
        <v>0.99999992473849342</v>
      </c>
      <c r="BY53">
        <f t="shared" si="588"/>
        <v>0.99999992473849342</v>
      </c>
      <c r="BZ53">
        <f t="shared" si="589"/>
        <v>0.99999992473849342</v>
      </c>
      <c r="CA53">
        <f t="shared" si="590"/>
        <v>0.99999992473849342</v>
      </c>
      <c r="CB53">
        <f t="shared" si="591"/>
        <v>0.99999992473849342</v>
      </c>
      <c r="CC53">
        <f t="shared" si="592"/>
        <v>0.99999992473849342</v>
      </c>
      <c r="CD53">
        <f t="shared" si="593"/>
        <v>0.99999992473849342</v>
      </c>
      <c r="CE53">
        <f t="shared" si="594"/>
        <v>0.99999992473849342</v>
      </c>
      <c r="CF53">
        <f t="shared" si="595"/>
        <v>0.99999992473849342</v>
      </c>
      <c r="CG53">
        <f t="shared" si="596"/>
        <v>0.99999992473849342</v>
      </c>
      <c r="CH53">
        <f t="shared" si="597"/>
        <v>0.99999992473849342</v>
      </c>
      <c r="CI53">
        <f t="shared" si="598"/>
        <v>0.99999992473849342</v>
      </c>
      <c r="CJ53">
        <f t="shared" si="599"/>
        <v>0.99999992473849342</v>
      </c>
      <c r="CK53">
        <f t="shared" si="600"/>
        <v>0.99999992473849342</v>
      </c>
      <c r="CL53">
        <f t="shared" si="601"/>
        <v>0.99999992473849342</v>
      </c>
      <c r="CM53">
        <f t="shared" si="602"/>
        <v>0.99999992473849342</v>
      </c>
      <c r="CN53">
        <f t="shared" si="603"/>
        <v>0.99999992473849342</v>
      </c>
      <c r="CO53">
        <f t="shared" si="604"/>
        <v>0.99999992473849342</v>
      </c>
      <c r="CP53">
        <f t="shared" si="605"/>
        <v>0.99999992473849342</v>
      </c>
      <c r="CQ53">
        <f t="shared" si="606"/>
        <v>0.99999992473849342</v>
      </c>
      <c r="CR53">
        <f t="shared" si="607"/>
        <v>0.99999992473849342</v>
      </c>
      <c r="CS53">
        <f t="shared" si="608"/>
        <v>0.99999992473849342</v>
      </c>
      <c r="CT53">
        <f t="shared" si="609"/>
        <v>0.99999992473849342</v>
      </c>
      <c r="CU53">
        <f t="shared" si="610"/>
        <v>0.99999992473849342</v>
      </c>
      <c r="CV53">
        <f t="shared" si="611"/>
        <v>0.99999992473849342</v>
      </c>
      <c r="CW53">
        <f t="shared" si="612"/>
        <v>0.99999992473849342</v>
      </c>
      <c r="CX53">
        <f t="shared" si="613"/>
        <v>0.99999992473849342</v>
      </c>
      <c r="CY53">
        <f t="shared" si="614"/>
        <v>0.99999992473849342</v>
      </c>
      <c r="CZ53">
        <f t="shared" si="615"/>
        <v>0.99999992473849342</v>
      </c>
      <c r="DA53">
        <f t="shared" si="616"/>
        <v>0.99999992473849342</v>
      </c>
      <c r="DB53">
        <f t="shared" si="617"/>
        <v>0.99999992473849342</v>
      </c>
      <c r="DC53">
        <f t="shared" si="618"/>
        <v>0.99999992473849342</v>
      </c>
      <c r="DD53">
        <f t="shared" si="619"/>
        <v>0.99999992473849342</v>
      </c>
      <c r="DE53">
        <f t="shared" si="620"/>
        <v>0.99999992473849342</v>
      </c>
      <c r="DF53">
        <f t="shared" si="621"/>
        <v>0.99999992473849342</v>
      </c>
      <c r="DG53">
        <f t="shared" si="622"/>
        <v>0.99999992473849342</v>
      </c>
      <c r="DH53">
        <f t="shared" si="623"/>
        <v>0.99999992473849342</v>
      </c>
      <c r="DI53">
        <f t="shared" si="624"/>
        <v>0.99999992473849342</v>
      </c>
      <c r="DJ53">
        <f t="shared" si="625"/>
        <v>0.99999992473849342</v>
      </c>
      <c r="DK53">
        <f t="shared" si="626"/>
        <v>0.99999992473849342</v>
      </c>
      <c r="DL53">
        <f t="shared" si="627"/>
        <v>0.99999992473849342</v>
      </c>
      <c r="DM53">
        <f t="shared" si="628"/>
        <v>0.99999992473849342</v>
      </c>
      <c r="DN53">
        <f t="shared" si="629"/>
        <v>0.99999992473849342</v>
      </c>
      <c r="DO53">
        <f t="shared" si="630"/>
        <v>0.99999992473849342</v>
      </c>
      <c r="DP53">
        <f t="shared" si="631"/>
        <v>0.99999992473849342</v>
      </c>
      <c r="DQ53">
        <f t="shared" si="632"/>
        <v>0.99999992473849342</v>
      </c>
      <c r="DR53">
        <f t="shared" si="633"/>
        <v>0.99999992473849342</v>
      </c>
      <c r="DS53">
        <f t="shared" si="634"/>
        <v>0.99999992473849342</v>
      </c>
      <c r="DT53">
        <f t="shared" si="635"/>
        <v>0.99999992473849342</v>
      </c>
      <c r="DU53">
        <f t="shared" si="636"/>
        <v>0.99999992473849342</v>
      </c>
      <c r="DV53">
        <f t="shared" si="637"/>
        <v>0.99999992473849342</v>
      </c>
      <c r="DW53">
        <f t="shared" si="638"/>
        <v>0.99999992473849342</v>
      </c>
      <c r="DX53">
        <f t="shared" si="639"/>
        <v>0.99999992473849342</v>
      </c>
      <c r="DY53">
        <f t="shared" si="640"/>
        <v>0.99999992473849342</v>
      </c>
      <c r="DZ53">
        <f t="shared" si="641"/>
        <v>0.99999992473849342</v>
      </c>
      <c r="EA53">
        <f t="shared" si="642"/>
        <v>0.99999992473849342</v>
      </c>
      <c r="EB53">
        <f t="shared" si="643"/>
        <v>0.99999992473849342</v>
      </c>
      <c r="EC53">
        <f t="shared" si="644"/>
        <v>0.99999992473849342</v>
      </c>
      <c r="ED53">
        <f t="shared" si="645"/>
        <v>0.99999992473849342</v>
      </c>
      <c r="EE53">
        <f t="shared" si="646"/>
        <v>0.99999992473849342</v>
      </c>
      <c r="EF53">
        <f t="shared" si="647"/>
        <v>0.99999992473849342</v>
      </c>
      <c r="EG53">
        <f t="shared" si="648"/>
        <v>0.99999992473849342</v>
      </c>
      <c r="EH53">
        <f t="shared" si="649"/>
        <v>0.99999992473849342</v>
      </c>
      <c r="EI53">
        <f t="shared" si="650"/>
        <v>0.99999992473849342</v>
      </c>
      <c r="EJ53">
        <f t="shared" si="651"/>
        <v>0.99999992473849342</v>
      </c>
      <c r="EK53">
        <f t="shared" si="652"/>
        <v>0.99999992473849342</v>
      </c>
      <c r="EL53">
        <f t="shared" si="653"/>
        <v>0.99999992473849342</v>
      </c>
      <c r="EM53">
        <f t="shared" si="654"/>
        <v>0.99999992473849342</v>
      </c>
      <c r="EN53">
        <f t="shared" si="655"/>
        <v>0.99999992473849342</v>
      </c>
      <c r="EO53">
        <f t="shared" si="656"/>
        <v>0.99999992473849342</v>
      </c>
      <c r="EP53">
        <f t="shared" si="657"/>
        <v>0.99999992473849342</v>
      </c>
      <c r="EQ53">
        <f t="shared" si="658"/>
        <v>0.99999992473849342</v>
      </c>
      <c r="ER53">
        <f t="shared" si="659"/>
        <v>0.99999992473849342</v>
      </c>
      <c r="ES53">
        <f t="shared" si="660"/>
        <v>0.99999992473849342</v>
      </c>
      <c r="ET53">
        <f t="shared" si="661"/>
        <v>0.99999992473849342</v>
      </c>
      <c r="EU53">
        <f t="shared" si="662"/>
        <v>0.99999992473849342</v>
      </c>
      <c r="EV53">
        <f t="shared" si="663"/>
        <v>0.99999992473849342</v>
      </c>
      <c r="EW53">
        <f t="shared" si="664"/>
        <v>0.99999992473849342</v>
      </c>
      <c r="EX53">
        <f t="shared" si="665"/>
        <v>0.99999992473849342</v>
      </c>
      <c r="EY53">
        <f t="shared" si="666"/>
        <v>0.99999992473849342</v>
      </c>
      <c r="EZ53">
        <f t="shared" si="667"/>
        <v>0.99999992473849342</v>
      </c>
      <c r="FA53">
        <f t="shared" si="668"/>
        <v>0.99999992473849342</v>
      </c>
      <c r="FB53">
        <f t="shared" si="669"/>
        <v>0.99999992473849342</v>
      </c>
      <c r="FC53">
        <f t="shared" si="670"/>
        <v>0.99999992473849342</v>
      </c>
      <c r="FD53">
        <f t="shared" si="671"/>
        <v>0.99999992473849342</v>
      </c>
      <c r="FE53">
        <f t="shared" si="672"/>
        <v>0.99999992473849342</v>
      </c>
      <c r="FF53">
        <f t="shared" si="673"/>
        <v>0.99999992473849342</v>
      </c>
      <c r="FG53">
        <f t="shared" si="674"/>
        <v>0.99999992473849342</v>
      </c>
      <c r="FH53">
        <f t="shared" si="675"/>
        <v>0.99999992473849342</v>
      </c>
      <c r="FI53">
        <f t="shared" si="676"/>
        <v>0.99999992473849342</v>
      </c>
      <c r="FJ53">
        <f t="shared" si="677"/>
        <v>0.99999992473849342</v>
      </c>
      <c r="FK53">
        <f t="shared" si="678"/>
        <v>0.99999992473849342</v>
      </c>
      <c r="FL53">
        <f t="shared" si="679"/>
        <v>0.99999992473849342</v>
      </c>
      <c r="FM53">
        <f t="shared" si="680"/>
        <v>0.99999992473849342</v>
      </c>
      <c r="FN53">
        <f t="shared" si="681"/>
        <v>0.99999992473849342</v>
      </c>
      <c r="FO53">
        <f t="shared" si="682"/>
        <v>0.99999992473849342</v>
      </c>
      <c r="FP53">
        <f t="shared" si="683"/>
        <v>0.99999992473849342</v>
      </c>
      <c r="FQ53">
        <f t="shared" si="684"/>
        <v>0.99999992473849342</v>
      </c>
      <c r="FR53">
        <f t="shared" si="685"/>
        <v>0.99999992473849342</v>
      </c>
      <c r="FS53">
        <f t="shared" si="686"/>
        <v>0.99999992473849342</v>
      </c>
      <c r="FT53">
        <f t="shared" si="687"/>
        <v>0.99999992473849342</v>
      </c>
      <c r="FU53">
        <f t="shared" si="688"/>
        <v>0.99999992473849342</v>
      </c>
      <c r="FV53">
        <f t="shared" si="689"/>
        <v>0.99999992473849342</v>
      </c>
      <c r="FW53">
        <f t="shared" si="690"/>
        <v>0.99999992473849342</v>
      </c>
      <c r="FX53">
        <f t="shared" si="691"/>
        <v>0.99999992473849342</v>
      </c>
      <c r="FY53">
        <f t="shared" si="692"/>
        <v>0.99999992473849342</v>
      </c>
      <c r="FZ53">
        <f t="shared" si="693"/>
        <v>0.99999992473849342</v>
      </c>
      <c r="GA53">
        <f t="shared" si="694"/>
        <v>0.99999992473849342</v>
      </c>
      <c r="GB53">
        <f t="shared" si="695"/>
        <v>0.99999992473849342</v>
      </c>
      <c r="GC53">
        <f t="shared" si="696"/>
        <v>0.99999992473849342</v>
      </c>
      <c r="GD53">
        <f t="shared" si="697"/>
        <v>0.99999992473849342</v>
      </c>
      <c r="GE53">
        <f t="shared" si="698"/>
        <v>0.99999992473849342</v>
      </c>
      <c r="GF53">
        <f t="shared" si="699"/>
        <v>0.99999992473849342</v>
      </c>
      <c r="GG53">
        <f t="shared" si="700"/>
        <v>0.99999992473849342</v>
      </c>
      <c r="GH53">
        <f t="shared" si="701"/>
        <v>0.99999992473849342</v>
      </c>
      <c r="GI53">
        <f t="shared" si="702"/>
        <v>0.99999992473849342</v>
      </c>
      <c r="GJ53">
        <f t="shared" si="703"/>
        <v>0.99999992473849342</v>
      </c>
      <c r="GK53">
        <f t="shared" si="704"/>
        <v>0.99999992473849342</v>
      </c>
      <c r="GL53">
        <f t="shared" si="705"/>
        <v>0.99999992473849342</v>
      </c>
      <c r="GM53">
        <f t="shared" si="706"/>
        <v>0.99999992473849342</v>
      </c>
      <c r="GN53">
        <f t="shared" si="707"/>
        <v>0.99999992473849342</v>
      </c>
      <c r="GO53">
        <f t="shared" si="708"/>
        <v>0.99999992473849342</v>
      </c>
      <c r="GP53">
        <f t="shared" si="709"/>
        <v>0.99999992473849342</v>
      </c>
      <c r="GQ53">
        <f t="shared" si="710"/>
        <v>0.99999992473849342</v>
      </c>
      <c r="GR53">
        <f t="shared" si="711"/>
        <v>0.99999992473849342</v>
      </c>
      <c r="GS53">
        <f t="shared" si="712"/>
        <v>0.99999992473849342</v>
      </c>
      <c r="GT53">
        <f t="shared" si="713"/>
        <v>0.99999992473849342</v>
      </c>
      <c r="GU53">
        <f t="shared" si="714"/>
        <v>0.99999992473849342</v>
      </c>
      <c r="GV53">
        <f t="shared" si="715"/>
        <v>0.99999992473849342</v>
      </c>
      <c r="GW53">
        <f t="shared" si="716"/>
        <v>0.99999992473849342</v>
      </c>
      <c r="GX53">
        <f t="shared" si="717"/>
        <v>0.99999992473849342</v>
      </c>
      <c r="GY53">
        <f t="shared" si="718"/>
        <v>0.99999992473849342</v>
      </c>
      <c r="GZ53">
        <f t="shared" si="719"/>
        <v>0.99999992473849342</v>
      </c>
      <c r="HA53">
        <f t="shared" si="720"/>
        <v>0.99999992473849342</v>
      </c>
      <c r="HB53">
        <f t="shared" si="721"/>
        <v>0.99999992473849342</v>
      </c>
      <c r="HC53">
        <f t="shared" si="722"/>
        <v>0.99999992473849342</v>
      </c>
      <c r="HD53">
        <f t="shared" si="723"/>
        <v>0.99999992473849342</v>
      </c>
      <c r="HE53">
        <f t="shared" si="724"/>
        <v>0.99999992473849342</v>
      </c>
      <c r="HF53">
        <f t="shared" si="725"/>
        <v>0.99999992473849342</v>
      </c>
      <c r="HG53">
        <f t="shared" si="726"/>
        <v>0.99999992473849342</v>
      </c>
      <c r="HH53">
        <f t="shared" si="727"/>
        <v>0.99999992473849342</v>
      </c>
      <c r="HI53">
        <f t="shared" si="728"/>
        <v>0.99999992473849342</v>
      </c>
      <c r="HJ53">
        <f t="shared" si="729"/>
        <v>0.99999992473849342</v>
      </c>
      <c r="HK53">
        <f t="shared" si="730"/>
        <v>0.99999992473849342</v>
      </c>
      <c r="HL53">
        <f t="shared" si="731"/>
        <v>0.99999992473849342</v>
      </c>
      <c r="HM53">
        <f t="shared" si="732"/>
        <v>0.99999992473849342</v>
      </c>
      <c r="HN53">
        <f t="shared" si="733"/>
        <v>0.99999992473849342</v>
      </c>
      <c r="HO53">
        <f t="shared" si="734"/>
        <v>0.99999992473849342</v>
      </c>
      <c r="HP53">
        <f t="shared" si="735"/>
        <v>0.99999992473849342</v>
      </c>
      <c r="HQ53">
        <f t="shared" si="736"/>
        <v>0.99999992473849342</v>
      </c>
      <c r="HR53">
        <f t="shared" si="737"/>
        <v>0.99999992473849342</v>
      </c>
      <c r="HS53">
        <f t="shared" si="738"/>
        <v>0.99999992473849342</v>
      </c>
      <c r="HT53">
        <f t="shared" si="739"/>
        <v>0.99999992473849342</v>
      </c>
      <c r="HU53">
        <f t="shared" si="740"/>
        <v>0.99999992473849342</v>
      </c>
      <c r="HV53">
        <f t="shared" si="741"/>
        <v>0.99999992473849342</v>
      </c>
      <c r="HW53">
        <f t="shared" si="742"/>
        <v>0.99999992473849342</v>
      </c>
      <c r="HX53">
        <f t="shared" si="743"/>
        <v>0.99999992473849342</v>
      </c>
      <c r="HY53">
        <f t="shared" si="744"/>
        <v>0.99999992473849342</v>
      </c>
      <c r="HZ53">
        <f t="shared" si="745"/>
        <v>0.99999992473849342</v>
      </c>
      <c r="IA53">
        <f t="shared" si="746"/>
        <v>0.99999992473849342</v>
      </c>
      <c r="IB53">
        <f t="shared" si="747"/>
        <v>0.99999992473849342</v>
      </c>
      <c r="IC53">
        <f t="shared" si="748"/>
        <v>0.99999992473849342</v>
      </c>
      <c r="ID53">
        <f t="shared" si="749"/>
        <v>0.99999992473849342</v>
      </c>
      <c r="IE53">
        <f t="shared" si="750"/>
        <v>0.99999992473849342</v>
      </c>
      <c r="IF53">
        <f t="shared" si="751"/>
        <v>0.99999992473849342</v>
      </c>
      <c r="IG53">
        <f t="shared" si="752"/>
        <v>0.99999992473849342</v>
      </c>
      <c r="IH53">
        <f t="shared" si="753"/>
        <v>0.99999992473849342</v>
      </c>
      <c r="II53">
        <f t="shared" si="754"/>
        <v>0.99999992473849342</v>
      </c>
      <c r="IJ53">
        <f t="shared" si="755"/>
        <v>0.99999992473849342</v>
      </c>
      <c r="IK53">
        <f t="shared" si="756"/>
        <v>0.99999992473849342</v>
      </c>
      <c r="IL53">
        <f t="shared" si="757"/>
        <v>0.99999992473849342</v>
      </c>
      <c r="IM53">
        <f t="shared" si="758"/>
        <v>0.99999992473849342</v>
      </c>
      <c r="IN53">
        <f t="shared" si="759"/>
        <v>0.99999992473849342</v>
      </c>
      <c r="IO53">
        <f t="shared" si="760"/>
        <v>0.99999992473849342</v>
      </c>
      <c r="IP53">
        <f t="shared" si="761"/>
        <v>0.99999992473849342</v>
      </c>
      <c r="IQ53">
        <f t="shared" si="762"/>
        <v>0.99999992473849342</v>
      </c>
      <c r="IR53">
        <f t="shared" si="763"/>
        <v>0.99999992473849342</v>
      </c>
      <c r="IS53">
        <f t="shared" si="764"/>
        <v>0.99999992473849342</v>
      </c>
      <c r="IT53">
        <f t="shared" si="765"/>
        <v>0.99999992473849342</v>
      </c>
      <c r="IU53">
        <f t="shared" si="766"/>
        <v>0.99999992473849342</v>
      </c>
      <c r="IV53">
        <f t="shared" si="767"/>
        <v>0.99999992473849342</v>
      </c>
    </row>
    <row r="54" spans="1:256" x14ac:dyDescent="0.2">
      <c r="A54" t="s">
        <v>525</v>
      </c>
      <c r="B54">
        <f t="shared" ref="B54:B70" si="768">$B122</f>
        <v>10</v>
      </c>
      <c r="C54">
        <f t="shared" ref="C54:C70" si="769">$B122</f>
        <v>10</v>
      </c>
      <c r="D54">
        <f t="shared" ref="D54:D70" si="770">$B122</f>
        <v>10</v>
      </c>
      <c r="E54">
        <f t="shared" ref="E54:E70" si="771">$B122</f>
        <v>10</v>
      </c>
      <c r="F54">
        <f t="shared" ref="F54:F70" si="772">$B122</f>
        <v>10</v>
      </c>
      <c r="G54">
        <f t="shared" ref="G54:G70" si="773">$B122</f>
        <v>10</v>
      </c>
      <c r="H54">
        <f t="shared" ref="H54:H70" si="774">$B122</f>
        <v>10</v>
      </c>
      <c r="I54">
        <f t="shared" ref="I54:I70" si="775">$B122</f>
        <v>10</v>
      </c>
      <c r="J54">
        <f t="shared" ref="J54:J70" si="776">$C122</f>
        <v>10</v>
      </c>
      <c r="K54">
        <f t="shared" ref="K54:K70" si="777">$C122</f>
        <v>10</v>
      </c>
      <c r="L54">
        <f t="shared" ref="L54:L70" si="778">$C122</f>
        <v>10</v>
      </c>
      <c r="M54">
        <f t="shared" ref="M54:M70" si="779">$C122</f>
        <v>10</v>
      </c>
      <c r="N54">
        <f t="shared" ref="N54:N70" si="780">$C122</f>
        <v>10</v>
      </c>
      <c r="O54">
        <f t="shared" ref="O54:O70" si="781">$C122</f>
        <v>10</v>
      </c>
      <c r="P54">
        <f t="shared" ref="P54:P70" si="782">$C122</f>
        <v>10</v>
      </c>
      <c r="Q54">
        <f t="shared" ref="Q54:Q70" si="783">$C122</f>
        <v>10</v>
      </c>
      <c r="R54">
        <f t="shared" ref="R54:R70" si="784">$D122</f>
        <v>10</v>
      </c>
      <c r="S54">
        <f t="shared" ref="S54:S70" si="785">$D122</f>
        <v>10</v>
      </c>
      <c r="T54">
        <f t="shared" ref="T54:T70" si="786">$D122</f>
        <v>10</v>
      </c>
      <c r="U54">
        <f t="shared" ref="U54:U70" si="787">$D122</f>
        <v>10</v>
      </c>
      <c r="V54">
        <f t="shared" ref="V54:V70" si="788">$D122</f>
        <v>10</v>
      </c>
      <c r="W54">
        <f t="shared" ref="W54:W70" si="789">$D122</f>
        <v>10</v>
      </c>
      <c r="X54">
        <f t="shared" ref="X54:X70" si="790">$D122</f>
        <v>10</v>
      </c>
      <c r="Y54">
        <f t="shared" ref="Y54:Y70" si="791">$D122</f>
        <v>10</v>
      </c>
      <c r="Z54">
        <f t="shared" ref="Z54:Z70" si="792">$E122</f>
        <v>10</v>
      </c>
      <c r="AA54">
        <f t="shared" ref="AA54:AA70" si="793">$E122</f>
        <v>10</v>
      </c>
      <c r="AB54">
        <f t="shared" ref="AB54:AB70" si="794">$E122</f>
        <v>10</v>
      </c>
      <c r="AC54">
        <f t="shared" ref="AC54:AC70" si="795">$E122</f>
        <v>10</v>
      </c>
      <c r="AD54">
        <f t="shared" ref="AD54:AD70" si="796">$E122</f>
        <v>10</v>
      </c>
      <c r="AE54">
        <f t="shared" ref="AE54:AE70" si="797">$E122</f>
        <v>10</v>
      </c>
      <c r="AF54">
        <f t="shared" ref="AF54:AF70" si="798">$E122</f>
        <v>10</v>
      </c>
      <c r="AG54">
        <f t="shared" ref="AG54:AG70" si="799">$E122</f>
        <v>10</v>
      </c>
      <c r="AH54">
        <f t="shared" ref="AH54:AH70" si="800">$F122</f>
        <v>10</v>
      </c>
      <c r="AI54">
        <f t="shared" ref="AI54:AI70" si="801">$F122</f>
        <v>10</v>
      </c>
      <c r="AJ54">
        <f t="shared" ref="AJ54:AJ70" si="802">$F122</f>
        <v>10</v>
      </c>
      <c r="AK54">
        <f t="shared" ref="AK54:AK70" si="803">$F122</f>
        <v>10</v>
      </c>
      <c r="AL54">
        <f t="shared" ref="AL54:AL70" si="804">$F122</f>
        <v>10</v>
      </c>
      <c r="AM54">
        <f t="shared" ref="AM54:AM70" si="805">$F122</f>
        <v>10</v>
      </c>
      <c r="AN54">
        <f t="shared" ref="AN54:AN70" si="806">$F122</f>
        <v>10</v>
      </c>
      <c r="AO54">
        <f t="shared" ref="AO54:AO70" si="807">$F122</f>
        <v>10</v>
      </c>
      <c r="AP54">
        <f t="shared" ref="AP54:AP70" si="808">$G122</f>
        <v>10</v>
      </c>
      <c r="AQ54">
        <f t="shared" ref="AQ54:AQ70" si="809">$G122</f>
        <v>10</v>
      </c>
      <c r="AR54">
        <f t="shared" ref="AR54:AR70" si="810">$G122</f>
        <v>10</v>
      </c>
      <c r="AS54">
        <f t="shared" ref="AS54:AS70" si="811">$G122</f>
        <v>10</v>
      </c>
      <c r="AT54">
        <f t="shared" ref="AT54:AT70" si="812">$G122</f>
        <v>10</v>
      </c>
      <c r="AU54">
        <f t="shared" ref="AU54:AU70" si="813">$G122</f>
        <v>10</v>
      </c>
      <c r="AV54">
        <f t="shared" ref="AV54:AV70" si="814">$G122</f>
        <v>10</v>
      </c>
      <c r="AW54">
        <f t="shared" ref="AW54:AW70" si="815">$G122</f>
        <v>10</v>
      </c>
      <c r="AX54">
        <f t="shared" ref="AX54:AX70" si="816">$G122</f>
        <v>10</v>
      </c>
      <c r="AY54">
        <f t="shared" ref="AY54:AY70" si="817">$G122</f>
        <v>10</v>
      </c>
      <c r="AZ54">
        <f t="shared" ref="AZ54:AZ70" si="818">$G122</f>
        <v>10</v>
      </c>
      <c r="BA54">
        <f t="shared" ref="BA54:BA70" si="819">$G122</f>
        <v>10</v>
      </c>
      <c r="BB54">
        <f t="shared" ref="BB54:BB70" si="820">$G122</f>
        <v>10</v>
      </c>
      <c r="BC54">
        <f t="shared" ref="BC54:BC70" si="821">$G122</f>
        <v>10</v>
      </c>
      <c r="BD54">
        <f t="shared" ref="BD54:BD70" si="822">$G122</f>
        <v>10</v>
      </c>
      <c r="BE54">
        <f t="shared" ref="BE54:BE70" si="823">$G122</f>
        <v>10</v>
      </c>
      <c r="BF54">
        <f t="shared" ref="BF54:BF70" si="824">$G122</f>
        <v>10</v>
      </c>
      <c r="BG54">
        <f t="shared" ref="BG54:BG70" si="825">$G122</f>
        <v>10</v>
      </c>
      <c r="BH54">
        <f t="shared" ref="BH54:BH70" si="826">$G122</f>
        <v>10</v>
      </c>
      <c r="BI54">
        <f t="shared" ref="BI54:BI70" si="827">$G122</f>
        <v>10</v>
      </c>
      <c r="BJ54">
        <f t="shared" ref="BJ54:BJ70" si="828">$G122</f>
        <v>10</v>
      </c>
      <c r="BK54">
        <f t="shared" ref="BK54:BK70" si="829">$G122</f>
        <v>10</v>
      </c>
      <c r="BL54">
        <f t="shared" ref="BL54:BL70" si="830">$G122</f>
        <v>10</v>
      </c>
      <c r="BM54">
        <f t="shared" ref="BM54:BM70" si="831">$G122</f>
        <v>10</v>
      </c>
      <c r="BN54">
        <f t="shared" ref="BN54:BN70" si="832">$G122</f>
        <v>10</v>
      </c>
      <c r="BO54">
        <f t="shared" ref="BO54:BO70" si="833">$G122</f>
        <v>10</v>
      </c>
      <c r="BP54">
        <f t="shared" ref="BP54:BP70" si="834">$G122</f>
        <v>10</v>
      </c>
      <c r="BQ54">
        <f t="shared" ref="BQ54:BQ70" si="835">$G122</f>
        <v>10</v>
      </c>
      <c r="BR54">
        <f t="shared" ref="BR54:BR70" si="836">$G122</f>
        <v>10</v>
      </c>
      <c r="BS54">
        <f t="shared" ref="BS54:BS70" si="837">$G122</f>
        <v>10</v>
      </c>
      <c r="BT54">
        <f t="shared" ref="BT54:BT70" si="838">$G122</f>
        <v>10</v>
      </c>
      <c r="BU54">
        <f t="shared" ref="BU54:BU70" si="839">$G122</f>
        <v>10</v>
      </c>
      <c r="BV54">
        <f t="shared" ref="BV54:BV70" si="840">$G122</f>
        <v>10</v>
      </c>
      <c r="BW54">
        <f t="shared" ref="BW54:BW70" si="841">$G122</f>
        <v>10</v>
      </c>
      <c r="BX54">
        <f t="shared" ref="BX54:BX70" si="842">$G122</f>
        <v>10</v>
      </c>
      <c r="BY54">
        <f t="shared" ref="BY54:BY70" si="843">$G122</f>
        <v>10</v>
      </c>
      <c r="BZ54">
        <f t="shared" ref="BZ54:BZ70" si="844">$G122</f>
        <v>10</v>
      </c>
      <c r="CA54">
        <f t="shared" ref="CA54:CA70" si="845">$G122</f>
        <v>10</v>
      </c>
      <c r="CB54">
        <f t="shared" ref="CB54:CB70" si="846">$G122</f>
        <v>10</v>
      </c>
      <c r="CC54">
        <f t="shared" ref="CC54:CC70" si="847">$G122</f>
        <v>10</v>
      </c>
      <c r="CD54">
        <f t="shared" ref="CD54:CD70" si="848">$G122</f>
        <v>10</v>
      </c>
      <c r="CE54">
        <f t="shared" ref="CE54:CE70" si="849">$G122</f>
        <v>10</v>
      </c>
      <c r="CF54">
        <f t="shared" ref="CF54:CF70" si="850">$G122</f>
        <v>10</v>
      </c>
      <c r="CG54">
        <f t="shared" ref="CG54:CG70" si="851">$G122</f>
        <v>10</v>
      </c>
      <c r="CH54">
        <f t="shared" ref="CH54:CH70" si="852">$G122</f>
        <v>10</v>
      </c>
      <c r="CI54">
        <f t="shared" ref="CI54:CI70" si="853">$G122</f>
        <v>10</v>
      </c>
      <c r="CJ54">
        <f t="shared" ref="CJ54:CJ70" si="854">$G122</f>
        <v>10</v>
      </c>
      <c r="CK54">
        <f t="shared" ref="CK54:CK70" si="855">$G122</f>
        <v>10</v>
      </c>
      <c r="CL54">
        <f t="shared" ref="CL54:CL70" si="856">$G122</f>
        <v>10</v>
      </c>
      <c r="CM54">
        <f t="shared" ref="CM54:CM70" si="857">$G122</f>
        <v>10</v>
      </c>
      <c r="CN54">
        <f t="shared" ref="CN54:CN70" si="858">$G122</f>
        <v>10</v>
      </c>
      <c r="CO54">
        <f t="shared" ref="CO54:CO70" si="859">$G122</f>
        <v>10</v>
      </c>
      <c r="CP54">
        <f t="shared" ref="CP54:CP70" si="860">$G122</f>
        <v>10</v>
      </c>
      <c r="CQ54">
        <f t="shared" ref="CQ54:CQ70" si="861">$G122</f>
        <v>10</v>
      </c>
      <c r="CR54">
        <f t="shared" ref="CR54:CR70" si="862">$G122</f>
        <v>10</v>
      </c>
      <c r="CS54">
        <f t="shared" ref="CS54:CS70" si="863">$G122</f>
        <v>10</v>
      </c>
      <c r="CT54">
        <f t="shared" ref="CT54:CT70" si="864">$G122</f>
        <v>10</v>
      </c>
      <c r="CU54">
        <f t="shared" ref="CU54:CU70" si="865">$G122</f>
        <v>10</v>
      </c>
      <c r="CV54">
        <f t="shared" ref="CV54:CV70" si="866">$G122</f>
        <v>10</v>
      </c>
      <c r="CW54">
        <f t="shared" ref="CW54:CW70" si="867">$G122</f>
        <v>10</v>
      </c>
      <c r="CX54">
        <f t="shared" ref="CX54:CX70" si="868">$G122</f>
        <v>10</v>
      </c>
      <c r="CY54">
        <f t="shared" ref="CY54:CY70" si="869">$G122</f>
        <v>10</v>
      </c>
      <c r="CZ54">
        <f t="shared" ref="CZ54:CZ70" si="870">$G122</f>
        <v>10</v>
      </c>
      <c r="DA54">
        <f t="shared" ref="DA54:DA70" si="871">$G122</f>
        <v>10</v>
      </c>
      <c r="DB54">
        <f t="shared" ref="DB54:DB70" si="872">$G122</f>
        <v>10</v>
      </c>
      <c r="DC54">
        <f t="shared" ref="DC54:DC70" si="873">$G122</f>
        <v>10</v>
      </c>
      <c r="DD54">
        <f t="shared" ref="DD54:DD70" si="874">$G122</f>
        <v>10</v>
      </c>
      <c r="DE54">
        <f t="shared" ref="DE54:DE70" si="875">$G122</f>
        <v>10</v>
      </c>
      <c r="DF54">
        <f t="shared" ref="DF54:DF70" si="876">$G122</f>
        <v>10</v>
      </c>
      <c r="DG54">
        <f t="shared" ref="DG54:DG70" si="877">$G122</f>
        <v>10</v>
      </c>
      <c r="DH54">
        <f t="shared" ref="DH54:DH70" si="878">$G122</f>
        <v>10</v>
      </c>
      <c r="DI54">
        <f t="shared" ref="DI54:DI70" si="879">$G122</f>
        <v>10</v>
      </c>
      <c r="DJ54">
        <f t="shared" ref="DJ54:DJ70" si="880">$G122</f>
        <v>10</v>
      </c>
      <c r="DK54">
        <f t="shared" ref="DK54:DK70" si="881">$G122</f>
        <v>10</v>
      </c>
      <c r="DL54">
        <f t="shared" ref="DL54:DL70" si="882">$G122</f>
        <v>10</v>
      </c>
      <c r="DM54">
        <f t="shared" ref="DM54:DM70" si="883">$G122</f>
        <v>10</v>
      </c>
      <c r="DN54">
        <f t="shared" ref="DN54:DN70" si="884">$G122</f>
        <v>10</v>
      </c>
      <c r="DO54">
        <f t="shared" ref="DO54:DO70" si="885">$G122</f>
        <v>10</v>
      </c>
      <c r="DP54">
        <f t="shared" ref="DP54:DP70" si="886">$G122</f>
        <v>10</v>
      </c>
      <c r="DQ54">
        <f t="shared" ref="DQ54:DQ70" si="887">$G122</f>
        <v>10</v>
      </c>
      <c r="DR54">
        <f t="shared" ref="DR54:DR70" si="888">$G122</f>
        <v>10</v>
      </c>
      <c r="DS54">
        <f t="shared" ref="DS54:DS70" si="889">$G122</f>
        <v>10</v>
      </c>
      <c r="DT54">
        <f t="shared" ref="DT54:DT70" si="890">$G122</f>
        <v>10</v>
      </c>
      <c r="DU54">
        <f t="shared" ref="DU54:DU70" si="891">$G122</f>
        <v>10</v>
      </c>
      <c r="DV54">
        <f t="shared" ref="DV54:DV70" si="892">$G122</f>
        <v>10</v>
      </c>
      <c r="DW54">
        <f t="shared" ref="DW54:DW70" si="893">$G122</f>
        <v>10</v>
      </c>
      <c r="DX54">
        <f t="shared" ref="DX54:DX70" si="894">$G122</f>
        <v>10</v>
      </c>
      <c r="DY54">
        <f t="shared" ref="DY54:DY70" si="895">$G122</f>
        <v>10</v>
      </c>
      <c r="DZ54">
        <f t="shared" ref="DZ54:DZ70" si="896">$G122</f>
        <v>10</v>
      </c>
      <c r="EA54">
        <f t="shared" ref="EA54:EA70" si="897">$G122</f>
        <v>10</v>
      </c>
      <c r="EB54">
        <f t="shared" ref="EB54:EB70" si="898">$G122</f>
        <v>10</v>
      </c>
      <c r="EC54">
        <f t="shared" ref="EC54:EC70" si="899">$G122</f>
        <v>10</v>
      </c>
      <c r="ED54">
        <f t="shared" ref="ED54:ED70" si="900">$G122</f>
        <v>10</v>
      </c>
      <c r="EE54">
        <f t="shared" ref="EE54:EE70" si="901">$G122</f>
        <v>10</v>
      </c>
      <c r="EF54">
        <f t="shared" ref="EF54:EF70" si="902">$G122</f>
        <v>10</v>
      </c>
      <c r="EG54">
        <f t="shared" ref="EG54:EG70" si="903">$G122</f>
        <v>10</v>
      </c>
      <c r="EH54">
        <f t="shared" ref="EH54:EH70" si="904">$G122</f>
        <v>10</v>
      </c>
      <c r="EI54">
        <f t="shared" ref="EI54:EI70" si="905">$G122</f>
        <v>10</v>
      </c>
      <c r="EJ54">
        <f t="shared" ref="EJ54:EJ70" si="906">$G122</f>
        <v>10</v>
      </c>
      <c r="EK54">
        <f t="shared" ref="EK54:EK70" si="907">$G122</f>
        <v>10</v>
      </c>
      <c r="EL54">
        <f t="shared" ref="EL54:EL70" si="908">$G122</f>
        <v>10</v>
      </c>
      <c r="EM54">
        <f t="shared" ref="EM54:EM70" si="909">$G122</f>
        <v>10</v>
      </c>
      <c r="EN54">
        <f t="shared" ref="EN54:EN70" si="910">$G122</f>
        <v>10</v>
      </c>
      <c r="EO54">
        <f t="shared" ref="EO54:EO70" si="911">$G122</f>
        <v>10</v>
      </c>
      <c r="EP54">
        <f t="shared" ref="EP54:EP70" si="912">$G122</f>
        <v>10</v>
      </c>
      <c r="EQ54">
        <f t="shared" ref="EQ54:EQ70" si="913">$G122</f>
        <v>10</v>
      </c>
      <c r="ER54">
        <f t="shared" ref="ER54:ER70" si="914">$G122</f>
        <v>10</v>
      </c>
      <c r="ES54">
        <f t="shared" ref="ES54:ES70" si="915">$G122</f>
        <v>10</v>
      </c>
      <c r="ET54">
        <f t="shared" ref="ET54:ET70" si="916">$G122</f>
        <v>10</v>
      </c>
      <c r="EU54">
        <f t="shared" ref="EU54:EU70" si="917">$G122</f>
        <v>10</v>
      </c>
      <c r="EV54">
        <f t="shared" ref="EV54:EV70" si="918">$G122</f>
        <v>10</v>
      </c>
      <c r="EW54">
        <f t="shared" ref="EW54:EW70" si="919">$G122</f>
        <v>10</v>
      </c>
      <c r="EX54">
        <f t="shared" ref="EX54:EX70" si="920">$G122</f>
        <v>10</v>
      </c>
      <c r="EY54">
        <f t="shared" ref="EY54:EY70" si="921">$G122</f>
        <v>10</v>
      </c>
      <c r="EZ54">
        <f t="shared" ref="EZ54:EZ70" si="922">$G122</f>
        <v>10</v>
      </c>
      <c r="FA54">
        <f t="shared" ref="FA54:FA70" si="923">$G122</f>
        <v>10</v>
      </c>
      <c r="FB54">
        <f t="shared" ref="FB54:FB70" si="924">$G122</f>
        <v>10</v>
      </c>
      <c r="FC54">
        <f t="shared" ref="FC54:FC70" si="925">$G122</f>
        <v>10</v>
      </c>
      <c r="FD54">
        <f t="shared" ref="FD54:FD70" si="926">$G122</f>
        <v>10</v>
      </c>
      <c r="FE54">
        <f t="shared" ref="FE54:FE70" si="927">$G122</f>
        <v>10</v>
      </c>
      <c r="FF54">
        <f t="shared" ref="FF54:FF70" si="928">$G122</f>
        <v>10</v>
      </c>
      <c r="FG54">
        <f t="shared" ref="FG54:FG70" si="929">$G122</f>
        <v>10</v>
      </c>
      <c r="FH54">
        <f t="shared" ref="FH54:FH70" si="930">$G122</f>
        <v>10</v>
      </c>
      <c r="FI54">
        <f t="shared" ref="FI54:FI70" si="931">$G122</f>
        <v>10</v>
      </c>
      <c r="FJ54">
        <f t="shared" ref="FJ54:FJ70" si="932">$G122</f>
        <v>10</v>
      </c>
      <c r="FK54">
        <f t="shared" ref="FK54:FK70" si="933">$G122</f>
        <v>10</v>
      </c>
      <c r="FL54">
        <f t="shared" ref="FL54:FL70" si="934">$G122</f>
        <v>10</v>
      </c>
      <c r="FM54">
        <f t="shared" ref="FM54:FM70" si="935">$G122</f>
        <v>10</v>
      </c>
      <c r="FN54">
        <f t="shared" ref="FN54:FN70" si="936">$G122</f>
        <v>10</v>
      </c>
      <c r="FO54">
        <f t="shared" ref="FO54:FO70" si="937">$G122</f>
        <v>10</v>
      </c>
      <c r="FP54">
        <f t="shared" ref="FP54:FP70" si="938">$G122</f>
        <v>10</v>
      </c>
      <c r="FQ54">
        <f t="shared" ref="FQ54:FQ70" si="939">$G122</f>
        <v>10</v>
      </c>
      <c r="FR54">
        <f t="shared" ref="FR54:FR70" si="940">$G122</f>
        <v>10</v>
      </c>
      <c r="FS54">
        <f t="shared" ref="FS54:FS70" si="941">$G122</f>
        <v>10</v>
      </c>
      <c r="FT54">
        <f t="shared" ref="FT54:FT70" si="942">$G122</f>
        <v>10</v>
      </c>
      <c r="FU54">
        <f t="shared" ref="FU54:FU70" si="943">$G122</f>
        <v>10</v>
      </c>
      <c r="FV54">
        <f t="shared" ref="FV54:FV70" si="944">$G122</f>
        <v>10</v>
      </c>
      <c r="FW54">
        <f t="shared" ref="FW54:FW70" si="945">$G122</f>
        <v>10</v>
      </c>
      <c r="FX54">
        <f t="shared" ref="FX54:FX70" si="946">$G122</f>
        <v>10</v>
      </c>
      <c r="FY54">
        <f t="shared" ref="FY54:FY70" si="947">$G122</f>
        <v>10</v>
      </c>
      <c r="FZ54">
        <f t="shared" ref="FZ54:FZ70" si="948">$G122</f>
        <v>10</v>
      </c>
      <c r="GA54">
        <f t="shared" ref="GA54:GA70" si="949">$G122</f>
        <v>10</v>
      </c>
      <c r="GB54">
        <f t="shared" ref="GB54:GB70" si="950">$G122</f>
        <v>10</v>
      </c>
      <c r="GC54">
        <f t="shared" ref="GC54:GC70" si="951">$G122</f>
        <v>10</v>
      </c>
      <c r="GD54">
        <f t="shared" ref="GD54:GD70" si="952">$G122</f>
        <v>10</v>
      </c>
      <c r="GE54">
        <f t="shared" ref="GE54:GE70" si="953">$G122</f>
        <v>10</v>
      </c>
      <c r="GF54">
        <f t="shared" ref="GF54:GF70" si="954">$G122</f>
        <v>10</v>
      </c>
      <c r="GG54">
        <f t="shared" ref="GG54:GG70" si="955">$G122</f>
        <v>10</v>
      </c>
      <c r="GH54">
        <f t="shared" ref="GH54:GH70" si="956">$G122</f>
        <v>10</v>
      </c>
      <c r="GI54">
        <f t="shared" ref="GI54:GI70" si="957">$G122</f>
        <v>10</v>
      </c>
      <c r="GJ54">
        <f t="shared" ref="GJ54:GJ70" si="958">$G122</f>
        <v>10</v>
      </c>
      <c r="GK54">
        <f t="shared" ref="GK54:GK70" si="959">$G122</f>
        <v>10</v>
      </c>
      <c r="GL54">
        <f t="shared" ref="GL54:GL70" si="960">$G122</f>
        <v>10</v>
      </c>
      <c r="GM54">
        <f t="shared" ref="GM54:GM70" si="961">$G122</f>
        <v>10</v>
      </c>
      <c r="GN54">
        <f t="shared" ref="GN54:GN70" si="962">$G122</f>
        <v>10</v>
      </c>
      <c r="GO54">
        <f t="shared" ref="GO54:GO70" si="963">$G122</f>
        <v>10</v>
      </c>
      <c r="GP54">
        <f t="shared" ref="GP54:GP70" si="964">$G122</f>
        <v>10</v>
      </c>
      <c r="GQ54">
        <f t="shared" ref="GQ54:GQ70" si="965">$G122</f>
        <v>10</v>
      </c>
      <c r="GR54">
        <f t="shared" ref="GR54:GR70" si="966">$G122</f>
        <v>10</v>
      </c>
      <c r="GS54">
        <f t="shared" ref="GS54:GS70" si="967">$G122</f>
        <v>10</v>
      </c>
      <c r="GT54">
        <f t="shared" ref="GT54:GT70" si="968">$G122</f>
        <v>10</v>
      </c>
      <c r="GU54">
        <f t="shared" ref="GU54:GU70" si="969">$G122</f>
        <v>10</v>
      </c>
      <c r="GV54">
        <f t="shared" ref="GV54:GV70" si="970">$G122</f>
        <v>10</v>
      </c>
      <c r="GW54">
        <f t="shared" ref="GW54:GW70" si="971">$G122</f>
        <v>10</v>
      </c>
      <c r="GX54">
        <f t="shared" ref="GX54:GX70" si="972">$G122</f>
        <v>10</v>
      </c>
      <c r="GY54">
        <f t="shared" ref="GY54:GY70" si="973">$G122</f>
        <v>10</v>
      </c>
      <c r="GZ54">
        <f t="shared" ref="GZ54:GZ70" si="974">$G122</f>
        <v>10</v>
      </c>
      <c r="HA54">
        <f t="shared" ref="HA54:HA70" si="975">$G122</f>
        <v>10</v>
      </c>
      <c r="HB54">
        <f t="shared" ref="HB54:HB70" si="976">$G122</f>
        <v>10</v>
      </c>
      <c r="HC54">
        <f t="shared" ref="HC54:HC70" si="977">$G122</f>
        <v>10</v>
      </c>
      <c r="HD54">
        <f t="shared" ref="HD54:HD70" si="978">$G122</f>
        <v>10</v>
      </c>
      <c r="HE54">
        <f t="shared" ref="HE54:HE70" si="979">$G122</f>
        <v>10</v>
      </c>
      <c r="HF54">
        <f t="shared" ref="HF54:HF70" si="980">$G122</f>
        <v>10</v>
      </c>
      <c r="HG54">
        <f t="shared" ref="HG54:HG70" si="981">$G122</f>
        <v>10</v>
      </c>
      <c r="HH54">
        <f t="shared" ref="HH54:HH70" si="982">$G122</f>
        <v>10</v>
      </c>
      <c r="HI54">
        <f t="shared" ref="HI54:HI70" si="983">$G122</f>
        <v>10</v>
      </c>
      <c r="HJ54">
        <f t="shared" ref="HJ54:HJ70" si="984">$G122</f>
        <v>10</v>
      </c>
      <c r="HK54">
        <f t="shared" ref="HK54:HK70" si="985">$G122</f>
        <v>10</v>
      </c>
      <c r="HL54">
        <f t="shared" ref="HL54:HL70" si="986">$G122</f>
        <v>10</v>
      </c>
      <c r="HM54">
        <f t="shared" ref="HM54:HM70" si="987">$G122</f>
        <v>10</v>
      </c>
      <c r="HN54">
        <f t="shared" ref="HN54:HN70" si="988">$G122</f>
        <v>10</v>
      </c>
      <c r="HO54">
        <f t="shared" ref="HO54:HO70" si="989">$G122</f>
        <v>10</v>
      </c>
      <c r="HP54">
        <f t="shared" ref="HP54:HP70" si="990">$G122</f>
        <v>10</v>
      </c>
      <c r="HQ54">
        <f t="shared" ref="HQ54:HQ70" si="991">$G122</f>
        <v>10</v>
      </c>
      <c r="HR54">
        <f t="shared" ref="HR54:HR70" si="992">$G122</f>
        <v>10</v>
      </c>
      <c r="HS54">
        <f t="shared" ref="HS54:HS70" si="993">$G122</f>
        <v>10</v>
      </c>
      <c r="HT54">
        <f t="shared" ref="HT54:HT70" si="994">$G122</f>
        <v>10</v>
      </c>
      <c r="HU54">
        <f t="shared" ref="HU54:HU70" si="995">$G122</f>
        <v>10</v>
      </c>
      <c r="HV54">
        <f t="shared" ref="HV54:HV70" si="996">$G122</f>
        <v>10</v>
      </c>
      <c r="HW54">
        <f t="shared" ref="HW54:HW70" si="997">$G122</f>
        <v>10</v>
      </c>
      <c r="HX54">
        <f t="shared" ref="HX54:HX70" si="998">$G122</f>
        <v>10</v>
      </c>
      <c r="HY54">
        <f t="shared" ref="HY54:HY70" si="999">$G122</f>
        <v>10</v>
      </c>
      <c r="HZ54">
        <f t="shared" ref="HZ54:HZ70" si="1000">$G122</f>
        <v>10</v>
      </c>
      <c r="IA54">
        <f t="shared" ref="IA54:IA70" si="1001">$G122</f>
        <v>10</v>
      </c>
      <c r="IB54">
        <f t="shared" ref="IB54:IB70" si="1002">$G122</f>
        <v>10</v>
      </c>
      <c r="IC54">
        <f t="shared" ref="IC54:IC70" si="1003">$G122</f>
        <v>10</v>
      </c>
      <c r="ID54">
        <f t="shared" ref="ID54:ID70" si="1004">$G122</f>
        <v>10</v>
      </c>
      <c r="IE54">
        <f t="shared" ref="IE54:IE70" si="1005">$G122</f>
        <v>10</v>
      </c>
      <c r="IF54">
        <f t="shared" ref="IF54:IF70" si="1006">$G122</f>
        <v>10</v>
      </c>
      <c r="IG54">
        <f t="shared" ref="IG54:IG70" si="1007">$G122</f>
        <v>10</v>
      </c>
      <c r="IH54">
        <f t="shared" ref="IH54:IH70" si="1008">$G122</f>
        <v>10</v>
      </c>
      <c r="II54">
        <f t="shared" ref="II54:II70" si="1009">$G122</f>
        <v>10</v>
      </c>
      <c r="IJ54">
        <f t="shared" ref="IJ54:IJ70" si="1010">$G122</f>
        <v>10</v>
      </c>
      <c r="IK54">
        <f t="shared" ref="IK54:IK70" si="1011">$G122</f>
        <v>10</v>
      </c>
      <c r="IL54">
        <f t="shared" ref="IL54:IL70" si="1012">$G122</f>
        <v>10</v>
      </c>
      <c r="IM54">
        <f t="shared" ref="IM54:IM70" si="1013">$G122</f>
        <v>10</v>
      </c>
      <c r="IN54">
        <f t="shared" ref="IN54:IN70" si="1014">$G122</f>
        <v>10</v>
      </c>
      <c r="IO54">
        <f t="shared" ref="IO54:IO70" si="1015">$G122</f>
        <v>10</v>
      </c>
      <c r="IP54">
        <f t="shared" ref="IP54:IP70" si="1016">$G122</f>
        <v>10</v>
      </c>
      <c r="IQ54">
        <f t="shared" ref="IQ54:IQ70" si="1017">$G122</f>
        <v>10</v>
      </c>
      <c r="IR54">
        <f t="shared" ref="IR54:IR70" si="1018">$G122</f>
        <v>10</v>
      </c>
      <c r="IS54">
        <f t="shared" ref="IS54:IS70" si="1019">$G122</f>
        <v>10</v>
      </c>
      <c r="IT54">
        <f t="shared" ref="IT54:IT70" si="1020">$G122</f>
        <v>10</v>
      </c>
      <c r="IU54">
        <f t="shared" ref="IU54:IU70" si="1021">$G122</f>
        <v>10</v>
      </c>
      <c r="IV54">
        <f t="shared" ref="IV54:IV70" si="1022">$G122</f>
        <v>10</v>
      </c>
    </row>
    <row r="55" spans="1:256" x14ac:dyDescent="0.2">
      <c r="A55" t="s">
        <v>526</v>
      </c>
      <c r="B55">
        <f t="shared" si="768"/>
        <v>10</v>
      </c>
      <c r="C55">
        <f t="shared" si="769"/>
        <v>10</v>
      </c>
      <c r="D55">
        <f t="shared" si="770"/>
        <v>10</v>
      </c>
      <c r="E55">
        <f t="shared" si="771"/>
        <v>10</v>
      </c>
      <c r="F55">
        <f t="shared" si="772"/>
        <v>10</v>
      </c>
      <c r="G55">
        <f t="shared" si="773"/>
        <v>10</v>
      </c>
      <c r="H55">
        <f t="shared" si="774"/>
        <v>10</v>
      </c>
      <c r="I55">
        <f t="shared" si="775"/>
        <v>10</v>
      </c>
      <c r="J55">
        <f t="shared" si="776"/>
        <v>10</v>
      </c>
      <c r="K55">
        <f t="shared" si="777"/>
        <v>10</v>
      </c>
      <c r="L55">
        <f t="shared" si="778"/>
        <v>10</v>
      </c>
      <c r="M55">
        <f t="shared" si="779"/>
        <v>10</v>
      </c>
      <c r="N55">
        <f t="shared" si="780"/>
        <v>10</v>
      </c>
      <c r="O55">
        <f t="shared" si="781"/>
        <v>10</v>
      </c>
      <c r="P55">
        <f t="shared" si="782"/>
        <v>10</v>
      </c>
      <c r="Q55">
        <f t="shared" si="783"/>
        <v>10</v>
      </c>
      <c r="R55">
        <f t="shared" si="784"/>
        <v>10</v>
      </c>
      <c r="S55">
        <f t="shared" si="785"/>
        <v>10</v>
      </c>
      <c r="T55">
        <f t="shared" si="786"/>
        <v>10</v>
      </c>
      <c r="U55">
        <f t="shared" si="787"/>
        <v>10</v>
      </c>
      <c r="V55">
        <f t="shared" si="788"/>
        <v>10</v>
      </c>
      <c r="W55">
        <f t="shared" si="789"/>
        <v>10</v>
      </c>
      <c r="X55">
        <f t="shared" si="790"/>
        <v>10</v>
      </c>
      <c r="Y55">
        <f t="shared" si="791"/>
        <v>10</v>
      </c>
      <c r="Z55">
        <f t="shared" si="792"/>
        <v>10</v>
      </c>
      <c r="AA55">
        <f t="shared" si="793"/>
        <v>10</v>
      </c>
      <c r="AB55">
        <f t="shared" si="794"/>
        <v>10</v>
      </c>
      <c r="AC55">
        <f t="shared" si="795"/>
        <v>10</v>
      </c>
      <c r="AD55">
        <f t="shared" si="796"/>
        <v>10</v>
      </c>
      <c r="AE55">
        <f t="shared" si="797"/>
        <v>10</v>
      </c>
      <c r="AF55">
        <f t="shared" si="798"/>
        <v>10</v>
      </c>
      <c r="AG55">
        <f t="shared" si="799"/>
        <v>10</v>
      </c>
      <c r="AH55">
        <f t="shared" si="800"/>
        <v>10</v>
      </c>
      <c r="AI55">
        <f t="shared" si="801"/>
        <v>10</v>
      </c>
      <c r="AJ55">
        <f t="shared" si="802"/>
        <v>10</v>
      </c>
      <c r="AK55">
        <f t="shared" si="803"/>
        <v>10</v>
      </c>
      <c r="AL55">
        <f t="shared" si="804"/>
        <v>10</v>
      </c>
      <c r="AM55">
        <f t="shared" si="805"/>
        <v>10</v>
      </c>
      <c r="AN55">
        <f t="shared" si="806"/>
        <v>10</v>
      </c>
      <c r="AO55">
        <f t="shared" si="807"/>
        <v>10</v>
      </c>
      <c r="AP55">
        <f t="shared" si="808"/>
        <v>10</v>
      </c>
      <c r="AQ55">
        <f t="shared" si="809"/>
        <v>10</v>
      </c>
      <c r="AR55">
        <f t="shared" si="810"/>
        <v>10</v>
      </c>
      <c r="AS55">
        <f t="shared" si="811"/>
        <v>10</v>
      </c>
      <c r="AT55">
        <f t="shared" si="812"/>
        <v>10</v>
      </c>
      <c r="AU55">
        <f t="shared" si="813"/>
        <v>10</v>
      </c>
      <c r="AV55">
        <f t="shared" si="814"/>
        <v>10</v>
      </c>
      <c r="AW55">
        <f t="shared" si="815"/>
        <v>10</v>
      </c>
      <c r="AX55">
        <f t="shared" si="816"/>
        <v>10</v>
      </c>
      <c r="AY55">
        <f t="shared" si="817"/>
        <v>10</v>
      </c>
      <c r="AZ55">
        <f t="shared" si="818"/>
        <v>10</v>
      </c>
      <c r="BA55">
        <f t="shared" si="819"/>
        <v>10</v>
      </c>
      <c r="BB55">
        <f t="shared" si="820"/>
        <v>10</v>
      </c>
      <c r="BC55">
        <f t="shared" si="821"/>
        <v>10</v>
      </c>
      <c r="BD55">
        <f t="shared" si="822"/>
        <v>10</v>
      </c>
      <c r="BE55">
        <f t="shared" si="823"/>
        <v>10</v>
      </c>
      <c r="BF55">
        <f t="shared" si="824"/>
        <v>10</v>
      </c>
      <c r="BG55">
        <f t="shared" si="825"/>
        <v>10</v>
      </c>
      <c r="BH55">
        <f t="shared" si="826"/>
        <v>10</v>
      </c>
      <c r="BI55">
        <f t="shared" si="827"/>
        <v>10</v>
      </c>
      <c r="BJ55">
        <f t="shared" si="828"/>
        <v>10</v>
      </c>
      <c r="BK55">
        <f t="shared" si="829"/>
        <v>10</v>
      </c>
      <c r="BL55">
        <f t="shared" si="830"/>
        <v>10</v>
      </c>
      <c r="BM55">
        <f t="shared" si="831"/>
        <v>10</v>
      </c>
      <c r="BN55">
        <f t="shared" si="832"/>
        <v>10</v>
      </c>
      <c r="BO55">
        <f t="shared" si="833"/>
        <v>10</v>
      </c>
      <c r="BP55">
        <f t="shared" si="834"/>
        <v>10</v>
      </c>
      <c r="BQ55">
        <f t="shared" si="835"/>
        <v>10</v>
      </c>
      <c r="BR55">
        <f t="shared" si="836"/>
        <v>10</v>
      </c>
      <c r="BS55">
        <f t="shared" si="837"/>
        <v>10</v>
      </c>
      <c r="BT55">
        <f t="shared" si="838"/>
        <v>10</v>
      </c>
      <c r="BU55">
        <f t="shared" si="839"/>
        <v>10</v>
      </c>
      <c r="BV55">
        <f t="shared" si="840"/>
        <v>10</v>
      </c>
      <c r="BW55">
        <f t="shared" si="841"/>
        <v>10</v>
      </c>
      <c r="BX55">
        <f t="shared" si="842"/>
        <v>10</v>
      </c>
      <c r="BY55">
        <f t="shared" si="843"/>
        <v>10</v>
      </c>
      <c r="BZ55">
        <f t="shared" si="844"/>
        <v>10</v>
      </c>
      <c r="CA55">
        <f t="shared" si="845"/>
        <v>10</v>
      </c>
      <c r="CB55">
        <f t="shared" si="846"/>
        <v>10</v>
      </c>
      <c r="CC55">
        <f t="shared" si="847"/>
        <v>10</v>
      </c>
      <c r="CD55">
        <f t="shared" si="848"/>
        <v>10</v>
      </c>
      <c r="CE55">
        <f t="shared" si="849"/>
        <v>10</v>
      </c>
      <c r="CF55">
        <f t="shared" si="850"/>
        <v>10</v>
      </c>
      <c r="CG55">
        <f t="shared" si="851"/>
        <v>10</v>
      </c>
      <c r="CH55">
        <f t="shared" si="852"/>
        <v>10</v>
      </c>
      <c r="CI55">
        <f t="shared" si="853"/>
        <v>10</v>
      </c>
      <c r="CJ55">
        <f t="shared" si="854"/>
        <v>10</v>
      </c>
      <c r="CK55">
        <f t="shared" si="855"/>
        <v>10</v>
      </c>
      <c r="CL55">
        <f t="shared" si="856"/>
        <v>10</v>
      </c>
      <c r="CM55">
        <f t="shared" si="857"/>
        <v>10</v>
      </c>
      <c r="CN55">
        <f t="shared" si="858"/>
        <v>10</v>
      </c>
      <c r="CO55">
        <f t="shared" si="859"/>
        <v>10</v>
      </c>
      <c r="CP55">
        <f t="shared" si="860"/>
        <v>10</v>
      </c>
      <c r="CQ55">
        <f t="shared" si="861"/>
        <v>10</v>
      </c>
      <c r="CR55">
        <f t="shared" si="862"/>
        <v>10</v>
      </c>
      <c r="CS55">
        <f t="shared" si="863"/>
        <v>10</v>
      </c>
      <c r="CT55">
        <f t="shared" si="864"/>
        <v>10</v>
      </c>
      <c r="CU55">
        <f t="shared" si="865"/>
        <v>10</v>
      </c>
      <c r="CV55">
        <f t="shared" si="866"/>
        <v>10</v>
      </c>
      <c r="CW55">
        <f t="shared" si="867"/>
        <v>10</v>
      </c>
      <c r="CX55">
        <f t="shared" si="868"/>
        <v>10</v>
      </c>
      <c r="CY55">
        <f t="shared" si="869"/>
        <v>10</v>
      </c>
      <c r="CZ55">
        <f t="shared" si="870"/>
        <v>10</v>
      </c>
      <c r="DA55">
        <f t="shared" si="871"/>
        <v>10</v>
      </c>
      <c r="DB55">
        <f t="shared" si="872"/>
        <v>10</v>
      </c>
      <c r="DC55">
        <f t="shared" si="873"/>
        <v>10</v>
      </c>
      <c r="DD55">
        <f t="shared" si="874"/>
        <v>10</v>
      </c>
      <c r="DE55">
        <f t="shared" si="875"/>
        <v>10</v>
      </c>
      <c r="DF55">
        <f t="shared" si="876"/>
        <v>10</v>
      </c>
      <c r="DG55">
        <f t="shared" si="877"/>
        <v>10</v>
      </c>
      <c r="DH55">
        <f t="shared" si="878"/>
        <v>10</v>
      </c>
      <c r="DI55">
        <f t="shared" si="879"/>
        <v>10</v>
      </c>
      <c r="DJ55">
        <f t="shared" si="880"/>
        <v>10</v>
      </c>
      <c r="DK55">
        <f t="shared" si="881"/>
        <v>10</v>
      </c>
      <c r="DL55">
        <f t="shared" si="882"/>
        <v>10</v>
      </c>
      <c r="DM55">
        <f t="shared" si="883"/>
        <v>10</v>
      </c>
      <c r="DN55">
        <f t="shared" si="884"/>
        <v>10</v>
      </c>
      <c r="DO55">
        <f t="shared" si="885"/>
        <v>10</v>
      </c>
      <c r="DP55">
        <f t="shared" si="886"/>
        <v>10</v>
      </c>
      <c r="DQ55">
        <f t="shared" si="887"/>
        <v>10</v>
      </c>
      <c r="DR55">
        <f t="shared" si="888"/>
        <v>10</v>
      </c>
      <c r="DS55">
        <f t="shared" si="889"/>
        <v>10</v>
      </c>
      <c r="DT55">
        <f t="shared" si="890"/>
        <v>10</v>
      </c>
      <c r="DU55">
        <f t="shared" si="891"/>
        <v>10</v>
      </c>
      <c r="DV55">
        <f t="shared" si="892"/>
        <v>10</v>
      </c>
      <c r="DW55">
        <f t="shared" si="893"/>
        <v>10</v>
      </c>
      <c r="DX55">
        <f t="shared" si="894"/>
        <v>10</v>
      </c>
      <c r="DY55">
        <f t="shared" si="895"/>
        <v>10</v>
      </c>
      <c r="DZ55">
        <f t="shared" si="896"/>
        <v>10</v>
      </c>
      <c r="EA55">
        <f t="shared" si="897"/>
        <v>10</v>
      </c>
      <c r="EB55">
        <f t="shared" si="898"/>
        <v>10</v>
      </c>
      <c r="EC55">
        <f t="shared" si="899"/>
        <v>10</v>
      </c>
      <c r="ED55">
        <f t="shared" si="900"/>
        <v>10</v>
      </c>
      <c r="EE55">
        <f t="shared" si="901"/>
        <v>10</v>
      </c>
      <c r="EF55">
        <f t="shared" si="902"/>
        <v>10</v>
      </c>
      <c r="EG55">
        <f t="shared" si="903"/>
        <v>10</v>
      </c>
      <c r="EH55">
        <f t="shared" si="904"/>
        <v>10</v>
      </c>
      <c r="EI55">
        <f t="shared" si="905"/>
        <v>10</v>
      </c>
      <c r="EJ55">
        <f t="shared" si="906"/>
        <v>10</v>
      </c>
      <c r="EK55">
        <f t="shared" si="907"/>
        <v>10</v>
      </c>
      <c r="EL55">
        <f t="shared" si="908"/>
        <v>10</v>
      </c>
      <c r="EM55">
        <f t="shared" si="909"/>
        <v>10</v>
      </c>
      <c r="EN55">
        <f t="shared" si="910"/>
        <v>10</v>
      </c>
      <c r="EO55">
        <f t="shared" si="911"/>
        <v>10</v>
      </c>
      <c r="EP55">
        <f t="shared" si="912"/>
        <v>10</v>
      </c>
      <c r="EQ55">
        <f t="shared" si="913"/>
        <v>10</v>
      </c>
      <c r="ER55">
        <f t="shared" si="914"/>
        <v>10</v>
      </c>
      <c r="ES55">
        <f t="shared" si="915"/>
        <v>10</v>
      </c>
      <c r="ET55">
        <f t="shared" si="916"/>
        <v>10</v>
      </c>
      <c r="EU55">
        <f t="shared" si="917"/>
        <v>10</v>
      </c>
      <c r="EV55">
        <f t="shared" si="918"/>
        <v>10</v>
      </c>
      <c r="EW55">
        <f t="shared" si="919"/>
        <v>10</v>
      </c>
      <c r="EX55">
        <f t="shared" si="920"/>
        <v>10</v>
      </c>
      <c r="EY55">
        <f t="shared" si="921"/>
        <v>10</v>
      </c>
      <c r="EZ55">
        <f t="shared" si="922"/>
        <v>10</v>
      </c>
      <c r="FA55">
        <f t="shared" si="923"/>
        <v>10</v>
      </c>
      <c r="FB55">
        <f t="shared" si="924"/>
        <v>10</v>
      </c>
      <c r="FC55">
        <f t="shared" si="925"/>
        <v>10</v>
      </c>
      <c r="FD55">
        <f t="shared" si="926"/>
        <v>10</v>
      </c>
      <c r="FE55">
        <f t="shared" si="927"/>
        <v>10</v>
      </c>
      <c r="FF55">
        <f t="shared" si="928"/>
        <v>10</v>
      </c>
      <c r="FG55">
        <f t="shared" si="929"/>
        <v>10</v>
      </c>
      <c r="FH55">
        <f t="shared" si="930"/>
        <v>10</v>
      </c>
      <c r="FI55">
        <f t="shared" si="931"/>
        <v>10</v>
      </c>
      <c r="FJ55">
        <f t="shared" si="932"/>
        <v>10</v>
      </c>
      <c r="FK55">
        <f t="shared" si="933"/>
        <v>10</v>
      </c>
      <c r="FL55">
        <f t="shared" si="934"/>
        <v>10</v>
      </c>
      <c r="FM55">
        <f t="shared" si="935"/>
        <v>10</v>
      </c>
      <c r="FN55">
        <f t="shared" si="936"/>
        <v>10</v>
      </c>
      <c r="FO55">
        <f t="shared" si="937"/>
        <v>10</v>
      </c>
      <c r="FP55">
        <f t="shared" si="938"/>
        <v>10</v>
      </c>
      <c r="FQ55">
        <f t="shared" si="939"/>
        <v>10</v>
      </c>
      <c r="FR55">
        <f t="shared" si="940"/>
        <v>10</v>
      </c>
      <c r="FS55">
        <f t="shared" si="941"/>
        <v>10</v>
      </c>
      <c r="FT55">
        <f t="shared" si="942"/>
        <v>10</v>
      </c>
      <c r="FU55">
        <f t="shared" si="943"/>
        <v>10</v>
      </c>
      <c r="FV55">
        <f t="shared" si="944"/>
        <v>10</v>
      </c>
      <c r="FW55">
        <f t="shared" si="945"/>
        <v>10</v>
      </c>
      <c r="FX55">
        <f t="shared" si="946"/>
        <v>10</v>
      </c>
      <c r="FY55">
        <f t="shared" si="947"/>
        <v>10</v>
      </c>
      <c r="FZ55">
        <f t="shared" si="948"/>
        <v>10</v>
      </c>
      <c r="GA55">
        <f t="shared" si="949"/>
        <v>10</v>
      </c>
      <c r="GB55">
        <f t="shared" si="950"/>
        <v>10</v>
      </c>
      <c r="GC55">
        <f t="shared" si="951"/>
        <v>10</v>
      </c>
      <c r="GD55">
        <f t="shared" si="952"/>
        <v>10</v>
      </c>
      <c r="GE55">
        <f t="shared" si="953"/>
        <v>10</v>
      </c>
      <c r="GF55">
        <f t="shared" si="954"/>
        <v>10</v>
      </c>
      <c r="GG55">
        <f t="shared" si="955"/>
        <v>10</v>
      </c>
      <c r="GH55">
        <f t="shared" si="956"/>
        <v>10</v>
      </c>
      <c r="GI55">
        <f t="shared" si="957"/>
        <v>10</v>
      </c>
      <c r="GJ55">
        <f t="shared" si="958"/>
        <v>10</v>
      </c>
      <c r="GK55">
        <f t="shared" si="959"/>
        <v>10</v>
      </c>
      <c r="GL55">
        <f t="shared" si="960"/>
        <v>10</v>
      </c>
      <c r="GM55">
        <f t="shared" si="961"/>
        <v>10</v>
      </c>
      <c r="GN55">
        <f t="shared" si="962"/>
        <v>10</v>
      </c>
      <c r="GO55">
        <f t="shared" si="963"/>
        <v>10</v>
      </c>
      <c r="GP55">
        <f t="shared" si="964"/>
        <v>10</v>
      </c>
      <c r="GQ55">
        <f t="shared" si="965"/>
        <v>10</v>
      </c>
      <c r="GR55">
        <f t="shared" si="966"/>
        <v>10</v>
      </c>
      <c r="GS55">
        <f t="shared" si="967"/>
        <v>10</v>
      </c>
      <c r="GT55">
        <f t="shared" si="968"/>
        <v>10</v>
      </c>
      <c r="GU55">
        <f t="shared" si="969"/>
        <v>10</v>
      </c>
      <c r="GV55">
        <f t="shared" si="970"/>
        <v>10</v>
      </c>
      <c r="GW55">
        <f t="shared" si="971"/>
        <v>10</v>
      </c>
      <c r="GX55">
        <f t="shared" si="972"/>
        <v>10</v>
      </c>
      <c r="GY55">
        <f t="shared" si="973"/>
        <v>10</v>
      </c>
      <c r="GZ55">
        <f t="shared" si="974"/>
        <v>10</v>
      </c>
      <c r="HA55">
        <f t="shared" si="975"/>
        <v>10</v>
      </c>
      <c r="HB55">
        <f t="shared" si="976"/>
        <v>10</v>
      </c>
      <c r="HC55">
        <f t="shared" si="977"/>
        <v>10</v>
      </c>
      <c r="HD55">
        <f t="shared" si="978"/>
        <v>10</v>
      </c>
      <c r="HE55">
        <f t="shared" si="979"/>
        <v>10</v>
      </c>
      <c r="HF55">
        <f t="shared" si="980"/>
        <v>10</v>
      </c>
      <c r="HG55">
        <f t="shared" si="981"/>
        <v>10</v>
      </c>
      <c r="HH55">
        <f t="shared" si="982"/>
        <v>10</v>
      </c>
      <c r="HI55">
        <f t="shared" si="983"/>
        <v>10</v>
      </c>
      <c r="HJ55">
        <f t="shared" si="984"/>
        <v>10</v>
      </c>
      <c r="HK55">
        <f t="shared" si="985"/>
        <v>10</v>
      </c>
      <c r="HL55">
        <f t="shared" si="986"/>
        <v>10</v>
      </c>
      <c r="HM55">
        <f t="shared" si="987"/>
        <v>10</v>
      </c>
      <c r="HN55">
        <f t="shared" si="988"/>
        <v>10</v>
      </c>
      <c r="HO55">
        <f t="shared" si="989"/>
        <v>10</v>
      </c>
      <c r="HP55">
        <f t="shared" si="990"/>
        <v>10</v>
      </c>
      <c r="HQ55">
        <f t="shared" si="991"/>
        <v>10</v>
      </c>
      <c r="HR55">
        <f t="shared" si="992"/>
        <v>10</v>
      </c>
      <c r="HS55">
        <f t="shared" si="993"/>
        <v>10</v>
      </c>
      <c r="HT55">
        <f t="shared" si="994"/>
        <v>10</v>
      </c>
      <c r="HU55">
        <f t="shared" si="995"/>
        <v>10</v>
      </c>
      <c r="HV55">
        <f t="shared" si="996"/>
        <v>10</v>
      </c>
      <c r="HW55">
        <f t="shared" si="997"/>
        <v>10</v>
      </c>
      <c r="HX55">
        <f t="shared" si="998"/>
        <v>10</v>
      </c>
      <c r="HY55">
        <f t="shared" si="999"/>
        <v>10</v>
      </c>
      <c r="HZ55">
        <f t="shared" si="1000"/>
        <v>10</v>
      </c>
      <c r="IA55">
        <f t="shared" si="1001"/>
        <v>10</v>
      </c>
      <c r="IB55">
        <f t="shared" si="1002"/>
        <v>10</v>
      </c>
      <c r="IC55">
        <f t="shared" si="1003"/>
        <v>10</v>
      </c>
      <c r="ID55">
        <f t="shared" si="1004"/>
        <v>10</v>
      </c>
      <c r="IE55">
        <f t="shared" si="1005"/>
        <v>10</v>
      </c>
      <c r="IF55">
        <f t="shared" si="1006"/>
        <v>10</v>
      </c>
      <c r="IG55">
        <f t="shared" si="1007"/>
        <v>10</v>
      </c>
      <c r="IH55">
        <f t="shared" si="1008"/>
        <v>10</v>
      </c>
      <c r="II55">
        <f t="shared" si="1009"/>
        <v>10</v>
      </c>
      <c r="IJ55">
        <f t="shared" si="1010"/>
        <v>10</v>
      </c>
      <c r="IK55">
        <f t="shared" si="1011"/>
        <v>10</v>
      </c>
      <c r="IL55">
        <f t="shared" si="1012"/>
        <v>10</v>
      </c>
      <c r="IM55">
        <f t="shared" si="1013"/>
        <v>10</v>
      </c>
      <c r="IN55">
        <f t="shared" si="1014"/>
        <v>10</v>
      </c>
      <c r="IO55">
        <f t="shared" si="1015"/>
        <v>10</v>
      </c>
      <c r="IP55">
        <f t="shared" si="1016"/>
        <v>10</v>
      </c>
      <c r="IQ55">
        <f t="shared" si="1017"/>
        <v>10</v>
      </c>
      <c r="IR55">
        <f t="shared" si="1018"/>
        <v>10</v>
      </c>
      <c r="IS55">
        <f t="shared" si="1019"/>
        <v>10</v>
      </c>
      <c r="IT55">
        <f t="shared" si="1020"/>
        <v>10</v>
      </c>
      <c r="IU55">
        <f t="shared" si="1021"/>
        <v>10</v>
      </c>
      <c r="IV55">
        <f t="shared" si="1022"/>
        <v>10</v>
      </c>
    </row>
    <row r="56" spans="1:256" x14ac:dyDescent="0.2">
      <c r="A56" t="s">
        <v>527</v>
      </c>
      <c r="B56">
        <f t="shared" si="768"/>
        <v>10</v>
      </c>
      <c r="C56">
        <f t="shared" si="769"/>
        <v>10</v>
      </c>
      <c r="D56">
        <f t="shared" si="770"/>
        <v>10</v>
      </c>
      <c r="E56">
        <f t="shared" si="771"/>
        <v>10</v>
      </c>
      <c r="F56">
        <f t="shared" si="772"/>
        <v>10</v>
      </c>
      <c r="G56">
        <f t="shared" si="773"/>
        <v>10</v>
      </c>
      <c r="H56">
        <f t="shared" si="774"/>
        <v>10</v>
      </c>
      <c r="I56">
        <f t="shared" si="775"/>
        <v>10</v>
      </c>
      <c r="J56">
        <f t="shared" si="776"/>
        <v>10</v>
      </c>
      <c r="K56">
        <f t="shared" si="777"/>
        <v>10</v>
      </c>
      <c r="L56">
        <f t="shared" si="778"/>
        <v>10</v>
      </c>
      <c r="M56">
        <f t="shared" si="779"/>
        <v>10</v>
      </c>
      <c r="N56">
        <f t="shared" si="780"/>
        <v>10</v>
      </c>
      <c r="O56">
        <f t="shared" si="781"/>
        <v>10</v>
      </c>
      <c r="P56">
        <f t="shared" si="782"/>
        <v>10</v>
      </c>
      <c r="Q56">
        <f t="shared" si="783"/>
        <v>10</v>
      </c>
      <c r="R56">
        <f t="shared" si="784"/>
        <v>10</v>
      </c>
      <c r="S56">
        <f t="shared" si="785"/>
        <v>10</v>
      </c>
      <c r="T56">
        <f t="shared" si="786"/>
        <v>10</v>
      </c>
      <c r="U56">
        <f t="shared" si="787"/>
        <v>10</v>
      </c>
      <c r="V56">
        <f t="shared" si="788"/>
        <v>10</v>
      </c>
      <c r="W56">
        <f t="shared" si="789"/>
        <v>10</v>
      </c>
      <c r="X56">
        <f t="shared" si="790"/>
        <v>10</v>
      </c>
      <c r="Y56">
        <f t="shared" si="791"/>
        <v>10</v>
      </c>
      <c r="Z56">
        <f t="shared" si="792"/>
        <v>10</v>
      </c>
      <c r="AA56">
        <f t="shared" si="793"/>
        <v>10</v>
      </c>
      <c r="AB56">
        <f t="shared" si="794"/>
        <v>10</v>
      </c>
      <c r="AC56">
        <f t="shared" si="795"/>
        <v>10</v>
      </c>
      <c r="AD56">
        <f t="shared" si="796"/>
        <v>10</v>
      </c>
      <c r="AE56">
        <f t="shared" si="797"/>
        <v>10</v>
      </c>
      <c r="AF56">
        <f t="shared" si="798"/>
        <v>10</v>
      </c>
      <c r="AG56">
        <f t="shared" si="799"/>
        <v>10</v>
      </c>
      <c r="AH56">
        <f t="shared" si="800"/>
        <v>10</v>
      </c>
      <c r="AI56">
        <f t="shared" si="801"/>
        <v>10</v>
      </c>
      <c r="AJ56">
        <f t="shared" si="802"/>
        <v>10</v>
      </c>
      <c r="AK56">
        <f t="shared" si="803"/>
        <v>10</v>
      </c>
      <c r="AL56">
        <f t="shared" si="804"/>
        <v>10</v>
      </c>
      <c r="AM56">
        <f t="shared" si="805"/>
        <v>10</v>
      </c>
      <c r="AN56">
        <f t="shared" si="806"/>
        <v>10</v>
      </c>
      <c r="AO56">
        <f t="shared" si="807"/>
        <v>10</v>
      </c>
      <c r="AP56">
        <f t="shared" si="808"/>
        <v>10</v>
      </c>
      <c r="AQ56">
        <f t="shared" si="809"/>
        <v>10</v>
      </c>
      <c r="AR56">
        <f t="shared" si="810"/>
        <v>10</v>
      </c>
      <c r="AS56">
        <f t="shared" si="811"/>
        <v>10</v>
      </c>
      <c r="AT56">
        <f t="shared" si="812"/>
        <v>10</v>
      </c>
      <c r="AU56">
        <f t="shared" si="813"/>
        <v>10</v>
      </c>
      <c r="AV56">
        <f t="shared" si="814"/>
        <v>10</v>
      </c>
      <c r="AW56">
        <f t="shared" si="815"/>
        <v>10</v>
      </c>
      <c r="AX56">
        <f t="shared" si="816"/>
        <v>10</v>
      </c>
      <c r="AY56">
        <f t="shared" si="817"/>
        <v>10</v>
      </c>
      <c r="AZ56">
        <f t="shared" si="818"/>
        <v>10</v>
      </c>
      <c r="BA56">
        <f t="shared" si="819"/>
        <v>10</v>
      </c>
      <c r="BB56">
        <f t="shared" si="820"/>
        <v>10</v>
      </c>
      <c r="BC56">
        <f t="shared" si="821"/>
        <v>10</v>
      </c>
      <c r="BD56">
        <f t="shared" si="822"/>
        <v>10</v>
      </c>
      <c r="BE56">
        <f t="shared" si="823"/>
        <v>10</v>
      </c>
      <c r="BF56">
        <f t="shared" si="824"/>
        <v>10</v>
      </c>
      <c r="BG56">
        <f t="shared" si="825"/>
        <v>10</v>
      </c>
      <c r="BH56">
        <f t="shared" si="826"/>
        <v>10</v>
      </c>
      <c r="BI56">
        <f t="shared" si="827"/>
        <v>10</v>
      </c>
      <c r="BJ56">
        <f t="shared" si="828"/>
        <v>10</v>
      </c>
      <c r="BK56">
        <f t="shared" si="829"/>
        <v>10</v>
      </c>
      <c r="BL56">
        <f t="shared" si="830"/>
        <v>10</v>
      </c>
      <c r="BM56">
        <f t="shared" si="831"/>
        <v>10</v>
      </c>
      <c r="BN56">
        <f t="shared" si="832"/>
        <v>10</v>
      </c>
      <c r="BO56">
        <f t="shared" si="833"/>
        <v>10</v>
      </c>
      <c r="BP56">
        <f t="shared" si="834"/>
        <v>10</v>
      </c>
      <c r="BQ56">
        <f t="shared" si="835"/>
        <v>10</v>
      </c>
      <c r="BR56">
        <f t="shared" si="836"/>
        <v>10</v>
      </c>
      <c r="BS56">
        <f t="shared" si="837"/>
        <v>10</v>
      </c>
      <c r="BT56">
        <f t="shared" si="838"/>
        <v>10</v>
      </c>
      <c r="BU56">
        <f t="shared" si="839"/>
        <v>10</v>
      </c>
      <c r="BV56">
        <f t="shared" si="840"/>
        <v>10</v>
      </c>
      <c r="BW56">
        <f t="shared" si="841"/>
        <v>10</v>
      </c>
      <c r="BX56">
        <f t="shared" si="842"/>
        <v>10</v>
      </c>
      <c r="BY56">
        <f t="shared" si="843"/>
        <v>10</v>
      </c>
      <c r="BZ56">
        <f t="shared" si="844"/>
        <v>10</v>
      </c>
      <c r="CA56">
        <f t="shared" si="845"/>
        <v>10</v>
      </c>
      <c r="CB56">
        <f t="shared" si="846"/>
        <v>10</v>
      </c>
      <c r="CC56">
        <f t="shared" si="847"/>
        <v>10</v>
      </c>
      <c r="CD56">
        <f t="shared" si="848"/>
        <v>10</v>
      </c>
      <c r="CE56">
        <f t="shared" si="849"/>
        <v>10</v>
      </c>
      <c r="CF56">
        <f t="shared" si="850"/>
        <v>10</v>
      </c>
      <c r="CG56">
        <f t="shared" si="851"/>
        <v>10</v>
      </c>
      <c r="CH56">
        <f t="shared" si="852"/>
        <v>10</v>
      </c>
      <c r="CI56">
        <f t="shared" si="853"/>
        <v>10</v>
      </c>
      <c r="CJ56">
        <f t="shared" si="854"/>
        <v>10</v>
      </c>
      <c r="CK56">
        <f t="shared" si="855"/>
        <v>10</v>
      </c>
      <c r="CL56">
        <f t="shared" si="856"/>
        <v>10</v>
      </c>
      <c r="CM56">
        <f t="shared" si="857"/>
        <v>10</v>
      </c>
      <c r="CN56">
        <f t="shared" si="858"/>
        <v>10</v>
      </c>
      <c r="CO56">
        <f t="shared" si="859"/>
        <v>10</v>
      </c>
      <c r="CP56">
        <f t="shared" si="860"/>
        <v>10</v>
      </c>
      <c r="CQ56">
        <f t="shared" si="861"/>
        <v>10</v>
      </c>
      <c r="CR56">
        <f t="shared" si="862"/>
        <v>10</v>
      </c>
      <c r="CS56">
        <f t="shared" si="863"/>
        <v>10</v>
      </c>
      <c r="CT56">
        <f t="shared" si="864"/>
        <v>10</v>
      </c>
      <c r="CU56">
        <f t="shared" si="865"/>
        <v>10</v>
      </c>
      <c r="CV56">
        <f t="shared" si="866"/>
        <v>10</v>
      </c>
      <c r="CW56">
        <f t="shared" si="867"/>
        <v>10</v>
      </c>
      <c r="CX56">
        <f t="shared" si="868"/>
        <v>10</v>
      </c>
      <c r="CY56">
        <f t="shared" si="869"/>
        <v>10</v>
      </c>
      <c r="CZ56">
        <f t="shared" si="870"/>
        <v>10</v>
      </c>
      <c r="DA56">
        <f t="shared" si="871"/>
        <v>10</v>
      </c>
      <c r="DB56">
        <f t="shared" si="872"/>
        <v>10</v>
      </c>
      <c r="DC56">
        <f t="shared" si="873"/>
        <v>10</v>
      </c>
      <c r="DD56">
        <f t="shared" si="874"/>
        <v>10</v>
      </c>
      <c r="DE56">
        <f t="shared" si="875"/>
        <v>10</v>
      </c>
      <c r="DF56">
        <f t="shared" si="876"/>
        <v>10</v>
      </c>
      <c r="DG56">
        <f t="shared" si="877"/>
        <v>10</v>
      </c>
      <c r="DH56">
        <f t="shared" si="878"/>
        <v>10</v>
      </c>
      <c r="DI56">
        <f t="shared" si="879"/>
        <v>10</v>
      </c>
      <c r="DJ56">
        <f t="shared" si="880"/>
        <v>10</v>
      </c>
      <c r="DK56">
        <f t="shared" si="881"/>
        <v>10</v>
      </c>
      <c r="DL56">
        <f t="shared" si="882"/>
        <v>10</v>
      </c>
      <c r="DM56">
        <f t="shared" si="883"/>
        <v>10</v>
      </c>
      <c r="DN56">
        <f t="shared" si="884"/>
        <v>10</v>
      </c>
      <c r="DO56">
        <f t="shared" si="885"/>
        <v>10</v>
      </c>
      <c r="DP56">
        <f t="shared" si="886"/>
        <v>10</v>
      </c>
      <c r="DQ56">
        <f t="shared" si="887"/>
        <v>10</v>
      </c>
      <c r="DR56">
        <f t="shared" si="888"/>
        <v>10</v>
      </c>
      <c r="DS56">
        <f t="shared" si="889"/>
        <v>10</v>
      </c>
      <c r="DT56">
        <f t="shared" si="890"/>
        <v>10</v>
      </c>
      <c r="DU56">
        <f t="shared" si="891"/>
        <v>10</v>
      </c>
      <c r="DV56">
        <f t="shared" si="892"/>
        <v>10</v>
      </c>
      <c r="DW56">
        <f t="shared" si="893"/>
        <v>10</v>
      </c>
      <c r="DX56">
        <f t="shared" si="894"/>
        <v>10</v>
      </c>
      <c r="DY56">
        <f t="shared" si="895"/>
        <v>10</v>
      </c>
      <c r="DZ56">
        <f t="shared" si="896"/>
        <v>10</v>
      </c>
      <c r="EA56">
        <f t="shared" si="897"/>
        <v>10</v>
      </c>
      <c r="EB56">
        <f t="shared" si="898"/>
        <v>10</v>
      </c>
      <c r="EC56">
        <f t="shared" si="899"/>
        <v>10</v>
      </c>
      <c r="ED56">
        <f t="shared" si="900"/>
        <v>10</v>
      </c>
      <c r="EE56">
        <f t="shared" si="901"/>
        <v>10</v>
      </c>
      <c r="EF56">
        <f t="shared" si="902"/>
        <v>10</v>
      </c>
      <c r="EG56">
        <f t="shared" si="903"/>
        <v>10</v>
      </c>
      <c r="EH56">
        <f t="shared" si="904"/>
        <v>10</v>
      </c>
      <c r="EI56">
        <f t="shared" si="905"/>
        <v>10</v>
      </c>
      <c r="EJ56">
        <f t="shared" si="906"/>
        <v>10</v>
      </c>
      <c r="EK56">
        <f t="shared" si="907"/>
        <v>10</v>
      </c>
      <c r="EL56">
        <f t="shared" si="908"/>
        <v>10</v>
      </c>
      <c r="EM56">
        <f t="shared" si="909"/>
        <v>10</v>
      </c>
      <c r="EN56">
        <f t="shared" si="910"/>
        <v>10</v>
      </c>
      <c r="EO56">
        <f t="shared" si="911"/>
        <v>10</v>
      </c>
      <c r="EP56">
        <f t="shared" si="912"/>
        <v>10</v>
      </c>
      <c r="EQ56">
        <f t="shared" si="913"/>
        <v>10</v>
      </c>
      <c r="ER56">
        <f t="shared" si="914"/>
        <v>10</v>
      </c>
      <c r="ES56">
        <f t="shared" si="915"/>
        <v>10</v>
      </c>
      <c r="ET56">
        <f t="shared" si="916"/>
        <v>10</v>
      </c>
      <c r="EU56">
        <f t="shared" si="917"/>
        <v>10</v>
      </c>
      <c r="EV56">
        <f t="shared" si="918"/>
        <v>10</v>
      </c>
      <c r="EW56">
        <f t="shared" si="919"/>
        <v>10</v>
      </c>
      <c r="EX56">
        <f t="shared" si="920"/>
        <v>10</v>
      </c>
      <c r="EY56">
        <f t="shared" si="921"/>
        <v>10</v>
      </c>
      <c r="EZ56">
        <f t="shared" si="922"/>
        <v>10</v>
      </c>
      <c r="FA56">
        <f t="shared" si="923"/>
        <v>10</v>
      </c>
      <c r="FB56">
        <f t="shared" si="924"/>
        <v>10</v>
      </c>
      <c r="FC56">
        <f t="shared" si="925"/>
        <v>10</v>
      </c>
      <c r="FD56">
        <f t="shared" si="926"/>
        <v>10</v>
      </c>
      <c r="FE56">
        <f t="shared" si="927"/>
        <v>10</v>
      </c>
      <c r="FF56">
        <f t="shared" si="928"/>
        <v>10</v>
      </c>
      <c r="FG56">
        <f t="shared" si="929"/>
        <v>10</v>
      </c>
      <c r="FH56">
        <f t="shared" si="930"/>
        <v>10</v>
      </c>
      <c r="FI56">
        <f t="shared" si="931"/>
        <v>10</v>
      </c>
      <c r="FJ56">
        <f t="shared" si="932"/>
        <v>10</v>
      </c>
      <c r="FK56">
        <f t="shared" si="933"/>
        <v>10</v>
      </c>
      <c r="FL56">
        <f t="shared" si="934"/>
        <v>10</v>
      </c>
      <c r="FM56">
        <f t="shared" si="935"/>
        <v>10</v>
      </c>
      <c r="FN56">
        <f t="shared" si="936"/>
        <v>10</v>
      </c>
      <c r="FO56">
        <f t="shared" si="937"/>
        <v>10</v>
      </c>
      <c r="FP56">
        <f t="shared" si="938"/>
        <v>10</v>
      </c>
      <c r="FQ56">
        <f t="shared" si="939"/>
        <v>10</v>
      </c>
      <c r="FR56">
        <f t="shared" si="940"/>
        <v>10</v>
      </c>
      <c r="FS56">
        <f t="shared" si="941"/>
        <v>10</v>
      </c>
      <c r="FT56">
        <f t="shared" si="942"/>
        <v>10</v>
      </c>
      <c r="FU56">
        <f t="shared" si="943"/>
        <v>10</v>
      </c>
      <c r="FV56">
        <f t="shared" si="944"/>
        <v>10</v>
      </c>
      <c r="FW56">
        <f t="shared" si="945"/>
        <v>10</v>
      </c>
      <c r="FX56">
        <f t="shared" si="946"/>
        <v>10</v>
      </c>
      <c r="FY56">
        <f t="shared" si="947"/>
        <v>10</v>
      </c>
      <c r="FZ56">
        <f t="shared" si="948"/>
        <v>10</v>
      </c>
      <c r="GA56">
        <f t="shared" si="949"/>
        <v>10</v>
      </c>
      <c r="GB56">
        <f t="shared" si="950"/>
        <v>10</v>
      </c>
      <c r="GC56">
        <f t="shared" si="951"/>
        <v>10</v>
      </c>
      <c r="GD56">
        <f t="shared" si="952"/>
        <v>10</v>
      </c>
      <c r="GE56">
        <f t="shared" si="953"/>
        <v>10</v>
      </c>
      <c r="GF56">
        <f t="shared" si="954"/>
        <v>10</v>
      </c>
      <c r="GG56">
        <f t="shared" si="955"/>
        <v>10</v>
      </c>
      <c r="GH56">
        <f t="shared" si="956"/>
        <v>10</v>
      </c>
      <c r="GI56">
        <f t="shared" si="957"/>
        <v>10</v>
      </c>
      <c r="GJ56">
        <f t="shared" si="958"/>
        <v>10</v>
      </c>
      <c r="GK56">
        <f t="shared" si="959"/>
        <v>10</v>
      </c>
      <c r="GL56">
        <f t="shared" si="960"/>
        <v>10</v>
      </c>
      <c r="GM56">
        <f t="shared" si="961"/>
        <v>10</v>
      </c>
      <c r="GN56">
        <f t="shared" si="962"/>
        <v>10</v>
      </c>
      <c r="GO56">
        <f t="shared" si="963"/>
        <v>10</v>
      </c>
      <c r="GP56">
        <f t="shared" si="964"/>
        <v>10</v>
      </c>
      <c r="GQ56">
        <f t="shared" si="965"/>
        <v>10</v>
      </c>
      <c r="GR56">
        <f t="shared" si="966"/>
        <v>10</v>
      </c>
      <c r="GS56">
        <f t="shared" si="967"/>
        <v>10</v>
      </c>
      <c r="GT56">
        <f t="shared" si="968"/>
        <v>10</v>
      </c>
      <c r="GU56">
        <f t="shared" si="969"/>
        <v>10</v>
      </c>
      <c r="GV56">
        <f t="shared" si="970"/>
        <v>10</v>
      </c>
      <c r="GW56">
        <f t="shared" si="971"/>
        <v>10</v>
      </c>
      <c r="GX56">
        <f t="shared" si="972"/>
        <v>10</v>
      </c>
      <c r="GY56">
        <f t="shared" si="973"/>
        <v>10</v>
      </c>
      <c r="GZ56">
        <f t="shared" si="974"/>
        <v>10</v>
      </c>
      <c r="HA56">
        <f t="shared" si="975"/>
        <v>10</v>
      </c>
      <c r="HB56">
        <f t="shared" si="976"/>
        <v>10</v>
      </c>
      <c r="HC56">
        <f t="shared" si="977"/>
        <v>10</v>
      </c>
      <c r="HD56">
        <f t="shared" si="978"/>
        <v>10</v>
      </c>
      <c r="HE56">
        <f t="shared" si="979"/>
        <v>10</v>
      </c>
      <c r="HF56">
        <f t="shared" si="980"/>
        <v>10</v>
      </c>
      <c r="HG56">
        <f t="shared" si="981"/>
        <v>10</v>
      </c>
      <c r="HH56">
        <f t="shared" si="982"/>
        <v>10</v>
      </c>
      <c r="HI56">
        <f t="shared" si="983"/>
        <v>10</v>
      </c>
      <c r="HJ56">
        <f t="shared" si="984"/>
        <v>10</v>
      </c>
      <c r="HK56">
        <f t="shared" si="985"/>
        <v>10</v>
      </c>
      <c r="HL56">
        <f t="shared" si="986"/>
        <v>10</v>
      </c>
      <c r="HM56">
        <f t="shared" si="987"/>
        <v>10</v>
      </c>
      <c r="HN56">
        <f t="shared" si="988"/>
        <v>10</v>
      </c>
      <c r="HO56">
        <f t="shared" si="989"/>
        <v>10</v>
      </c>
      <c r="HP56">
        <f t="shared" si="990"/>
        <v>10</v>
      </c>
      <c r="HQ56">
        <f t="shared" si="991"/>
        <v>10</v>
      </c>
      <c r="HR56">
        <f t="shared" si="992"/>
        <v>10</v>
      </c>
      <c r="HS56">
        <f t="shared" si="993"/>
        <v>10</v>
      </c>
      <c r="HT56">
        <f t="shared" si="994"/>
        <v>10</v>
      </c>
      <c r="HU56">
        <f t="shared" si="995"/>
        <v>10</v>
      </c>
      <c r="HV56">
        <f t="shared" si="996"/>
        <v>10</v>
      </c>
      <c r="HW56">
        <f t="shared" si="997"/>
        <v>10</v>
      </c>
      <c r="HX56">
        <f t="shared" si="998"/>
        <v>10</v>
      </c>
      <c r="HY56">
        <f t="shared" si="999"/>
        <v>10</v>
      </c>
      <c r="HZ56">
        <f t="shared" si="1000"/>
        <v>10</v>
      </c>
      <c r="IA56">
        <f t="shared" si="1001"/>
        <v>10</v>
      </c>
      <c r="IB56">
        <f t="shared" si="1002"/>
        <v>10</v>
      </c>
      <c r="IC56">
        <f t="shared" si="1003"/>
        <v>10</v>
      </c>
      <c r="ID56">
        <f t="shared" si="1004"/>
        <v>10</v>
      </c>
      <c r="IE56">
        <f t="shared" si="1005"/>
        <v>10</v>
      </c>
      <c r="IF56">
        <f t="shared" si="1006"/>
        <v>10</v>
      </c>
      <c r="IG56">
        <f t="shared" si="1007"/>
        <v>10</v>
      </c>
      <c r="IH56">
        <f t="shared" si="1008"/>
        <v>10</v>
      </c>
      <c r="II56">
        <f t="shared" si="1009"/>
        <v>10</v>
      </c>
      <c r="IJ56">
        <f t="shared" si="1010"/>
        <v>10</v>
      </c>
      <c r="IK56">
        <f t="shared" si="1011"/>
        <v>10</v>
      </c>
      <c r="IL56">
        <f t="shared" si="1012"/>
        <v>10</v>
      </c>
      <c r="IM56">
        <f t="shared" si="1013"/>
        <v>10</v>
      </c>
      <c r="IN56">
        <f t="shared" si="1014"/>
        <v>10</v>
      </c>
      <c r="IO56">
        <f t="shared" si="1015"/>
        <v>10</v>
      </c>
      <c r="IP56">
        <f t="shared" si="1016"/>
        <v>10</v>
      </c>
      <c r="IQ56">
        <f t="shared" si="1017"/>
        <v>10</v>
      </c>
      <c r="IR56">
        <f t="shared" si="1018"/>
        <v>10</v>
      </c>
      <c r="IS56">
        <f t="shared" si="1019"/>
        <v>10</v>
      </c>
      <c r="IT56">
        <f t="shared" si="1020"/>
        <v>10</v>
      </c>
      <c r="IU56">
        <f t="shared" si="1021"/>
        <v>10</v>
      </c>
      <c r="IV56">
        <f t="shared" si="1022"/>
        <v>10</v>
      </c>
    </row>
    <row r="57" spans="1:256" x14ac:dyDescent="0.2">
      <c r="A57" t="s">
        <v>528</v>
      </c>
      <c r="B57">
        <f t="shared" si="768"/>
        <v>10</v>
      </c>
      <c r="C57">
        <f t="shared" si="769"/>
        <v>10</v>
      </c>
      <c r="D57">
        <f t="shared" si="770"/>
        <v>10</v>
      </c>
      <c r="E57">
        <f t="shared" si="771"/>
        <v>10</v>
      </c>
      <c r="F57">
        <f t="shared" si="772"/>
        <v>10</v>
      </c>
      <c r="G57">
        <f t="shared" si="773"/>
        <v>10</v>
      </c>
      <c r="H57">
        <f t="shared" si="774"/>
        <v>10</v>
      </c>
      <c r="I57">
        <f t="shared" si="775"/>
        <v>10</v>
      </c>
      <c r="J57">
        <f t="shared" si="776"/>
        <v>10</v>
      </c>
      <c r="K57">
        <f t="shared" si="777"/>
        <v>10</v>
      </c>
      <c r="L57">
        <f t="shared" si="778"/>
        <v>10</v>
      </c>
      <c r="M57">
        <f t="shared" si="779"/>
        <v>10</v>
      </c>
      <c r="N57">
        <f t="shared" si="780"/>
        <v>10</v>
      </c>
      <c r="O57">
        <f t="shared" si="781"/>
        <v>10</v>
      </c>
      <c r="P57">
        <f t="shared" si="782"/>
        <v>10</v>
      </c>
      <c r="Q57">
        <f t="shared" si="783"/>
        <v>10</v>
      </c>
      <c r="R57">
        <f t="shared" si="784"/>
        <v>10</v>
      </c>
      <c r="S57">
        <f t="shared" si="785"/>
        <v>10</v>
      </c>
      <c r="T57">
        <f t="shared" si="786"/>
        <v>10</v>
      </c>
      <c r="U57">
        <f t="shared" si="787"/>
        <v>10</v>
      </c>
      <c r="V57">
        <f t="shared" si="788"/>
        <v>10</v>
      </c>
      <c r="W57">
        <f t="shared" si="789"/>
        <v>10</v>
      </c>
      <c r="X57">
        <f t="shared" si="790"/>
        <v>10</v>
      </c>
      <c r="Y57">
        <f t="shared" si="791"/>
        <v>10</v>
      </c>
      <c r="Z57">
        <f t="shared" si="792"/>
        <v>10</v>
      </c>
      <c r="AA57">
        <f t="shared" si="793"/>
        <v>10</v>
      </c>
      <c r="AB57">
        <f t="shared" si="794"/>
        <v>10</v>
      </c>
      <c r="AC57">
        <f t="shared" si="795"/>
        <v>10</v>
      </c>
      <c r="AD57">
        <f t="shared" si="796"/>
        <v>10</v>
      </c>
      <c r="AE57">
        <f t="shared" si="797"/>
        <v>10</v>
      </c>
      <c r="AF57">
        <f t="shared" si="798"/>
        <v>10</v>
      </c>
      <c r="AG57">
        <f t="shared" si="799"/>
        <v>10</v>
      </c>
      <c r="AH57">
        <f t="shared" si="800"/>
        <v>10</v>
      </c>
      <c r="AI57">
        <f t="shared" si="801"/>
        <v>10</v>
      </c>
      <c r="AJ57">
        <f t="shared" si="802"/>
        <v>10</v>
      </c>
      <c r="AK57">
        <f t="shared" si="803"/>
        <v>10</v>
      </c>
      <c r="AL57">
        <f t="shared" si="804"/>
        <v>10</v>
      </c>
      <c r="AM57">
        <f t="shared" si="805"/>
        <v>10</v>
      </c>
      <c r="AN57">
        <f t="shared" si="806"/>
        <v>10</v>
      </c>
      <c r="AO57">
        <f t="shared" si="807"/>
        <v>10</v>
      </c>
      <c r="AP57">
        <f t="shared" si="808"/>
        <v>10</v>
      </c>
      <c r="AQ57">
        <f t="shared" si="809"/>
        <v>10</v>
      </c>
      <c r="AR57">
        <f t="shared" si="810"/>
        <v>10</v>
      </c>
      <c r="AS57">
        <f t="shared" si="811"/>
        <v>10</v>
      </c>
      <c r="AT57">
        <f t="shared" si="812"/>
        <v>10</v>
      </c>
      <c r="AU57">
        <f t="shared" si="813"/>
        <v>10</v>
      </c>
      <c r="AV57">
        <f t="shared" si="814"/>
        <v>10</v>
      </c>
      <c r="AW57">
        <f t="shared" si="815"/>
        <v>10</v>
      </c>
      <c r="AX57">
        <f t="shared" si="816"/>
        <v>10</v>
      </c>
      <c r="AY57">
        <f t="shared" si="817"/>
        <v>10</v>
      </c>
      <c r="AZ57">
        <f t="shared" si="818"/>
        <v>10</v>
      </c>
      <c r="BA57">
        <f t="shared" si="819"/>
        <v>10</v>
      </c>
      <c r="BB57">
        <f t="shared" si="820"/>
        <v>10</v>
      </c>
      <c r="BC57">
        <f t="shared" si="821"/>
        <v>10</v>
      </c>
      <c r="BD57">
        <f t="shared" si="822"/>
        <v>10</v>
      </c>
      <c r="BE57">
        <f t="shared" si="823"/>
        <v>10</v>
      </c>
      <c r="BF57">
        <f t="shared" si="824"/>
        <v>10</v>
      </c>
      <c r="BG57">
        <f t="shared" si="825"/>
        <v>10</v>
      </c>
      <c r="BH57">
        <f t="shared" si="826"/>
        <v>10</v>
      </c>
      <c r="BI57">
        <f t="shared" si="827"/>
        <v>10</v>
      </c>
      <c r="BJ57">
        <f t="shared" si="828"/>
        <v>10</v>
      </c>
      <c r="BK57">
        <f t="shared" si="829"/>
        <v>10</v>
      </c>
      <c r="BL57">
        <f t="shared" si="830"/>
        <v>10</v>
      </c>
      <c r="BM57">
        <f t="shared" si="831"/>
        <v>10</v>
      </c>
      <c r="BN57">
        <f t="shared" si="832"/>
        <v>10</v>
      </c>
      <c r="BO57">
        <f t="shared" si="833"/>
        <v>10</v>
      </c>
      <c r="BP57">
        <f t="shared" si="834"/>
        <v>10</v>
      </c>
      <c r="BQ57">
        <f t="shared" si="835"/>
        <v>10</v>
      </c>
      <c r="BR57">
        <f t="shared" si="836"/>
        <v>10</v>
      </c>
      <c r="BS57">
        <f t="shared" si="837"/>
        <v>10</v>
      </c>
      <c r="BT57">
        <f t="shared" si="838"/>
        <v>10</v>
      </c>
      <c r="BU57">
        <f t="shared" si="839"/>
        <v>10</v>
      </c>
      <c r="BV57">
        <f t="shared" si="840"/>
        <v>10</v>
      </c>
      <c r="BW57">
        <f t="shared" si="841"/>
        <v>10</v>
      </c>
      <c r="BX57">
        <f t="shared" si="842"/>
        <v>10</v>
      </c>
      <c r="BY57">
        <f t="shared" si="843"/>
        <v>10</v>
      </c>
      <c r="BZ57">
        <f t="shared" si="844"/>
        <v>10</v>
      </c>
      <c r="CA57">
        <f t="shared" si="845"/>
        <v>10</v>
      </c>
      <c r="CB57">
        <f t="shared" si="846"/>
        <v>10</v>
      </c>
      <c r="CC57">
        <f t="shared" si="847"/>
        <v>10</v>
      </c>
      <c r="CD57">
        <f t="shared" si="848"/>
        <v>10</v>
      </c>
      <c r="CE57">
        <f t="shared" si="849"/>
        <v>10</v>
      </c>
      <c r="CF57">
        <f t="shared" si="850"/>
        <v>10</v>
      </c>
      <c r="CG57">
        <f t="shared" si="851"/>
        <v>10</v>
      </c>
      <c r="CH57">
        <f t="shared" si="852"/>
        <v>10</v>
      </c>
      <c r="CI57">
        <f t="shared" si="853"/>
        <v>10</v>
      </c>
      <c r="CJ57">
        <f t="shared" si="854"/>
        <v>10</v>
      </c>
      <c r="CK57">
        <f t="shared" si="855"/>
        <v>10</v>
      </c>
      <c r="CL57">
        <f t="shared" si="856"/>
        <v>10</v>
      </c>
      <c r="CM57">
        <f t="shared" si="857"/>
        <v>10</v>
      </c>
      <c r="CN57">
        <f t="shared" si="858"/>
        <v>10</v>
      </c>
      <c r="CO57">
        <f t="shared" si="859"/>
        <v>10</v>
      </c>
      <c r="CP57">
        <f t="shared" si="860"/>
        <v>10</v>
      </c>
      <c r="CQ57">
        <f t="shared" si="861"/>
        <v>10</v>
      </c>
      <c r="CR57">
        <f t="shared" si="862"/>
        <v>10</v>
      </c>
      <c r="CS57">
        <f t="shared" si="863"/>
        <v>10</v>
      </c>
      <c r="CT57">
        <f t="shared" si="864"/>
        <v>10</v>
      </c>
      <c r="CU57">
        <f t="shared" si="865"/>
        <v>10</v>
      </c>
      <c r="CV57">
        <f t="shared" si="866"/>
        <v>10</v>
      </c>
      <c r="CW57">
        <f t="shared" si="867"/>
        <v>10</v>
      </c>
      <c r="CX57">
        <f t="shared" si="868"/>
        <v>10</v>
      </c>
      <c r="CY57">
        <f t="shared" si="869"/>
        <v>10</v>
      </c>
      <c r="CZ57">
        <f t="shared" si="870"/>
        <v>10</v>
      </c>
      <c r="DA57">
        <f t="shared" si="871"/>
        <v>10</v>
      </c>
      <c r="DB57">
        <f t="shared" si="872"/>
        <v>10</v>
      </c>
      <c r="DC57">
        <f t="shared" si="873"/>
        <v>10</v>
      </c>
      <c r="DD57">
        <f t="shared" si="874"/>
        <v>10</v>
      </c>
      <c r="DE57">
        <f t="shared" si="875"/>
        <v>10</v>
      </c>
      <c r="DF57">
        <f t="shared" si="876"/>
        <v>10</v>
      </c>
      <c r="DG57">
        <f t="shared" si="877"/>
        <v>10</v>
      </c>
      <c r="DH57">
        <f t="shared" si="878"/>
        <v>10</v>
      </c>
      <c r="DI57">
        <f t="shared" si="879"/>
        <v>10</v>
      </c>
      <c r="DJ57">
        <f t="shared" si="880"/>
        <v>10</v>
      </c>
      <c r="DK57">
        <f t="shared" si="881"/>
        <v>10</v>
      </c>
      <c r="DL57">
        <f t="shared" si="882"/>
        <v>10</v>
      </c>
      <c r="DM57">
        <f t="shared" si="883"/>
        <v>10</v>
      </c>
      <c r="DN57">
        <f t="shared" si="884"/>
        <v>10</v>
      </c>
      <c r="DO57">
        <f t="shared" si="885"/>
        <v>10</v>
      </c>
      <c r="DP57">
        <f t="shared" si="886"/>
        <v>10</v>
      </c>
      <c r="DQ57">
        <f t="shared" si="887"/>
        <v>10</v>
      </c>
      <c r="DR57">
        <f t="shared" si="888"/>
        <v>10</v>
      </c>
      <c r="DS57">
        <f t="shared" si="889"/>
        <v>10</v>
      </c>
      <c r="DT57">
        <f t="shared" si="890"/>
        <v>10</v>
      </c>
      <c r="DU57">
        <f t="shared" si="891"/>
        <v>10</v>
      </c>
      <c r="DV57">
        <f t="shared" si="892"/>
        <v>10</v>
      </c>
      <c r="DW57">
        <f t="shared" si="893"/>
        <v>10</v>
      </c>
      <c r="DX57">
        <f t="shared" si="894"/>
        <v>10</v>
      </c>
      <c r="DY57">
        <f t="shared" si="895"/>
        <v>10</v>
      </c>
      <c r="DZ57">
        <f t="shared" si="896"/>
        <v>10</v>
      </c>
      <c r="EA57">
        <f t="shared" si="897"/>
        <v>10</v>
      </c>
      <c r="EB57">
        <f t="shared" si="898"/>
        <v>10</v>
      </c>
      <c r="EC57">
        <f t="shared" si="899"/>
        <v>10</v>
      </c>
      <c r="ED57">
        <f t="shared" si="900"/>
        <v>10</v>
      </c>
      <c r="EE57">
        <f t="shared" si="901"/>
        <v>10</v>
      </c>
      <c r="EF57">
        <f t="shared" si="902"/>
        <v>10</v>
      </c>
      <c r="EG57">
        <f t="shared" si="903"/>
        <v>10</v>
      </c>
      <c r="EH57">
        <f t="shared" si="904"/>
        <v>10</v>
      </c>
      <c r="EI57">
        <f t="shared" si="905"/>
        <v>10</v>
      </c>
      <c r="EJ57">
        <f t="shared" si="906"/>
        <v>10</v>
      </c>
      <c r="EK57">
        <f t="shared" si="907"/>
        <v>10</v>
      </c>
      <c r="EL57">
        <f t="shared" si="908"/>
        <v>10</v>
      </c>
      <c r="EM57">
        <f t="shared" si="909"/>
        <v>10</v>
      </c>
      <c r="EN57">
        <f t="shared" si="910"/>
        <v>10</v>
      </c>
      <c r="EO57">
        <f t="shared" si="911"/>
        <v>10</v>
      </c>
      <c r="EP57">
        <f t="shared" si="912"/>
        <v>10</v>
      </c>
      <c r="EQ57">
        <f t="shared" si="913"/>
        <v>10</v>
      </c>
      <c r="ER57">
        <f t="shared" si="914"/>
        <v>10</v>
      </c>
      <c r="ES57">
        <f t="shared" si="915"/>
        <v>10</v>
      </c>
      <c r="ET57">
        <f t="shared" si="916"/>
        <v>10</v>
      </c>
      <c r="EU57">
        <f t="shared" si="917"/>
        <v>10</v>
      </c>
      <c r="EV57">
        <f t="shared" si="918"/>
        <v>10</v>
      </c>
      <c r="EW57">
        <f t="shared" si="919"/>
        <v>10</v>
      </c>
      <c r="EX57">
        <f t="shared" si="920"/>
        <v>10</v>
      </c>
      <c r="EY57">
        <f t="shared" si="921"/>
        <v>10</v>
      </c>
      <c r="EZ57">
        <f t="shared" si="922"/>
        <v>10</v>
      </c>
      <c r="FA57">
        <f t="shared" si="923"/>
        <v>10</v>
      </c>
      <c r="FB57">
        <f t="shared" si="924"/>
        <v>10</v>
      </c>
      <c r="FC57">
        <f t="shared" si="925"/>
        <v>10</v>
      </c>
      <c r="FD57">
        <f t="shared" si="926"/>
        <v>10</v>
      </c>
      <c r="FE57">
        <f t="shared" si="927"/>
        <v>10</v>
      </c>
      <c r="FF57">
        <f t="shared" si="928"/>
        <v>10</v>
      </c>
      <c r="FG57">
        <f t="shared" si="929"/>
        <v>10</v>
      </c>
      <c r="FH57">
        <f t="shared" si="930"/>
        <v>10</v>
      </c>
      <c r="FI57">
        <f t="shared" si="931"/>
        <v>10</v>
      </c>
      <c r="FJ57">
        <f t="shared" si="932"/>
        <v>10</v>
      </c>
      <c r="FK57">
        <f t="shared" si="933"/>
        <v>10</v>
      </c>
      <c r="FL57">
        <f t="shared" si="934"/>
        <v>10</v>
      </c>
      <c r="FM57">
        <f t="shared" si="935"/>
        <v>10</v>
      </c>
      <c r="FN57">
        <f t="shared" si="936"/>
        <v>10</v>
      </c>
      <c r="FO57">
        <f t="shared" si="937"/>
        <v>10</v>
      </c>
      <c r="FP57">
        <f t="shared" si="938"/>
        <v>10</v>
      </c>
      <c r="FQ57">
        <f t="shared" si="939"/>
        <v>10</v>
      </c>
      <c r="FR57">
        <f t="shared" si="940"/>
        <v>10</v>
      </c>
      <c r="FS57">
        <f t="shared" si="941"/>
        <v>10</v>
      </c>
      <c r="FT57">
        <f t="shared" si="942"/>
        <v>10</v>
      </c>
      <c r="FU57">
        <f t="shared" si="943"/>
        <v>10</v>
      </c>
      <c r="FV57">
        <f t="shared" si="944"/>
        <v>10</v>
      </c>
      <c r="FW57">
        <f t="shared" si="945"/>
        <v>10</v>
      </c>
      <c r="FX57">
        <f t="shared" si="946"/>
        <v>10</v>
      </c>
      <c r="FY57">
        <f t="shared" si="947"/>
        <v>10</v>
      </c>
      <c r="FZ57">
        <f t="shared" si="948"/>
        <v>10</v>
      </c>
      <c r="GA57">
        <f t="shared" si="949"/>
        <v>10</v>
      </c>
      <c r="GB57">
        <f t="shared" si="950"/>
        <v>10</v>
      </c>
      <c r="GC57">
        <f t="shared" si="951"/>
        <v>10</v>
      </c>
      <c r="GD57">
        <f t="shared" si="952"/>
        <v>10</v>
      </c>
      <c r="GE57">
        <f t="shared" si="953"/>
        <v>10</v>
      </c>
      <c r="GF57">
        <f t="shared" si="954"/>
        <v>10</v>
      </c>
      <c r="GG57">
        <f t="shared" si="955"/>
        <v>10</v>
      </c>
      <c r="GH57">
        <f t="shared" si="956"/>
        <v>10</v>
      </c>
      <c r="GI57">
        <f t="shared" si="957"/>
        <v>10</v>
      </c>
      <c r="GJ57">
        <f t="shared" si="958"/>
        <v>10</v>
      </c>
      <c r="GK57">
        <f t="shared" si="959"/>
        <v>10</v>
      </c>
      <c r="GL57">
        <f t="shared" si="960"/>
        <v>10</v>
      </c>
      <c r="GM57">
        <f t="shared" si="961"/>
        <v>10</v>
      </c>
      <c r="GN57">
        <f t="shared" si="962"/>
        <v>10</v>
      </c>
      <c r="GO57">
        <f t="shared" si="963"/>
        <v>10</v>
      </c>
      <c r="GP57">
        <f t="shared" si="964"/>
        <v>10</v>
      </c>
      <c r="GQ57">
        <f t="shared" si="965"/>
        <v>10</v>
      </c>
      <c r="GR57">
        <f t="shared" si="966"/>
        <v>10</v>
      </c>
      <c r="GS57">
        <f t="shared" si="967"/>
        <v>10</v>
      </c>
      <c r="GT57">
        <f t="shared" si="968"/>
        <v>10</v>
      </c>
      <c r="GU57">
        <f t="shared" si="969"/>
        <v>10</v>
      </c>
      <c r="GV57">
        <f t="shared" si="970"/>
        <v>10</v>
      </c>
      <c r="GW57">
        <f t="shared" si="971"/>
        <v>10</v>
      </c>
      <c r="GX57">
        <f t="shared" si="972"/>
        <v>10</v>
      </c>
      <c r="GY57">
        <f t="shared" si="973"/>
        <v>10</v>
      </c>
      <c r="GZ57">
        <f t="shared" si="974"/>
        <v>10</v>
      </c>
      <c r="HA57">
        <f t="shared" si="975"/>
        <v>10</v>
      </c>
      <c r="HB57">
        <f t="shared" si="976"/>
        <v>10</v>
      </c>
      <c r="HC57">
        <f t="shared" si="977"/>
        <v>10</v>
      </c>
      <c r="HD57">
        <f t="shared" si="978"/>
        <v>10</v>
      </c>
      <c r="HE57">
        <f t="shared" si="979"/>
        <v>10</v>
      </c>
      <c r="HF57">
        <f t="shared" si="980"/>
        <v>10</v>
      </c>
      <c r="HG57">
        <f t="shared" si="981"/>
        <v>10</v>
      </c>
      <c r="HH57">
        <f t="shared" si="982"/>
        <v>10</v>
      </c>
      <c r="HI57">
        <f t="shared" si="983"/>
        <v>10</v>
      </c>
      <c r="HJ57">
        <f t="shared" si="984"/>
        <v>10</v>
      </c>
      <c r="HK57">
        <f t="shared" si="985"/>
        <v>10</v>
      </c>
      <c r="HL57">
        <f t="shared" si="986"/>
        <v>10</v>
      </c>
      <c r="HM57">
        <f t="shared" si="987"/>
        <v>10</v>
      </c>
      <c r="HN57">
        <f t="shared" si="988"/>
        <v>10</v>
      </c>
      <c r="HO57">
        <f t="shared" si="989"/>
        <v>10</v>
      </c>
      <c r="HP57">
        <f t="shared" si="990"/>
        <v>10</v>
      </c>
      <c r="HQ57">
        <f t="shared" si="991"/>
        <v>10</v>
      </c>
      <c r="HR57">
        <f t="shared" si="992"/>
        <v>10</v>
      </c>
      <c r="HS57">
        <f t="shared" si="993"/>
        <v>10</v>
      </c>
      <c r="HT57">
        <f t="shared" si="994"/>
        <v>10</v>
      </c>
      <c r="HU57">
        <f t="shared" si="995"/>
        <v>10</v>
      </c>
      <c r="HV57">
        <f t="shared" si="996"/>
        <v>10</v>
      </c>
      <c r="HW57">
        <f t="shared" si="997"/>
        <v>10</v>
      </c>
      <c r="HX57">
        <f t="shared" si="998"/>
        <v>10</v>
      </c>
      <c r="HY57">
        <f t="shared" si="999"/>
        <v>10</v>
      </c>
      <c r="HZ57">
        <f t="shared" si="1000"/>
        <v>10</v>
      </c>
      <c r="IA57">
        <f t="shared" si="1001"/>
        <v>10</v>
      </c>
      <c r="IB57">
        <f t="shared" si="1002"/>
        <v>10</v>
      </c>
      <c r="IC57">
        <f t="shared" si="1003"/>
        <v>10</v>
      </c>
      <c r="ID57">
        <f t="shared" si="1004"/>
        <v>10</v>
      </c>
      <c r="IE57">
        <f t="shared" si="1005"/>
        <v>10</v>
      </c>
      <c r="IF57">
        <f t="shared" si="1006"/>
        <v>10</v>
      </c>
      <c r="IG57">
        <f t="shared" si="1007"/>
        <v>10</v>
      </c>
      <c r="IH57">
        <f t="shared" si="1008"/>
        <v>10</v>
      </c>
      <c r="II57">
        <f t="shared" si="1009"/>
        <v>10</v>
      </c>
      <c r="IJ57">
        <f t="shared" si="1010"/>
        <v>10</v>
      </c>
      <c r="IK57">
        <f t="shared" si="1011"/>
        <v>10</v>
      </c>
      <c r="IL57">
        <f t="shared" si="1012"/>
        <v>10</v>
      </c>
      <c r="IM57">
        <f t="shared" si="1013"/>
        <v>10</v>
      </c>
      <c r="IN57">
        <f t="shared" si="1014"/>
        <v>10</v>
      </c>
      <c r="IO57">
        <f t="shared" si="1015"/>
        <v>10</v>
      </c>
      <c r="IP57">
        <f t="shared" si="1016"/>
        <v>10</v>
      </c>
      <c r="IQ57">
        <f t="shared" si="1017"/>
        <v>10</v>
      </c>
      <c r="IR57">
        <f t="shared" si="1018"/>
        <v>10</v>
      </c>
      <c r="IS57">
        <f t="shared" si="1019"/>
        <v>10</v>
      </c>
      <c r="IT57">
        <f t="shared" si="1020"/>
        <v>10</v>
      </c>
      <c r="IU57">
        <f t="shared" si="1021"/>
        <v>10</v>
      </c>
      <c r="IV57">
        <f t="shared" si="1022"/>
        <v>10</v>
      </c>
    </row>
    <row r="58" spans="1:256" x14ac:dyDescent="0.2">
      <c r="A58" t="s">
        <v>529</v>
      </c>
      <c r="B58">
        <f t="shared" si="768"/>
        <v>10</v>
      </c>
      <c r="C58">
        <f t="shared" si="769"/>
        <v>10</v>
      </c>
      <c r="D58">
        <f t="shared" si="770"/>
        <v>10</v>
      </c>
      <c r="E58">
        <f t="shared" si="771"/>
        <v>10</v>
      </c>
      <c r="F58">
        <f t="shared" si="772"/>
        <v>10</v>
      </c>
      <c r="G58">
        <f t="shared" si="773"/>
        <v>10</v>
      </c>
      <c r="H58">
        <f t="shared" si="774"/>
        <v>10</v>
      </c>
      <c r="I58">
        <f t="shared" si="775"/>
        <v>10</v>
      </c>
      <c r="J58">
        <f t="shared" si="776"/>
        <v>10</v>
      </c>
      <c r="K58">
        <f t="shared" si="777"/>
        <v>10</v>
      </c>
      <c r="L58">
        <f t="shared" si="778"/>
        <v>10</v>
      </c>
      <c r="M58">
        <f t="shared" si="779"/>
        <v>10</v>
      </c>
      <c r="N58">
        <f t="shared" si="780"/>
        <v>10</v>
      </c>
      <c r="O58">
        <f t="shared" si="781"/>
        <v>10</v>
      </c>
      <c r="P58">
        <f t="shared" si="782"/>
        <v>10</v>
      </c>
      <c r="Q58">
        <f t="shared" si="783"/>
        <v>10</v>
      </c>
      <c r="R58">
        <f t="shared" si="784"/>
        <v>10</v>
      </c>
      <c r="S58">
        <f t="shared" si="785"/>
        <v>10</v>
      </c>
      <c r="T58">
        <f t="shared" si="786"/>
        <v>10</v>
      </c>
      <c r="U58">
        <f t="shared" si="787"/>
        <v>10</v>
      </c>
      <c r="V58">
        <f t="shared" si="788"/>
        <v>10</v>
      </c>
      <c r="W58">
        <f t="shared" si="789"/>
        <v>10</v>
      </c>
      <c r="X58">
        <f t="shared" si="790"/>
        <v>10</v>
      </c>
      <c r="Y58">
        <f t="shared" si="791"/>
        <v>10</v>
      </c>
      <c r="Z58">
        <f t="shared" si="792"/>
        <v>10</v>
      </c>
      <c r="AA58">
        <f t="shared" si="793"/>
        <v>10</v>
      </c>
      <c r="AB58">
        <f t="shared" si="794"/>
        <v>10</v>
      </c>
      <c r="AC58">
        <f t="shared" si="795"/>
        <v>10</v>
      </c>
      <c r="AD58">
        <f t="shared" si="796"/>
        <v>10</v>
      </c>
      <c r="AE58">
        <f t="shared" si="797"/>
        <v>10</v>
      </c>
      <c r="AF58">
        <f t="shared" si="798"/>
        <v>10</v>
      </c>
      <c r="AG58">
        <f t="shared" si="799"/>
        <v>10</v>
      </c>
      <c r="AH58">
        <f t="shared" si="800"/>
        <v>10</v>
      </c>
      <c r="AI58">
        <f t="shared" si="801"/>
        <v>10</v>
      </c>
      <c r="AJ58">
        <f t="shared" si="802"/>
        <v>10</v>
      </c>
      <c r="AK58">
        <f t="shared" si="803"/>
        <v>10</v>
      </c>
      <c r="AL58">
        <f t="shared" si="804"/>
        <v>10</v>
      </c>
      <c r="AM58">
        <f t="shared" si="805"/>
        <v>10</v>
      </c>
      <c r="AN58">
        <f t="shared" si="806"/>
        <v>10</v>
      </c>
      <c r="AO58">
        <f t="shared" si="807"/>
        <v>10</v>
      </c>
      <c r="AP58">
        <f t="shared" si="808"/>
        <v>10</v>
      </c>
      <c r="AQ58">
        <f t="shared" si="809"/>
        <v>10</v>
      </c>
      <c r="AR58">
        <f t="shared" si="810"/>
        <v>10</v>
      </c>
      <c r="AS58">
        <f t="shared" si="811"/>
        <v>10</v>
      </c>
      <c r="AT58">
        <f t="shared" si="812"/>
        <v>10</v>
      </c>
      <c r="AU58">
        <f t="shared" si="813"/>
        <v>10</v>
      </c>
      <c r="AV58">
        <f t="shared" si="814"/>
        <v>10</v>
      </c>
      <c r="AW58">
        <f t="shared" si="815"/>
        <v>10</v>
      </c>
      <c r="AX58">
        <f t="shared" si="816"/>
        <v>10</v>
      </c>
      <c r="AY58">
        <f t="shared" si="817"/>
        <v>10</v>
      </c>
      <c r="AZ58">
        <f t="shared" si="818"/>
        <v>10</v>
      </c>
      <c r="BA58">
        <f t="shared" si="819"/>
        <v>10</v>
      </c>
      <c r="BB58">
        <f t="shared" si="820"/>
        <v>10</v>
      </c>
      <c r="BC58">
        <f t="shared" si="821"/>
        <v>10</v>
      </c>
      <c r="BD58">
        <f t="shared" si="822"/>
        <v>10</v>
      </c>
      <c r="BE58">
        <f t="shared" si="823"/>
        <v>10</v>
      </c>
      <c r="BF58">
        <f t="shared" si="824"/>
        <v>10</v>
      </c>
      <c r="BG58">
        <f t="shared" si="825"/>
        <v>10</v>
      </c>
      <c r="BH58">
        <f t="shared" si="826"/>
        <v>10</v>
      </c>
      <c r="BI58">
        <f t="shared" si="827"/>
        <v>10</v>
      </c>
      <c r="BJ58">
        <f t="shared" si="828"/>
        <v>10</v>
      </c>
      <c r="BK58">
        <f t="shared" si="829"/>
        <v>10</v>
      </c>
      <c r="BL58">
        <f t="shared" si="830"/>
        <v>10</v>
      </c>
      <c r="BM58">
        <f t="shared" si="831"/>
        <v>10</v>
      </c>
      <c r="BN58">
        <f t="shared" si="832"/>
        <v>10</v>
      </c>
      <c r="BO58">
        <f t="shared" si="833"/>
        <v>10</v>
      </c>
      <c r="BP58">
        <f t="shared" si="834"/>
        <v>10</v>
      </c>
      <c r="BQ58">
        <f t="shared" si="835"/>
        <v>10</v>
      </c>
      <c r="BR58">
        <f t="shared" si="836"/>
        <v>10</v>
      </c>
      <c r="BS58">
        <f t="shared" si="837"/>
        <v>10</v>
      </c>
      <c r="BT58">
        <f t="shared" si="838"/>
        <v>10</v>
      </c>
      <c r="BU58">
        <f t="shared" si="839"/>
        <v>10</v>
      </c>
      <c r="BV58">
        <f t="shared" si="840"/>
        <v>10</v>
      </c>
      <c r="BW58">
        <f t="shared" si="841"/>
        <v>10</v>
      </c>
      <c r="BX58">
        <f t="shared" si="842"/>
        <v>10</v>
      </c>
      <c r="BY58">
        <f t="shared" si="843"/>
        <v>10</v>
      </c>
      <c r="BZ58">
        <f t="shared" si="844"/>
        <v>10</v>
      </c>
      <c r="CA58">
        <f t="shared" si="845"/>
        <v>10</v>
      </c>
      <c r="CB58">
        <f t="shared" si="846"/>
        <v>10</v>
      </c>
      <c r="CC58">
        <f t="shared" si="847"/>
        <v>10</v>
      </c>
      <c r="CD58">
        <f t="shared" si="848"/>
        <v>10</v>
      </c>
      <c r="CE58">
        <f t="shared" si="849"/>
        <v>10</v>
      </c>
      <c r="CF58">
        <f t="shared" si="850"/>
        <v>10</v>
      </c>
      <c r="CG58">
        <f t="shared" si="851"/>
        <v>10</v>
      </c>
      <c r="CH58">
        <f t="shared" si="852"/>
        <v>10</v>
      </c>
      <c r="CI58">
        <f t="shared" si="853"/>
        <v>10</v>
      </c>
      <c r="CJ58">
        <f t="shared" si="854"/>
        <v>10</v>
      </c>
      <c r="CK58">
        <f t="shared" si="855"/>
        <v>10</v>
      </c>
      <c r="CL58">
        <f t="shared" si="856"/>
        <v>10</v>
      </c>
      <c r="CM58">
        <f t="shared" si="857"/>
        <v>10</v>
      </c>
      <c r="CN58">
        <f t="shared" si="858"/>
        <v>10</v>
      </c>
      <c r="CO58">
        <f t="shared" si="859"/>
        <v>10</v>
      </c>
      <c r="CP58">
        <f t="shared" si="860"/>
        <v>10</v>
      </c>
      <c r="CQ58">
        <f t="shared" si="861"/>
        <v>10</v>
      </c>
      <c r="CR58">
        <f t="shared" si="862"/>
        <v>10</v>
      </c>
      <c r="CS58">
        <f t="shared" si="863"/>
        <v>10</v>
      </c>
      <c r="CT58">
        <f t="shared" si="864"/>
        <v>10</v>
      </c>
      <c r="CU58">
        <f t="shared" si="865"/>
        <v>10</v>
      </c>
      <c r="CV58">
        <f t="shared" si="866"/>
        <v>10</v>
      </c>
      <c r="CW58">
        <f t="shared" si="867"/>
        <v>10</v>
      </c>
      <c r="CX58">
        <f t="shared" si="868"/>
        <v>10</v>
      </c>
      <c r="CY58">
        <f t="shared" si="869"/>
        <v>10</v>
      </c>
      <c r="CZ58">
        <f t="shared" si="870"/>
        <v>10</v>
      </c>
      <c r="DA58">
        <f t="shared" si="871"/>
        <v>10</v>
      </c>
      <c r="DB58">
        <f t="shared" si="872"/>
        <v>10</v>
      </c>
      <c r="DC58">
        <f t="shared" si="873"/>
        <v>10</v>
      </c>
      <c r="DD58">
        <f t="shared" si="874"/>
        <v>10</v>
      </c>
      <c r="DE58">
        <f t="shared" si="875"/>
        <v>10</v>
      </c>
      <c r="DF58">
        <f t="shared" si="876"/>
        <v>10</v>
      </c>
      <c r="DG58">
        <f t="shared" si="877"/>
        <v>10</v>
      </c>
      <c r="DH58">
        <f t="shared" si="878"/>
        <v>10</v>
      </c>
      <c r="DI58">
        <f t="shared" si="879"/>
        <v>10</v>
      </c>
      <c r="DJ58">
        <f t="shared" si="880"/>
        <v>10</v>
      </c>
      <c r="DK58">
        <f t="shared" si="881"/>
        <v>10</v>
      </c>
      <c r="DL58">
        <f t="shared" si="882"/>
        <v>10</v>
      </c>
      <c r="DM58">
        <f t="shared" si="883"/>
        <v>10</v>
      </c>
      <c r="DN58">
        <f t="shared" si="884"/>
        <v>10</v>
      </c>
      <c r="DO58">
        <f t="shared" si="885"/>
        <v>10</v>
      </c>
      <c r="DP58">
        <f t="shared" si="886"/>
        <v>10</v>
      </c>
      <c r="DQ58">
        <f t="shared" si="887"/>
        <v>10</v>
      </c>
      <c r="DR58">
        <f t="shared" si="888"/>
        <v>10</v>
      </c>
      <c r="DS58">
        <f t="shared" si="889"/>
        <v>10</v>
      </c>
      <c r="DT58">
        <f t="shared" si="890"/>
        <v>10</v>
      </c>
      <c r="DU58">
        <f t="shared" si="891"/>
        <v>10</v>
      </c>
      <c r="DV58">
        <f t="shared" si="892"/>
        <v>10</v>
      </c>
      <c r="DW58">
        <f t="shared" si="893"/>
        <v>10</v>
      </c>
      <c r="DX58">
        <f t="shared" si="894"/>
        <v>10</v>
      </c>
      <c r="DY58">
        <f t="shared" si="895"/>
        <v>10</v>
      </c>
      <c r="DZ58">
        <f t="shared" si="896"/>
        <v>10</v>
      </c>
      <c r="EA58">
        <f t="shared" si="897"/>
        <v>10</v>
      </c>
      <c r="EB58">
        <f t="shared" si="898"/>
        <v>10</v>
      </c>
      <c r="EC58">
        <f t="shared" si="899"/>
        <v>10</v>
      </c>
      <c r="ED58">
        <f t="shared" si="900"/>
        <v>10</v>
      </c>
      <c r="EE58">
        <f t="shared" si="901"/>
        <v>10</v>
      </c>
      <c r="EF58">
        <f t="shared" si="902"/>
        <v>10</v>
      </c>
      <c r="EG58">
        <f t="shared" si="903"/>
        <v>10</v>
      </c>
      <c r="EH58">
        <f t="shared" si="904"/>
        <v>10</v>
      </c>
      <c r="EI58">
        <f t="shared" si="905"/>
        <v>10</v>
      </c>
      <c r="EJ58">
        <f t="shared" si="906"/>
        <v>10</v>
      </c>
      <c r="EK58">
        <f t="shared" si="907"/>
        <v>10</v>
      </c>
      <c r="EL58">
        <f t="shared" si="908"/>
        <v>10</v>
      </c>
      <c r="EM58">
        <f t="shared" si="909"/>
        <v>10</v>
      </c>
      <c r="EN58">
        <f t="shared" si="910"/>
        <v>10</v>
      </c>
      <c r="EO58">
        <f t="shared" si="911"/>
        <v>10</v>
      </c>
      <c r="EP58">
        <f t="shared" si="912"/>
        <v>10</v>
      </c>
      <c r="EQ58">
        <f t="shared" si="913"/>
        <v>10</v>
      </c>
      <c r="ER58">
        <f t="shared" si="914"/>
        <v>10</v>
      </c>
      <c r="ES58">
        <f t="shared" si="915"/>
        <v>10</v>
      </c>
      <c r="ET58">
        <f t="shared" si="916"/>
        <v>10</v>
      </c>
      <c r="EU58">
        <f t="shared" si="917"/>
        <v>10</v>
      </c>
      <c r="EV58">
        <f t="shared" si="918"/>
        <v>10</v>
      </c>
      <c r="EW58">
        <f t="shared" si="919"/>
        <v>10</v>
      </c>
      <c r="EX58">
        <f t="shared" si="920"/>
        <v>10</v>
      </c>
      <c r="EY58">
        <f t="shared" si="921"/>
        <v>10</v>
      </c>
      <c r="EZ58">
        <f t="shared" si="922"/>
        <v>10</v>
      </c>
      <c r="FA58">
        <f t="shared" si="923"/>
        <v>10</v>
      </c>
      <c r="FB58">
        <f t="shared" si="924"/>
        <v>10</v>
      </c>
      <c r="FC58">
        <f t="shared" si="925"/>
        <v>10</v>
      </c>
      <c r="FD58">
        <f t="shared" si="926"/>
        <v>10</v>
      </c>
      <c r="FE58">
        <f t="shared" si="927"/>
        <v>10</v>
      </c>
      <c r="FF58">
        <f t="shared" si="928"/>
        <v>10</v>
      </c>
      <c r="FG58">
        <f t="shared" si="929"/>
        <v>10</v>
      </c>
      <c r="FH58">
        <f t="shared" si="930"/>
        <v>10</v>
      </c>
      <c r="FI58">
        <f t="shared" si="931"/>
        <v>10</v>
      </c>
      <c r="FJ58">
        <f t="shared" si="932"/>
        <v>10</v>
      </c>
      <c r="FK58">
        <f t="shared" si="933"/>
        <v>10</v>
      </c>
      <c r="FL58">
        <f t="shared" si="934"/>
        <v>10</v>
      </c>
      <c r="FM58">
        <f t="shared" si="935"/>
        <v>10</v>
      </c>
      <c r="FN58">
        <f t="shared" si="936"/>
        <v>10</v>
      </c>
      <c r="FO58">
        <f t="shared" si="937"/>
        <v>10</v>
      </c>
      <c r="FP58">
        <f t="shared" si="938"/>
        <v>10</v>
      </c>
      <c r="FQ58">
        <f t="shared" si="939"/>
        <v>10</v>
      </c>
      <c r="FR58">
        <f t="shared" si="940"/>
        <v>10</v>
      </c>
      <c r="FS58">
        <f t="shared" si="941"/>
        <v>10</v>
      </c>
      <c r="FT58">
        <f t="shared" si="942"/>
        <v>10</v>
      </c>
      <c r="FU58">
        <f t="shared" si="943"/>
        <v>10</v>
      </c>
      <c r="FV58">
        <f t="shared" si="944"/>
        <v>10</v>
      </c>
      <c r="FW58">
        <f t="shared" si="945"/>
        <v>10</v>
      </c>
      <c r="FX58">
        <f t="shared" si="946"/>
        <v>10</v>
      </c>
      <c r="FY58">
        <f t="shared" si="947"/>
        <v>10</v>
      </c>
      <c r="FZ58">
        <f t="shared" si="948"/>
        <v>10</v>
      </c>
      <c r="GA58">
        <f t="shared" si="949"/>
        <v>10</v>
      </c>
      <c r="GB58">
        <f t="shared" si="950"/>
        <v>10</v>
      </c>
      <c r="GC58">
        <f t="shared" si="951"/>
        <v>10</v>
      </c>
      <c r="GD58">
        <f t="shared" si="952"/>
        <v>10</v>
      </c>
      <c r="GE58">
        <f t="shared" si="953"/>
        <v>10</v>
      </c>
      <c r="GF58">
        <f t="shared" si="954"/>
        <v>10</v>
      </c>
      <c r="GG58">
        <f t="shared" si="955"/>
        <v>10</v>
      </c>
      <c r="GH58">
        <f t="shared" si="956"/>
        <v>10</v>
      </c>
      <c r="GI58">
        <f t="shared" si="957"/>
        <v>10</v>
      </c>
      <c r="GJ58">
        <f t="shared" si="958"/>
        <v>10</v>
      </c>
      <c r="GK58">
        <f t="shared" si="959"/>
        <v>10</v>
      </c>
      <c r="GL58">
        <f t="shared" si="960"/>
        <v>10</v>
      </c>
      <c r="GM58">
        <f t="shared" si="961"/>
        <v>10</v>
      </c>
      <c r="GN58">
        <f t="shared" si="962"/>
        <v>10</v>
      </c>
      <c r="GO58">
        <f t="shared" si="963"/>
        <v>10</v>
      </c>
      <c r="GP58">
        <f t="shared" si="964"/>
        <v>10</v>
      </c>
      <c r="GQ58">
        <f t="shared" si="965"/>
        <v>10</v>
      </c>
      <c r="GR58">
        <f t="shared" si="966"/>
        <v>10</v>
      </c>
      <c r="GS58">
        <f t="shared" si="967"/>
        <v>10</v>
      </c>
      <c r="GT58">
        <f t="shared" si="968"/>
        <v>10</v>
      </c>
      <c r="GU58">
        <f t="shared" si="969"/>
        <v>10</v>
      </c>
      <c r="GV58">
        <f t="shared" si="970"/>
        <v>10</v>
      </c>
      <c r="GW58">
        <f t="shared" si="971"/>
        <v>10</v>
      </c>
      <c r="GX58">
        <f t="shared" si="972"/>
        <v>10</v>
      </c>
      <c r="GY58">
        <f t="shared" si="973"/>
        <v>10</v>
      </c>
      <c r="GZ58">
        <f t="shared" si="974"/>
        <v>10</v>
      </c>
      <c r="HA58">
        <f t="shared" si="975"/>
        <v>10</v>
      </c>
      <c r="HB58">
        <f t="shared" si="976"/>
        <v>10</v>
      </c>
      <c r="HC58">
        <f t="shared" si="977"/>
        <v>10</v>
      </c>
      <c r="HD58">
        <f t="shared" si="978"/>
        <v>10</v>
      </c>
      <c r="HE58">
        <f t="shared" si="979"/>
        <v>10</v>
      </c>
      <c r="HF58">
        <f t="shared" si="980"/>
        <v>10</v>
      </c>
      <c r="HG58">
        <f t="shared" si="981"/>
        <v>10</v>
      </c>
      <c r="HH58">
        <f t="shared" si="982"/>
        <v>10</v>
      </c>
      <c r="HI58">
        <f t="shared" si="983"/>
        <v>10</v>
      </c>
      <c r="HJ58">
        <f t="shared" si="984"/>
        <v>10</v>
      </c>
      <c r="HK58">
        <f t="shared" si="985"/>
        <v>10</v>
      </c>
      <c r="HL58">
        <f t="shared" si="986"/>
        <v>10</v>
      </c>
      <c r="HM58">
        <f t="shared" si="987"/>
        <v>10</v>
      </c>
      <c r="HN58">
        <f t="shared" si="988"/>
        <v>10</v>
      </c>
      <c r="HO58">
        <f t="shared" si="989"/>
        <v>10</v>
      </c>
      <c r="HP58">
        <f t="shared" si="990"/>
        <v>10</v>
      </c>
      <c r="HQ58">
        <f t="shared" si="991"/>
        <v>10</v>
      </c>
      <c r="HR58">
        <f t="shared" si="992"/>
        <v>10</v>
      </c>
      <c r="HS58">
        <f t="shared" si="993"/>
        <v>10</v>
      </c>
      <c r="HT58">
        <f t="shared" si="994"/>
        <v>10</v>
      </c>
      <c r="HU58">
        <f t="shared" si="995"/>
        <v>10</v>
      </c>
      <c r="HV58">
        <f t="shared" si="996"/>
        <v>10</v>
      </c>
      <c r="HW58">
        <f t="shared" si="997"/>
        <v>10</v>
      </c>
      <c r="HX58">
        <f t="shared" si="998"/>
        <v>10</v>
      </c>
      <c r="HY58">
        <f t="shared" si="999"/>
        <v>10</v>
      </c>
      <c r="HZ58">
        <f t="shared" si="1000"/>
        <v>10</v>
      </c>
      <c r="IA58">
        <f t="shared" si="1001"/>
        <v>10</v>
      </c>
      <c r="IB58">
        <f t="shared" si="1002"/>
        <v>10</v>
      </c>
      <c r="IC58">
        <f t="shared" si="1003"/>
        <v>10</v>
      </c>
      <c r="ID58">
        <f t="shared" si="1004"/>
        <v>10</v>
      </c>
      <c r="IE58">
        <f t="shared" si="1005"/>
        <v>10</v>
      </c>
      <c r="IF58">
        <f t="shared" si="1006"/>
        <v>10</v>
      </c>
      <c r="IG58">
        <f t="shared" si="1007"/>
        <v>10</v>
      </c>
      <c r="IH58">
        <f t="shared" si="1008"/>
        <v>10</v>
      </c>
      <c r="II58">
        <f t="shared" si="1009"/>
        <v>10</v>
      </c>
      <c r="IJ58">
        <f t="shared" si="1010"/>
        <v>10</v>
      </c>
      <c r="IK58">
        <f t="shared" si="1011"/>
        <v>10</v>
      </c>
      <c r="IL58">
        <f t="shared" si="1012"/>
        <v>10</v>
      </c>
      <c r="IM58">
        <f t="shared" si="1013"/>
        <v>10</v>
      </c>
      <c r="IN58">
        <f t="shared" si="1014"/>
        <v>10</v>
      </c>
      <c r="IO58">
        <f t="shared" si="1015"/>
        <v>10</v>
      </c>
      <c r="IP58">
        <f t="shared" si="1016"/>
        <v>10</v>
      </c>
      <c r="IQ58">
        <f t="shared" si="1017"/>
        <v>10</v>
      </c>
      <c r="IR58">
        <f t="shared" si="1018"/>
        <v>10</v>
      </c>
      <c r="IS58">
        <f t="shared" si="1019"/>
        <v>10</v>
      </c>
      <c r="IT58">
        <f t="shared" si="1020"/>
        <v>10</v>
      </c>
      <c r="IU58">
        <f t="shared" si="1021"/>
        <v>10</v>
      </c>
      <c r="IV58">
        <f t="shared" si="1022"/>
        <v>10</v>
      </c>
    </row>
    <row r="59" spans="1:256" x14ac:dyDescent="0.2">
      <c r="A59" t="s">
        <v>530</v>
      </c>
      <c r="B59">
        <f t="shared" si="768"/>
        <v>10</v>
      </c>
      <c r="C59">
        <f t="shared" si="769"/>
        <v>10</v>
      </c>
      <c r="D59">
        <f t="shared" si="770"/>
        <v>10</v>
      </c>
      <c r="E59">
        <f t="shared" si="771"/>
        <v>10</v>
      </c>
      <c r="F59">
        <f t="shared" si="772"/>
        <v>10</v>
      </c>
      <c r="G59">
        <f t="shared" si="773"/>
        <v>10</v>
      </c>
      <c r="H59">
        <f t="shared" si="774"/>
        <v>10</v>
      </c>
      <c r="I59">
        <f t="shared" si="775"/>
        <v>10</v>
      </c>
      <c r="J59">
        <f t="shared" si="776"/>
        <v>10</v>
      </c>
      <c r="K59">
        <f t="shared" si="777"/>
        <v>10</v>
      </c>
      <c r="L59">
        <f t="shared" si="778"/>
        <v>10</v>
      </c>
      <c r="M59">
        <f t="shared" si="779"/>
        <v>10</v>
      </c>
      <c r="N59">
        <f t="shared" si="780"/>
        <v>10</v>
      </c>
      <c r="O59">
        <f t="shared" si="781"/>
        <v>10</v>
      </c>
      <c r="P59">
        <f t="shared" si="782"/>
        <v>10</v>
      </c>
      <c r="Q59">
        <f t="shared" si="783"/>
        <v>10</v>
      </c>
      <c r="R59">
        <f t="shared" si="784"/>
        <v>10</v>
      </c>
      <c r="S59">
        <f t="shared" si="785"/>
        <v>10</v>
      </c>
      <c r="T59">
        <f t="shared" si="786"/>
        <v>10</v>
      </c>
      <c r="U59">
        <f t="shared" si="787"/>
        <v>10</v>
      </c>
      <c r="V59">
        <f t="shared" si="788"/>
        <v>10</v>
      </c>
      <c r="W59">
        <f t="shared" si="789"/>
        <v>10</v>
      </c>
      <c r="X59">
        <f t="shared" si="790"/>
        <v>10</v>
      </c>
      <c r="Y59">
        <f t="shared" si="791"/>
        <v>10</v>
      </c>
      <c r="Z59">
        <f t="shared" si="792"/>
        <v>10</v>
      </c>
      <c r="AA59">
        <f t="shared" si="793"/>
        <v>10</v>
      </c>
      <c r="AB59">
        <f t="shared" si="794"/>
        <v>10</v>
      </c>
      <c r="AC59">
        <f t="shared" si="795"/>
        <v>10</v>
      </c>
      <c r="AD59">
        <f t="shared" si="796"/>
        <v>10</v>
      </c>
      <c r="AE59">
        <f t="shared" si="797"/>
        <v>10</v>
      </c>
      <c r="AF59">
        <f t="shared" si="798"/>
        <v>10</v>
      </c>
      <c r="AG59">
        <f t="shared" si="799"/>
        <v>10</v>
      </c>
      <c r="AH59">
        <f t="shared" si="800"/>
        <v>10</v>
      </c>
      <c r="AI59">
        <f t="shared" si="801"/>
        <v>10</v>
      </c>
      <c r="AJ59">
        <f t="shared" si="802"/>
        <v>10</v>
      </c>
      <c r="AK59">
        <f t="shared" si="803"/>
        <v>10</v>
      </c>
      <c r="AL59">
        <f t="shared" si="804"/>
        <v>10</v>
      </c>
      <c r="AM59">
        <f t="shared" si="805"/>
        <v>10</v>
      </c>
      <c r="AN59">
        <f t="shared" si="806"/>
        <v>10</v>
      </c>
      <c r="AO59">
        <f t="shared" si="807"/>
        <v>10</v>
      </c>
      <c r="AP59">
        <f t="shared" si="808"/>
        <v>10</v>
      </c>
      <c r="AQ59">
        <f t="shared" si="809"/>
        <v>10</v>
      </c>
      <c r="AR59">
        <f t="shared" si="810"/>
        <v>10</v>
      </c>
      <c r="AS59">
        <f t="shared" si="811"/>
        <v>10</v>
      </c>
      <c r="AT59">
        <f t="shared" si="812"/>
        <v>10</v>
      </c>
      <c r="AU59">
        <f t="shared" si="813"/>
        <v>10</v>
      </c>
      <c r="AV59">
        <f t="shared" si="814"/>
        <v>10</v>
      </c>
      <c r="AW59">
        <f t="shared" si="815"/>
        <v>10</v>
      </c>
      <c r="AX59">
        <f t="shared" si="816"/>
        <v>10</v>
      </c>
      <c r="AY59">
        <f t="shared" si="817"/>
        <v>10</v>
      </c>
      <c r="AZ59">
        <f t="shared" si="818"/>
        <v>10</v>
      </c>
      <c r="BA59">
        <f t="shared" si="819"/>
        <v>10</v>
      </c>
      <c r="BB59">
        <f t="shared" si="820"/>
        <v>10</v>
      </c>
      <c r="BC59">
        <f t="shared" si="821"/>
        <v>10</v>
      </c>
      <c r="BD59">
        <f t="shared" si="822"/>
        <v>10</v>
      </c>
      <c r="BE59">
        <f t="shared" si="823"/>
        <v>10</v>
      </c>
      <c r="BF59">
        <f t="shared" si="824"/>
        <v>10</v>
      </c>
      <c r="BG59">
        <f t="shared" si="825"/>
        <v>10</v>
      </c>
      <c r="BH59">
        <f t="shared" si="826"/>
        <v>10</v>
      </c>
      <c r="BI59">
        <f t="shared" si="827"/>
        <v>10</v>
      </c>
      <c r="BJ59">
        <f t="shared" si="828"/>
        <v>10</v>
      </c>
      <c r="BK59">
        <f t="shared" si="829"/>
        <v>10</v>
      </c>
      <c r="BL59">
        <f t="shared" si="830"/>
        <v>10</v>
      </c>
      <c r="BM59">
        <f t="shared" si="831"/>
        <v>10</v>
      </c>
      <c r="BN59">
        <f t="shared" si="832"/>
        <v>10</v>
      </c>
      <c r="BO59">
        <f t="shared" si="833"/>
        <v>10</v>
      </c>
      <c r="BP59">
        <f t="shared" si="834"/>
        <v>10</v>
      </c>
      <c r="BQ59">
        <f t="shared" si="835"/>
        <v>10</v>
      </c>
      <c r="BR59">
        <f t="shared" si="836"/>
        <v>10</v>
      </c>
      <c r="BS59">
        <f t="shared" si="837"/>
        <v>10</v>
      </c>
      <c r="BT59">
        <f t="shared" si="838"/>
        <v>10</v>
      </c>
      <c r="BU59">
        <f t="shared" si="839"/>
        <v>10</v>
      </c>
      <c r="BV59">
        <f t="shared" si="840"/>
        <v>10</v>
      </c>
      <c r="BW59">
        <f t="shared" si="841"/>
        <v>10</v>
      </c>
      <c r="BX59">
        <f t="shared" si="842"/>
        <v>10</v>
      </c>
      <c r="BY59">
        <f t="shared" si="843"/>
        <v>10</v>
      </c>
      <c r="BZ59">
        <f t="shared" si="844"/>
        <v>10</v>
      </c>
      <c r="CA59">
        <f t="shared" si="845"/>
        <v>10</v>
      </c>
      <c r="CB59">
        <f t="shared" si="846"/>
        <v>10</v>
      </c>
      <c r="CC59">
        <f t="shared" si="847"/>
        <v>10</v>
      </c>
      <c r="CD59">
        <f t="shared" si="848"/>
        <v>10</v>
      </c>
      <c r="CE59">
        <f t="shared" si="849"/>
        <v>10</v>
      </c>
      <c r="CF59">
        <f t="shared" si="850"/>
        <v>10</v>
      </c>
      <c r="CG59">
        <f t="shared" si="851"/>
        <v>10</v>
      </c>
      <c r="CH59">
        <f t="shared" si="852"/>
        <v>10</v>
      </c>
      <c r="CI59">
        <f t="shared" si="853"/>
        <v>10</v>
      </c>
      <c r="CJ59">
        <f t="shared" si="854"/>
        <v>10</v>
      </c>
      <c r="CK59">
        <f t="shared" si="855"/>
        <v>10</v>
      </c>
      <c r="CL59">
        <f t="shared" si="856"/>
        <v>10</v>
      </c>
      <c r="CM59">
        <f t="shared" si="857"/>
        <v>10</v>
      </c>
      <c r="CN59">
        <f t="shared" si="858"/>
        <v>10</v>
      </c>
      <c r="CO59">
        <f t="shared" si="859"/>
        <v>10</v>
      </c>
      <c r="CP59">
        <f t="shared" si="860"/>
        <v>10</v>
      </c>
      <c r="CQ59">
        <f t="shared" si="861"/>
        <v>10</v>
      </c>
      <c r="CR59">
        <f t="shared" si="862"/>
        <v>10</v>
      </c>
      <c r="CS59">
        <f t="shared" si="863"/>
        <v>10</v>
      </c>
      <c r="CT59">
        <f t="shared" si="864"/>
        <v>10</v>
      </c>
      <c r="CU59">
        <f t="shared" si="865"/>
        <v>10</v>
      </c>
      <c r="CV59">
        <f t="shared" si="866"/>
        <v>10</v>
      </c>
      <c r="CW59">
        <f t="shared" si="867"/>
        <v>10</v>
      </c>
      <c r="CX59">
        <f t="shared" si="868"/>
        <v>10</v>
      </c>
      <c r="CY59">
        <f t="shared" si="869"/>
        <v>10</v>
      </c>
      <c r="CZ59">
        <f t="shared" si="870"/>
        <v>10</v>
      </c>
      <c r="DA59">
        <f t="shared" si="871"/>
        <v>10</v>
      </c>
      <c r="DB59">
        <f t="shared" si="872"/>
        <v>10</v>
      </c>
      <c r="DC59">
        <f t="shared" si="873"/>
        <v>10</v>
      </c>
      <c r="DD59">
        <f t="shared" si="874"/>
        <v>10</v>
      </c>
      <c r="DE59">
        <f t="shared" si="875"/>
        <v>10</v>
      </c>
      <c r="DF59">
        <f t="shared" si="876"/>
        <v>10</v>
      </c>
      <c r="DG59">
        <f t="shared" si="877"/>
        <v>10</v>
      </c>
      <c r="DH59">
        <f t="shared" si="878"/>
        <v>10</v>
      </c>
      <c r="DI59">
        <f t="shared" si="879"/>
        <v>10</v>
      </c>
      <c r="DJ59">
        <f t="shared" si="880"/>
        <v>10</v>
      </c>
      <c r="DK59">
        <f t="shared" si="881"/>
        <v>10</v>
      </c>
      <c r="DL59">
        <f t="shared" si="882"/>
        <v>10</v>
      </c>
      <c r="DM59">
        <f t="shared" si="883"/>
        <v>10</v>
      </c>
      <c r="DN59">
        <f t="shared" si="884"/>
        <v>10</v>
      </c>
      <c r="DO59">
        <f t="shared" si="885"/>
        <v>10</v>
      </c>
      <c r="DP59">
        <f t="shared" si="886"/>
        <v>10</v>
      </c>
      <c r="DQ59">
        <f t="shared" si="887"/>
        <v>10</v>
      </c>
      <c r="DR59">
        <f t="shared" si="888"/>
        <v>10</v>
      </c>
      <c r="DS59">
        <f t="shared" si="889"/>
        <v>10</v>
      </c>
      <c r="DT59">
        <f t="shared" si="890"/>
        <v>10</v>
      </c>
      <c r="DU59">
        <f t="shared" si="891"/>
        <v>10</v>
      </c>
      <c r="DV59">
        <f t="shared" si="892"/>
        <v>10</v>
      </c>
      <c r="DW59">
        <f t="shared" si="893"/>
        <v>10</v>
      </c>
      <c r="DX59">
        <f t="shared" si="894"/>
        <v>10</v>
      </c>
      <c r="DY59">
        <f t="shared" si="895"/>
        <v>10</v>
      </c>
      <c r="DZ59">
        <f t="shared" si="896"/>
        <v>10</v>
      </c>
      <c r="EA59">
        <f t="shared" si="897"/>
        <v>10</v>
      </c>
      <c r="EB59">
        <f t="shared" si="898"/>
        <v>10</v>
      </c>
      <c r="EC59">
        <f t="shared" si="899"/>
        <v>10</v>
      </c>
      <c r="ED59">
        <f t="shared" si="900"/>
        <v>10</v>
      </c>
      <c r="EE59">
        <f t="shared" si="901"/>
        <v>10</v>
      </c>
      <c r="EF59">
        <f t="shared" si="902"/>
        <v>10</v>
      </c>
      <c r="EG59">
        <f t="shared" si="903"/>
        <v>10</v>
      </c>
      <c r="EH59">
        <f t="shared" si="904"/>
        <v>10</v>
      </c>
      <c r="EI59">
        <f t="shared" si="905"/>
        <v>10</v>
      </c>
      <c r="EJ59">
        <f t="shared" si="906"/>
        <v>10</v>
      </c>
      <c r="EK59">
        <f t="shared" si="907"/>
        <v>10</v>
      </c>
      <c r="EL59">
        <f t="shared" si="908"/>
        <v>10</v>
      </c>
      <c r="EM59">
        <f t="shared" si="909"/>
        <v>10</v>
      </c>
      <c r="EN59">
        <f t="shared" si="910"/>
        <v>10</v>
      </c>
      <c r="EO59">
        <f t="shared" si="911"/>
        <v>10</v>
      </c>
      <c r="EP59">
        <f t="shared" si="912"/>
        <v>10</v>
      </c>
      <c r="EQ59">
        <f t="shared" si="913"/>
        <v>10</v>
      </c>
      <c r="ER59">
        <f t="shared" si="914"/>
        <v>10</v>
      </c>
      <c r="ES59">
        <f t="shared" si="915"/>
        <v>10</v>
      </c>
      <c r="ET59">
        <f t="shared" si="916"/>
        <v>10</v>
      </c>
      <c r="EU59">
        <f t="shared" si="917"/>
        <v>10</v>
      </c>
      <c r="EV59">
        <f t="shared" si="918"/>
        <v>10</v>
      </c>
      <c r="EW59">
        <f t="shared" si="919"/>
        <v>10</v>
      </c>
      <c r="EX59">
        <f t="shared" si="920"/>
        <v>10</v>
      </c>
      <c r="EY59">
        <f t="shared" si="921"/>
        <v>10</v>
      </c>
      <c r="EZ59">
        <f t="shared" si="922"/>
        <v>10</v>
      </c>
      <c r="FA59">
        <f t="shared" si="923"/>
        <v>10</v>
      </c>
      <c r="FB59">
        <f t="shared" si="924"/>
        <v>10</v>
      </c>
      <c r="FC59">
        <f t="shared" si="925"/>
        <v>10</v>
      </c>
      <c r="FD59">
        <f t="shared" si="926"/>
        <v>10</v>
      </c>
      <c r="FE59">
        <f t="shared" si="927"/>
        <v>10</v>
      </c>
      <c r="FF59">
        <f t="shared" si="928"/>
        <v>10</v>
      </c>
      <c r="FG59">
        <f t="shared" si="929"/>
        <v>10</v>
      </c>
      <c r="FH59">
        <f t="shared" si="930"/>
        <v>10</v>
      </c>
      <c r="FI59">
        <f t="shared" si="931"/>
        <v>10</v>
      </c>
      <c r="FJ59">
        <f t="shared" si="932"/>
        <v>10</v>
      </c>
      <c r="FK59">
        <f t="shared" si="933"/>
        <v>10</v>
      </c>
      <c r="FL59">
        <f t="shared" si="934"/>
        <v>10</v>
      </c>
      <c r="FM59">
        <f t="shared" si="935"/>
        <v>10</v>
      </c>
      <c r="FN59">
        <f t="shared" si="936"/>
        <v>10</v>
      </c>
      <c r="FO59">
        <f t="shared" si="937"/>
        <v>10</v>
      </c>
      <c r="FP59">
        <f t="shared" si="938"/>
        <v>10</v>
      </c>
      <c r="FQ59">
        <f t="shared" si="939"/>
        <v>10</v>
      </c>
      <c r="FR59">
        <f t="shared" si="940"/>
        <v>10</v>
      </c>
      <c r="FS59">
        <f t="shared" si="941"/>
        <v>10</v>
      </c>
      <c r="FT59">
        <f t="shared" si="942"/>
        <v>10</v>
      </c>
      <c r="FU59">
        <f t="shared" si="943"/>
        <v>10</v>
      </c>
      <c r="FV59">
        <f t="shared" si="944"/>
        <v>10</v>
      </c>
      <c r="FW59">
        <f t="shared" si="945"/>
        <v>10</v>
      </c>
      <c r="FX59">
        <f t="shared" si="946"/>
        <v>10</v>
      </c>
      <c r="FY59">
        <f t="shared" si="947"/>
        <v>10</v>
      </c>
      <c r="FZ59">
        <f t="shared" si="948"/>
        <v>10</v>
      </c>
      <c r="GA59">
        <f t="shared" si="949"/>
        <v>10</v>
      </c>
      <c r="GB59">
        <f t="shared" si="950"/>
        <v>10</v>
      </c>
      <c r="GC59">
        <f t="shared" si="951"/>
        <v>10</v>
      </c>
      <c r="GD59">
        <f t="shared" si="952"/>
        <v>10</v>
      </c>
      <c r="GE59">
        <f t="shared" si="953"/>
        <v>10</v>
      </c>
      <c r="GF59">
        <f t="shared" si="954"/>
        <v>10</v>
      </c>
      <c r="GG59">
        <f t="shared" si="955"/>
        <v>10</v>
      </c>
      <c r="GH59">
        <f t="shared" si="956"/>
        <v>10</v>
      </c>
      <c r="GI59">
        <f t="shared" si="957"/>
        <v>10</v>
      </c>
      <c r="GJ59">
        <f t="shared" si="958"/>
        <v>10</v>
      </c>
      <c r="GK59">
        <f t="shared" si="959"/>
        <v>10</v>
      </c>
      <c r="GL59">
        <f t="shared" si="960"/>
        <v>10</v>
      </c>
      <c r="GM59">
        <f t="shared" si="961"/>
        <v>10</v>
      </c>
      <c r="GN59">
        <f t="shared" si="962"/>
        <v>10</v>
      </c>
      <c r="GO59">
        <f t="shared" si="963"/>
        <v>10</v>
      </c>
      <c r="GP59">
        <f t="shared" si="964"/>
        <v>10</v>
      </c>
      <c r="GQ59">
        <f t="shared" si="965"/>
        <v>10</v>
      </c>
      <c r="GR59">
        <f t="shared" si="966"/>
        <v>10</v>
      </c>
      <c r="GS59">
        <f t="shared" si="967"/>
        <v>10</v>
      </c>
      <c r="GT59">
        <f t="shared" si="968"/>
        <v>10</v>
      </c>
      <c r="GU59">
        <f t="shared" si="969"/>
        <v>10</v>
      </c>
      <c r="GV59">
        <f t="shared" si="970"/>
        <v>10</v>
      </c>
      <c r="GW59">
        <f t="shared" si="971"/>
        <v>10</v>
      </c>
      <c r="GX59">
        <f t="shared" si="972"/>
        <v>10</v>
      </c>
      <c r="GY59">
        <f t="shared" si="973"/>
        <v>10</v>
      </c>
      <c r="GZ59">
        <f t="shared" si="974"/>
        <v>10</v>
      </c>
      <c r="HA59">
        <f t="shared" si="975"/>
        <v>10</v>
      </c>
      <c r="HB59">
        <f t="shared" si="976"/>
        <v>10</v>
      </c>
      <c r="HC59">
        <f t="shared" si="977"/>
        <v>10</v>
      </c>
      <c r="HD59">
        <f t="shared" si="978"/>
        <v>10</v>
      </c>
      <c r="HE59">
        <f t="shared" si="979"/>
        <v>10</v>
      </c>
      <c r="HF59">
        <f t="shared" si="980"/>
        <v>10</v>
      </c>
      <c r="HG59">
        <f t="shared" si="981"/>
        <v>10</v>
      </c>
      <c r="HH59">
        <f t="shared" si="982"/>
        <v>10</v>
      </c>
      <c r="HI59">
        <f t="shared" si="983"/>
        <v>10</v>
      </c>
      <c r="HJ59">
        <f t="shared" si="984"/>
        <v>10</v>
      </c>
      <c r="HK59">
        <f t="shared" si="985"/>
        <v>10</v>
      </c>
      <c r="HL59">
        <f t="shared" si="986"/>
        <v>10</v>
      </c>
      <c r="HM59">
        <f t="shared" si="987"/>
        <v>10</v>
      </c>
      <c r="HN59">
        <f t="shared" si="988"/>
        <v>10</v>
      </c>
      <c r="HO59">
        <f t="shared" si="989"/>
        <v>10</v>
      </c>
      <c r="HP59">
        <f t="shared" si="990"/>
        <v>10</v>
      </c>
      <c r="HQ59">
        <f t="shared" si="991"/>
        <v>10</v>
      </c>
      <c r="HR59">
        <f t="shared" si="992"/>
        <v>10</v>
      </c>
      <c r="HS59">
        <f t="shared" si="993"/>
        <v>10</v>
      </c>
      <c r="HT59">
        <f t="shared" si="994"/>
        <v>10</v>
      </c>
      <c r="HU59">
        <f t="shared" si="995"/>
        <v>10</v>
      </c>
      <c r="HV59">
        <f t="shared" si="996"/>
        <v>10</v>
      </c>
      <c r="HW59">
        <f t="shared" si="997"/>
        <v>10</v>
      </c>
      <c r="HX59">
        <f t="shared" si="998"/>
        <v>10</v>
      </c>
      <c r="HY59">
        <f t="shared" si="999"/>
        <v>10</v>
      </c>
      <c r="HZ59">
        <f t="shared" si="1000"/>
        <v>10</v>
      </c>
      <c r="IA59">
        <f t="shared" si="1001"/>
        <v>10</v>
      </c>
      <c r="IB59">
        <f t="shared" si="1002"/>
        <v>10</v>
      </c>
      <c r="IC59">
        <f t="shared" si="1003"/>
        <v>10</v>
      </c>
      <c r="ID59">
        <f t="shared" si="1004"/>
        <v>10</v>
      </c>
      <c r="IE59">
        <f t="shared" si="1005"/>
        <v>10</v>
      </c>
      <c r="IF59">
        <f t="shared" si="1006"/>
        <v>10</v>
      </c>
      <c r="IG59">
        <f t="shared" si="1007"/>
        <v>10</v>
      </c>
      <c r="IH59">
        <f t="shared" si="1008"/>
        <v>10</v>
      </c>
      <c r="II59">
        <f t="shared" si="1009"/>
        <v>10</v>
      </c>
      <c r="IJ59">
        <f t="shared" si="1010"/>
        <v>10</v>
      </c>
      <c r="IK59">
        <f t="shared" si="1011"/>
        <v>10</v>
      </c>
      <c r="IL59">
        <f t="shared" si="1012"/>
        <v>10</v>
      </c>
      <c r="IM59">
        <f t="shared" si="1013"/>
        <v>10</v>
      </c>
      <c r="IN59">
        <f t="shared" si="1014"/>
        <v>10</v>
      </c>
      <c r="IO59">
        <f t="shared" si="1015"/>
        <v>10</v>
      </c>
      <c r="IP59">
        <f t="shared" si="1016"/>
        <v>10</v>
      </c>
      <c r="IQ59">
        <f t="shared" si="1017"/>
        <v>10</v>
      </c>
      <c r="IR59">
        <f t="shared" si="1018"/>
        <v>10</v>
      </c>
      <c r="IS59">
        <f t="shared" si="1019"/>
        <v>10</v>
      </c>
      <c r="IT59">
        <f t="shared" si="1020"/>
        <v>10</v>
      </c>
      <c r="IU59">
        <f t="shared" si="1021"/>
        <v>10</v>
      </c>
      <c r="IV59">
        <f t="shared" si="1022"/>
        <v>10</v>
      </c>
    </row>
    <row r="60" spans="1:256" x14ac:dyDescent="0.2">
      <c r="A60" t="s">
        <v>531</v>
      </c>
      <c r="B60">
        <f t="shared" si="768"/>
        <v>10</v>
      </c>
      <c r="C60">
        <f t="shared" si="769"/>
        <v>10</v>
      </c>
      <c r="D60">
        <f t="shared" si="770"/>
        <v>10</v>
      </c>
      <c r="E60">
        <f t="shared" si="771"/>
        <v>10</v>
      </c>
      <c r="F60">
        <f t="shared" si="772"/>
        <v>10</v>
      </c>
      <c r="G60">
        <f t="shared" si="773"/>
        <v>10</v>
      </c>
      <c r="H60">
        <f t="shared" si="774"/>
        <v>10</v>
      </c>
      <c r="I60">
        <f t="shared" si="775"/>
        <v>10</v>
      </c>
      <c r="J60">
        <f t="shared" si="776"/>
        <v>10</v>
      </c>
      <c r="K60">
        <f t="shared" si="777"/>
        <v>10</v>
      </c>
      <c r="L60">
        <f t="shared" si="778"/>
        <v>10</v>
      </c>
      <c r="M60">
        <f t="shared" si="779"/>
        <v>10</v>
      </c>
      <c r="N60">
        <f t="shared" si="780"/>
        <v>10</v>
      </c>
      <c r="O60">
        <f t="shared" si="781"/>
        <v>10</v>
      </c>
      <c r="P60">
        <f t="shared" si="782"/>
        <v>10</v>
      </c>
      <c r="Q60">
        <f t="shared" si="783"/>
        <v>10</v>
      </c>
      <c r="R60">
        <f t="shared" si="784"/>
        <v>10</v>
      </c>
      <c r="S60">
        <f t="shared" si="785"/>
        <v>10</v>
      </c>
      <c r="T60">
        <f t="shared" si="786"/>
        <v>10</v>
      </c>
      <c r="U60">
        <f t="shared" si="787"/>
        <v>10</v>
      </c>
      <c r="V60">
        <f t="shared" si="788"/>
        <v>10</v>
      </c>
      <c r="W60">
        <f t="shared" si="789"/>
        <v>10</v>
      </c>
      <c r="X60">
        <f t="shared" si="790"/>
        <v>10</v>
      </c>
      <c r="Y60">
        <f t="shared" si="791"/>
        <v>10</v>
      </c>
      <c r="Z60">
        <f t="shared" si="792"/>
        <v>10</v>
      </c>
      <c r="AA60">
        <f t="shared" si="793"/>
        <v>10</v>
      </c>
      <c r="AB60">
        <f t="shared" si="794"/>
        <v>10</v>
      </c>
      <c r="AC60">
        <f t="shared" si="795"/>
        <v>10</v>
      </c>
      <c r="AD60">
        <f t="shared" si="796"/>
        <v>10</v>
      </c>
      <c r="AE60">
        <f t="shared" si="797"/>
        <v>10</v>
      </c>
      <c r="AF60">
        <f t="shared" si="798"/>
        <v>10</v>
      </c>
      <c r="AG60">
        <f t="shared" si="799"/>
        <v>10</v>
      </c>
      <c r="AH60">
        <f t="shared" si="800"/>
        <v>10</v>
      </c>
      <c r="AI60">
        <f t="shared" si="801"/>
        <v>10</v>
      </c>
      <c r="AJ60">
        <f t="shared" si="802"/>
        <v>10</v>
      </c>
      <c r="AK60">
        <f t="shared" si="803"/>
        <v>10</v>
      </c>
      <c r="AL60">
        <f t="shared" si="804"/>
        <v>10</v>
      </c>
      <c r="AM60">
        <f t="shared" si="805"/>
        <v>10</v>
      </c>
      <c r="AN60">
        <f t="shared" si="806"/>
        <v>10</v>
      </c>
      <c r="AO60">
        <f t="shared" si="807"/>
        <v>10</v>
      </c>
      <c r="AP60">
        <f t="shared" si="808"/>
        <v>10</v>
      </c>
      <c r="AQ60">
        <f t="shared" si="809"/>
        <v>10</v>
      </c>
      <c r="AR60">
        <f t="shared" si="810"/>
        <v>10</v>
      </c>
      <c r="AS60">
        <f t="shared" si="811"/>
        <v>10</v>
      </c>
      <c r="AT60">
        <f t="shared" si="812"/>
        <v>10</v>
      </c>
      <c r="AU60">
        <f t="shared" si="813"/>
        <v>10</v>
      </c>
      <c r="AV60">
        <f t="shared" si="814"/>
        <v>10</v>
      </c>
      <c r="AW60">
        <f t="shared" si="815"/>
        <v>10</v>
      </c>
      <c r="AX60">
        <f t="shared" si="816"/>
        <v>10</v>
      </c>
      <c r="AY60">
        <f t="shared" si="817"/>
        <v>10</v>
      </c>
      <c r="AZ60">
        <f t="shared" si="818"/>
        <v>10</v>
      </c>
      <c r="BA60">
        <f t="shared" si="819"/>
        <v>10</v>
      </c>
      <c r="BB60">
        <f t="shared" si="820"/>
        <v>10</v>
      </c>
      <c r="BC60">
        <f t="shared" si="821"/>
        <v>10</v>
      </c>
      <c r="BD60">
        <f t="shared" si="822"/>
        <v>10</v>
      </c>
      <c r="BE60">
        <f t="shared" si="823"/>
        <v>10</v>
      </c>
      <c r="BF60">
        <f t="shared" si="824"/>
        <v>10</v>
      </c>
      <c r="BG60">
        <f t="shared" si="825"/>
        <v>10</v>
      </c>
      <c r="BH60">
        <f t="shared" si="826"/>
        <v>10</v>
      </c>
      <c r="BI60">
        <f t="shared" si="827"/>
        <v>10</v>
      </c>
      <c r="BJ60">
        <f t="shared" si="828"/>
        <v>10</v>
      </c>
      <c r="BK60">
        <f t="shared" si="829"/>
        <v>10</v>
      </c>
      <c r="BL60">
        <f t="shared" si="830"/>
        <v>10</v>
      </c>
      <c r="BM60">
        <f t="shared" si="831"/>
        <v>10</v>
      </c>
      <c r="BN60">
        <f t="shared" si="832"/>
        <v>10</v>
      </c>
      <c r="BO60">
        <f t="shared" si="833"/>
        <v>10</v>
      </c>
      <c r="BP60">
        <f t="shared" si="834"/>
        <v>10</v>
      </c>
      <c r="BQ60">
        <f t="shared" si="835"/>
        <v>10</v>
      </c>
      <c r="BR60">
        <f t="shared" si="836"/>
        <v>10</v>
      </c>
      <c r="BS60">
        <f t="shared" si="837"/>
        <v>10</v>
      </c>
      <c r="BT60">
        <f t="shared" si="838"/>
        <v>10</v>
      </c>
      <c r="BU60">
        <f t="shared" si="839"/>
        <v>10</v>
      </c>
      <c r="BV60">
        <f t="shared" si="840"/>
        <v>10</v>
      </c>
      <c r="BW60">
        <f t="shared" si="841"/>
        <v>10</v>
      </c>
      <c r="BX60">
        <f t="shared" si="842"/>
        <v>10</v>
      </c>
      <c r="BY60">
        <f t="shared" si="843"/>
        <v>10</v>
      </c>
      <c r="BZ60">
        <f t="shared" si="844"/>
        <v>10</v>
      </c>
      <c r="CA60">
        <f t="shared" si="845"/>
        <v>10</v>
      </c>
      <c r="CB60">
        <f t="shared" si="846"/>
        <v>10</v>
      </c>
      <c r="CC60">
        <f t="shared" si="847"/>
        <v>10</v>
      </c>
      <c r="CD60">
        <f t="shared" si="848"/>
        <v>10</v>
      </c>
      <c r="CE60">
        <f t="shared" si="849"/>
        <v>10</v>
      </c>
      <c r="CF60">
        <f t="shared" si="850"/>
        <v>10</v>
      </c>
      <c r="CG60">
        <f t="shared" si="851"/>
        <v>10</v>
      </c>
      <c r="CH60">
        <f t="shared" si="852"/>
        <v>10</v>
      </c>
      <c r="CI60">
        <f t="shared" si="853"/>
        <v>10</v>
      </c>
      <c r="CJ60">
        <f t="shared" si="854"/>
        <v>10</v>
      </c>
      <c r="CK60">
        <f t="shared" si="855"/>
        <v>10</v>
      </c>
      <c r="CL60">
        <f t="shared" si="856"/>
        <v>10</v>
      </c>
      <c r="CM60">
        <f t="shared" si="857"/>
        <v>10</v>
      </c>
      <c r="CN60">
        <f t="shared" si="858"/>
        <v>10</v>
      </c>
      <c r="CO60">
        <f t="shared" si="859"/>
        <v>10</v>
      </c>
      <c r="CP60">
        <f t="shared" si="860"/>
        <v>10</v>
      </c>
      <c r="CQ60">
        <f t="shared" si="861"/>
        <v>10</v>
      </c>
      <c r="CR60">
        <f t="shared" si="862"/>
        <v>10</v>
      </c>
      <c r="CS60">
        <f t="shared" si="863"/>
        <v>10</v>
      </c>
      <c r="CT60">
        <f t="shared" si="864"/>
        <v>10</v>
      </c>
      <c r="CU60">
        <f t="shared" si="865"/>
        <v>10</v>
      </c>
      <c r="CV60">
        <f t="shared" si="866"/>
        <v>10</v>
      </c>
      <c r="CW60">
        <f t="shared" si="867"/>
        <v>10</v>
      </c>
      <c r="CX60">
        <f t="shared" si="868"/>
        <v>10</v>
      </c>
      <c r="CY60">
        <f t="shared" si="869"/>
        <v>10</v>
      </c>
      <c r="CZ60">
        <f t="shared" si="870"/>
        <v>10</v>
      </c>
      <c r="DA60">
        <f t="shared" si="871"/>
        <v>10</v>
      </c>
      <c r="DB60">
        <f t="shared" si="872"/>
        <v>10</v>
      </c>
      <c r="DC60">
        <f t="shared" si="873"/>
        <v>10</v>
      </c>
      <c r="DD60">
        <f t="shared" si="874"/>
        <v>10</v>
      </c>
      <c r="DE60">
        <f t="shared" si="875"/>
        <v>10</v>
      </c>
      <c r="DF60">
        <f t="shared" si="876"/>
        <v>10</v>
      </c>
      <c r="DG60">
        <f t="shared" si="877"/>
        <v>10</v>
      </c>
      <c r="DH60">
        <f t="shared" si="878"/>
        <v>10</v>
      </c>
      <c r="DI60">
        <f t="shared" si="879"/>
        <v>10</v>
      </c>
      <c r="DJ60">
        <f t="shared" si="880"/>
        <v>10</v>
      </c>
      <c r="DK60">
        <f t="shared" si="881"/>
        <v>10</v>
      </c>
      <c r="DL60">
        <f t="shared" si="882"/>
        <v>10</v>
      </c>
      <c r="DM60">
        <f t="shared" si="883"/>
        <v>10</v>
      </c>
      <c r="DN60">
        <f t="shared" si="884"/>
        <v>10</v>
      </c>
      <c r="DO60">
        <f t="shared" si="885"/>
        <v>10</v>
      </c>
      <c r="DP60">
        <f t="shared" si="886"/>
        <v>10</v>
      </c>
      <c r="DQ60">
        <f t="shared" si="887"/>
        <v>10</v>
      </c>
      <c r="DR60">
        <f t="shared" si="888"/>
        <v>10</v>
      </c>
      <c r="DS60">
        <f t="shared" si="889"/>
        <v>10</v>
      </c>
      <c r="DT60">
        <f t="shared" si="890"/>
        <v>10</v>
      </c>
      <c r="DU60">
        <f t="shared" si="891"/>
        <v>10</v>
      </c>
      <c r="DV60">
        <f t="shared" si="892"/>
        <v>10</v>
      </c>
      <c r="DW60">
        <f t="shared" si="893"/>
        <v>10</v>
      </c>
      <c r="DX60">
        <f t="shared" si="894"/>
        <v>10</v>
      </c>
      <c r="DY60">
        <f t="shared" si="895"/>
        <v>10</v>
      </c>
      <c r="DZ60">
        <f t="shared" si="896"/>
        <v>10</v>
      </c>
      <c r="EA60">
        <f t="shared" si="897"/>
        <v>10</v>
      </c>
      <c r="EB60">
        <f t="shared" si="898"/>
        <v>10</v>
      </c>
      <c r="EC60">
        <f t="shared" si="899"/>
        <v>10</v>
      </c>
      <c r="ED60">
        <f t="shared" si="900"/>
        <v>10</v>
      </c>
      <c r="EE60">
        <f t="shared" si="901"/>
        <v>10</v>
      </c>
      <c r="EF60">
        <f t="shared" si="902"/>
        <v>10</v>
      </c>
      <c r="EG60">
        <f t="shared" si="903"/>
        <v>10</v>
      </c>
      <c r="EH60">
        <f t="shared" si="904"/>
        <v>10</v>
      </c>
      <c r="EI60">
        <f t="shared" si="905"/>
        <v>10</v>
      </c>
      <c r="EJ60">
        <f t="shared" si="906"/>
        <v>10</v>
      </c>
      <c r="EK60">
        <f t="shared" si="907"/>
        <v>10</v>
      </c>
      <c r="EL60">
        <f t="shared" si="908"/>
        <v>10</v>
      </c>
      <c r="EM60">
        <f t="shared" si="909"/>
        <v>10</v>
      </c>
      <c r="EN60">
        <f t="shared" si="910"/>
        <v>10</v>
      </c>
      <c r="EO60">
        <f t="shared" si="911"/>
        <v>10</v>
      </c>
      <c r="EP60">
        <f t="shared" si="912"/>
        <v>10</v>
      </c>
      <c r="EQ60">
        <f t="shared" si="913"/>
        <v>10</v>
      </c>
      <c r="ER60">
        <f t="shared" si="914"/>
        <v>10</v>
      </c>
      <c r="ES60">
        <f t="shared" si="915"/>
        <v>10</v>
      </c>
      <c r="ET60">
        <f t="shared" si="916"/>
        <v>10</v>
      </c>
      <c r="EU60">
        <f t="shared" si="917"/>
        <v>10</v>
      </c>
      <c r="EV60">
        <f t="shared" si="918"/>
        <v>10</v>
      </c>
      <c r="EW60">
        <f t="shared" si="919"/>
        <v>10</v>
      </c>
      <c r="EX60">
        <f t="shared" si="920"/>
        <v>10</v>
      </c>
      <c r="EY60">
        <f t="shared" si="921"/>
        <v>10</v>
      </c>
      <c r="EZ60">
        <f t="shared" si="922"/>
        <v>10</v>
      </c>
      <c r="FA60">
        <f t="shared" si="923"/>
        <v>10</v>
      </c>
      <c r="FB60">
        <f t="shared" si="924"/>
        <v>10</v>
      </c>
      <c r="FC60">
        <f t="shared" si="925"/>
        <v>10</v>
      </c>
      <c r="FD60">
        <f t="shared" si="926"/>
        <v>10</v>
      </c>
      <c r="FE60">
        <f t="shared" si="927"/>
        <v>10</v>
      </c>
      <c r="FF60">
        <f t="shared" si="928"/>
        <v>10</v>
      </c>
      <c r="FG60">
        <f t="shared" si="929"/>
        <v>10</v>
      </c>
      <c r="FH60">
        <f t="shared" si="930"/>
        <v>10</v>
      </c>
      <c r="FI60">
        <f t="shared" si="931"/>
        <v>10</v>
      </c>
      <c r="FJ60">
        <f t="shared" si="932"/>
        <v>10</v>
      </c>
      <c r="FK60">
        <f t="shared" si="933"/>
        <v>10</v>
      </c>
      <c r="FL60">
        <f t="shared" si="934"/>
        <v>10</v>
      </c>
      <c r="FM60">
        <f t="shared" si="935"/>
        <v>10</v>
      </c>
      <c r="FN60">
        <f t="shared" si="936"/>
        <v>10</v>
      </c>
      <c r="FO60">
        <f t="shared" si="937"/>
        <v>10</v>
      </c>
      <c r="FP60">
        <f t="shared" si="938"/>
        <v>10</v>
      </c>
      <c r="FQ60">
        <f t="shared" si="939"/>
        <v>10</v>
      </c>
      <c r="FR60">
        <f t="shared" si="940"/>
        <v>10</v>
      </c>
      <c r="FS60">
        <f t="shared" si="941"/>
        <v>10</v>
      </c>
      <c r="FT60">
        <f t="shared" si="942"/>
        <v>10</v>
      </c>
      <c r="FU60">
        <f t="shared" si="943"/>
        <v>10</v>
      </c>
      <c r="FV60">
        <f t="shared" si="944"/>
        <v>10</v>
      </c>
      <c r="FW60">
        <f t="shared" si="945"/>
        <v>10</v>
      </c>
      <c r="FX60">
        <f t="shared" si="946"/>
        <v>10</v>
      </c>
      <c r="FY60">
        <f t="shared" si="947"/>
        <v>10</v>
      </c>
      <c r="FZ60">
        <f t="shared" si="948"/>
        <v>10</v>
      </c>
      <c r="GA60">
        <f t="shared" si="949"/>
        <v>10</v>
      </c>
      <c r="GB60">
        <f t="shared" si="950"/>
        <v>10</v>
      </c>
      <c r="GC60">
        <f t="shared" si="951"/>
        <v>10</v>
      </c>
      <c r="GD60">
        <f t="shared" si="952"/>
        <v>10</v>
      </c>
      <c r="GE60">
        <f t="shared" si="953"/>
        <v>10</v>
      </c>
      <c r="GF60">
        <f t="shared" si="954"/>
        <v>10</v>
      </c>
      <c r="GG60">
        <f t="shared" si="955"/>
        <v>10</v>
      </c>
      <c r="GH60">
        <f t="shared" si="956"/>
        <v>10</v>
      </c>
      <c r="GI60">
        <f t="shared" si="957"/>
        <v>10</v>
      </c>
      <c r="GJ60">
        <f t="shared" si="958"/>
        <v>10</v>
      </c>
      <c r="GK60">
        <f t="shared" si="959"/>
        <v>10</v>
      </c>
      <c r="GL60">
        <f t="shared" si="960"/>
        <v>10</v>
      </c>
      <c r="GM60">
        <f t="shared" si="961"/>
        <v>10</v>
      </c>
      <c r="GN60">
        <f t="shared" si="962"/>
        <v>10</v>
      </c>
      <c r="GO60">
        <f t="shared" si="963"/>
        <v>10</v>
      </c>
      <c r="GP60">
        <f t="shared" si="964"/>
        <v>10</v>
      </c>
      <c r="GQ60">
        <f t="shared" si="965"/>
        <v>10</v>
      </c>
      <c r="GR60">
        <f t="shared" si="966"/>
        <v>10</v>
      </c>
      <c r="GS60">
        <f t="shared" si="967"/>
        <v>10</v>
      </c>
      <c r="GT60">
        <f t="shared" si="968"/>
        <v>10</v>
      </c>
      <c r="GU60">
        <f t="shared" si="969"/>
        <v>10</v>
      </c>
      <c r="GV60">
        <f t="shared" si="970"/>
        <v>10</v>
      </c>
      <c r="GW60">
        <f t="shared" si="971"/>
        <v>10</v>
      </c>
      <c r="GX60">
        <f t="shared" si="972"/>
        <v>10</v>
      </c>
      <c r="GY60">
        <f t="shared" si="973"/>
        <v>10</v>
      </c>
      <c r="GZ60">
        <f t="shared" si="974"/>
        <v>10</v>
      </c>
      <c r="HA60">
        <f t="shared" si="975"/>
        <v>10</v>
      </c>
      <c r="HB60">
        <f t="shared" si="976"/>
        <v>10</v>
      </c>
      <c r="HC60">
        <f t="shared" si="977"/>
        <v>10</v>
      </c>
      <c r="HD60">
        <f t="shared" si="978"/>
        <v>10</v>
      </c>
      <c r="HE60">
        <f t="shared" si="979"/>
        <v>10</v>
      </c>
      <c r="HF60">
        <f t="shared" si="980"/>
        <v>10</v>
      </c>
      <c r="HG60">
        <f t="shared" si="981"/>
        <v>10</v>
      </c>
      <c r="HH60">
        <f t="shared" si="982"/>
        <v>10</v>
      </c>
      <c r="HI60">
        <f t="shared" si="983"/>
        <v>10</v>
      </c>
      <c r="HJ60">
        <f t="shared" si="984"/>
        <v>10</v>
      </c>
      <c r="HK60">
        <f t="shared" si="985"/>
        <v>10</v>
      </c>
      <c r="HL60">
        <f t="shared" si="986"/>
        <v>10</v>
      </c>
      <c r="HM60">
        <f t="shared" si="987"/>
        <v>10</v>
      </c>
      <c r="HN60">
        <f t="shared" si="988"/>
        <v>10</v>
      </c>
      <c r="HO60">
        <f t="shared" si="989"/>
        <v>10</v>
      </c>
      <c r="HP60">
        <f t="shared" si="990"/>
        <v>10</v>
      </c>
      <c r="HQ60">
        <f t="shared" si="991"/>
        <v>10</v>
      </c>
      <c r="HR60">
        <f t="shared" si="992"/>
        <v>10</v>
      </c>
      <c r="HS60">
        <f t="shared" si="993"/>
        <v>10</v>
      </c>
      <c r="HT60">
        <f t="shared" si="994"/>
        <v>10</v>
      </c>
      <c r="HU60">
        <f t="shared" si="995"/>
        <v>10</v>
      </c>
      <c r="HV60">
        <f t="shared" si="996"/>
        <v>10</v>
      </c>
      <c r="HW60">
        <f t="shared" si="997"/>
        <v>10</v>
      </c>
      <c r="HX60">
        <f t="shared" si="998"/>
        <v>10</v>
      </c>
      <c r="HY60">
        <f t="shared" si="999"/>
        <v>10</v>
      </c>
      <c r="HZ60">
        <f t="shared" si="1000"/>
        <v>10</v>
      </c>
      <c r="IA60">
        <f t="shared" si="1001"/>
        <v>10</v>
      </c>
      <c r="IB60">
        <f t="shared" si="1002"/>
        <v>10</v>
      </c>
      <c r="IC60">
        <f t="shared" si="1003"/>
        <v>10</v>
      </c>
      <c r="ID60">
        <f t="shared" si="1004"/>
        <v>10</v>
      </c>
      <c r="IE60">
        <f t="shared" si="1005"/>
        <v>10</v>
      </c>
      <c r="IF60">
        <f t="shared" si="1006"/>
        <v>10</v>
      </c>
      <c r="IG60">
        <f t="shared" si="1007"/>
        <v>10</v>
      </c>
      <c r="IH60">
        <f t="shared" si="1008"/>
        <v>10</v>
      </c>
      <c r="II60">
        <f t="shared" si="1009"/>
        <v>10</v>
      </c>
      <c r="IJ60">
        <f t="shared" si="1010"/>
        <v>10</v>
      </c>
      <c r="IK60">
        <f t="shared" si="1011"/>
        <v>10</v>
      </c>
      <c r="IL60">
        <f t="shared" si="1012"/>
        <v>10</v>
      </c>
      <c r="IM60">
        <f t="shared" si="1013"/>
        <v>10</v>
      </c>
      <c r="IN60">
        <f t="shared" si="1014"/>
        <v>10</v>
      </c>
      <c r="IO60">
        <f t="shared" si="1015"/>
        <v>10</v>
      </c>
      <c r="IP60">
        <f t="shared" si="1016"/>
        <v>10</v>
      </c>
      <c r="IQ60">
        <f t="shared" si="1017"/>
        <v>10</v>
      </c>
      <c r="IR60">
        <f t="shared" si="1018"/>
        <v>10</v>
      </c>
      <c r="IS60">
        <f t="shared" si="1019"/>
        <v>10</v>
      </c>
      <c r="IT60">
        <f t="shared" si="1020"/>
        <v>10</v>
      </c>
      <c r="IU60">
        <f t="shared" si="1021"/>
        <v>10</v>
      </c>
      <c r="IV60">
        <f t="shared" si="1022"/>
        <v>10</v>
      </c>
    </row>
    <row r="61" spans="1:256" x14ac:dyDescent="0.2">
      <c r="A61" t="s">
        <v>532</v>
      </c>
      <c r="B61">
        <f t="shared" si="768"/>
        <v>10</v>
      </c>
      <c r="C61">
        <f t="shared" si="769"/>
        <v>10</v>
      </c>
      <c r="D61">
        <f t="shared" si="770"/>
        <v>10</v>
      </c>
      <c r="E61">
        <f t="shared" si="771"/>
        <v>10</v>
      </c>
      <c r="F61">
        <f t="shared" si="772"/>
        <v>10</v>
      </c>
      <c r="G61">
        <f t="shared" si="773"/>
        <v>10</v>
      </c>
      <c r="H61">
        <f t="shared" si="774"/>
        <v>10</v>
      </c>
      <c r="I61">
        <f t="shared" si="775"/>
        <v>10</v>
      </c>
      <c r="J61">
        <f t="shared" si="776"/>
        <v>10</v>
      </c>
      <c r="K61">
        <f t="shared" si="777"/>
        <v>10</v>
      </c>
      <c r="L61">
        <f t="shared" si="778"/>
        <v>10</v>
      </c>
      <c r="M61">
        <f t="shared" si="779"/>
        <v>10</v>
      </c>
      <c r="N61">
        <f t="shared" si="780"/>
        <v>10</v>
      </c>
      <c r="O61">
        <f t="shared" si="781"/>
        <v>10</v>
      </c>
      <c r="P61">
        <f t="shared" si="782"/>
        <v>10</v>
      </c>
      <c r="Q61">
        <f t="shared" si="783"/>
        <v>10</v>
      </c>
      <c r="R61">
        <f t="shared" si="784"/>
        <v>10</v>
      </c>
      <c r="S61">
        <f t="shared" si="785"/>
        <v>10</v>
      </c>
      <c r="T61">
        <f t="shared" si="786"/>
        <v>10</v>
      </c>
      <c r="U61">
        <f t="shared" si="787"/>
        <v>10</v>
      </c>
      <c r="V61">
        <f t="shared" si="788"/>
        <v>10</v>
      </c>
      <c r="W61">
        <f t="shared" si="789"/>
        <v>10</v>
      </c>
      <c r="X61">
        <f t="shared" si="790"/>
        <v>10</v>
      </c>
      <c r="Y61">
        <f t="shared" si="791"/>
        <v>10</v>
      </c>
      <c r="Z61">
        <f t="shared" si="792"/>
        <v>10</v>
      </c>
      <c r="AA61">
        <f t="shared" si="793"/>
        <v>10</v>
      </c>
      <c r="AB61">
        <f t="shared" si="794"/>
        <v>10</v>
      </c>
      <c r="AC61">
        <f t="shared" si="795"/>
        <v>10</v>
      </c>
      <c r="AD61">
        <f t="shared" si="796"/>
        <v>10</v>
      </c>
      <c r="AE61">
        <f t="shared" si="797"/>
        <v>10</v>
      </c>
      <c r="AF61">
        <f t="shared" si="798"/>
        <v>10</v>
      </c>
      <c r="AG61">
        <f t="shared" si="799"/>
        <v>10</v>
      </c>
      <c r="AH61">
        <f t="shared" si="800"/>
        <v>10</v>
      </c>
      <c r="AI61">
        <f t="shared" si="801"/>
        <v>10</v>
      </c>
      <c r="AJ61">
        <f t="shared" si="802"/>
        <v>10</v>
      </c>
      <c r="AK61">
        <f t="shared" si="803"/>
        <v>10</v>
      </c>
      <c r="AL61">
        <f t="shared" si="804"/>
        <v>10</v>
      </c>
      <c r="AM61">
        <f t="shared" si="805"/>
        <v>10</v>
      </c>
      <c r="AN61">
        <f t="shared" si="806"/>
        <v>10</v>
      </c>
      <c r="AO61">
        <f t="shared" si="807"/>
        <v>10</v>
      </c>
      <c r="AP61">
        <f t="shared" si="808"/>
        <v>10</v>
      </c>
      <c r="AQ61">
        <f t="shared" si="809"/>
        <v>10</v>
      </c>
      <c r="AR61">
        <f t="shared" si="810"/>
        <v>10</v>
      </c>
      <c r="AS61">
        <f t="shared" si="811"/>
        <v>10</v>
      </c>
      <c r="AT61">
        <f t="shared" si="812"/>
        <v>10</v>
      </c>
      <c r="AU61">
        <f t="shared" si="813"/>
        <v>10</v>
      </c>
      <c r="AV61">
        <f t="shared" si="814"/>
        <v>10</v>
      </c>
      <c r="AW61">
        <f t="shared" si="815"/>
        <v>10</v>
      </c>
      <c r="AX61">
        <f t="shared" si="816"/>
        <v>10</v>
      </c>
      <c r="AY61">
        <f t="shared" si="817"/>
        <v>10</v>
      </c>
      <c r="AZ61">
        <f t="shared" si="818"/>
        <v>10</v>
      </c>
      <c r="BA61">
        <f t="shared" si="819"/>
        <v>10</v>
      </c>
      <c r="BB61">
        <f t="shared" si="820"/>
        <v>10</v>
      </c>
      <c r="BC61">
        <f t="shared" si="821"/>
        <v>10</v>
      </c>
      <c r="BD61">
        <f t="shared" si="822"/>
        <v>10</v>
      </c>
      <c r="BE61">
        <f t="shared" si="823"/>
        <v>10</v>
      </c>
      <c r="BF61">
        <f t="shared" si="824"/>
        <v>10</v>
      </c>
      <c r="BG61">
        <f t="shared" si="825"/>
        <v>10</v>
      </c>
      <c r="BH61">
        <f t="shared" si="826"/>
        <v>10</v>
      </c>
      <c r="BI61">
        <f t="shared" si="827"/>
        <v>10</v>
      </c>
      <c r="BJ61">
        <f t="shared" si="828"/>
        <v>10</v>
      </c>
      <c r="BK61">
        <f t="shared" si="829"/>
        <v>10</v>
      </c>
      <c r="BL61">
        <f t="shared" si="830"/>
        <v>10</v>
      </c>
      <c r="BM61">
        <f t="shared" si="831"/>
        <v>10</v>
      </c>
      <c r="BN61">
        <f t="shared" si="832"/>
        <v>10</v>
      </c>
      <c r="BO61">
        <f t="shared" si="833"/>
        <v>10</v>
      </c>
      <c r="BP61">
        <f t="shared" si="834"/>
        <v>10</v>
      </c>
      <c r="BQ61">
        <f t="shared" si="835"/>
        <v>10</v>
      </c>
      <c r="BR61">
        <f t="shared" si="836"/>
        <v>10</v>
      </c>
      <c r="BS61">
        <f t="shared" si="837"/>
        <v>10</v>
      </c>
      <c r="BT61">
        <f t="shared" si="838"/>
        <v>10</v>
      </c>
      <c r="BU61">
        <f t="shared" si="839"/>
        <v>10</v>
      </c>
      <c r="BV61">
        <f t="shared" si="840"/>
        <v>10</v>
      </c>
      <c r="BW61">
        <f t="shared" si="841"/>
        <v>10</v>
      </c>
      <c r="BX61">
        <f t="shared" si="842"/>
        <v>10</v>
      </c>
      <c r="BY61">
        <f t="shared" si="843"/>
        <v>10</v>
      </c>
      <c r="BZ61">
        <f t="shared" si="844"/>
        <v>10</v>
      </c>
      <c r="CA61">
        <f t="shared" si="845"/>
        <v>10</v>
      </c>
      <c r="CB61">
        <f t="shared" si="846"/>
        <v>10</v>
      </c>
      <c r="CC61">
        <f t="shared" si="847"/>
        <v>10</v>
      </c>
      <c r="CD61">
        <f t="shared" si="848"/>
        <v>10</v>
      </c>
      <c r="CE61">
        <f t="shared" si="849"/>
        <v>10</v>
      </c>
      <c r="CF61">
        <f t="shared" si="850"/>
        <v>10</v>
      </c>
      <c r="CG61">
        <f t="shared" si="851"/>
        <v>10</v>
      </c>
      <c r="CH61">
        <f t="shared" si="852"/>
        <v>10</v>
      </c>
      <c r="CI61">
        <f t="shared" si="853"/>
        <v>10</v>
      </c>
      <c r="CJ61">
        <f t="shared" si="854"/>
        <v>10</v>
      </c>
      <c r="CK61">
        <f t="shared" si="855"/>
        <v>10</v>
      </c>
      <c r="CL61">
        <f t="shared" si="856"/>
        <v>10</v>
      </c>
      <c r="CM61">
        <f t="shared" si="857"/>
        <v>10</v>
      </c>
      <c r="CN61">
        <f t="shared" si="858"/>
        <v>10</v>
      </c>
      <c r="CO61">
        <f t="shared" si="859"/>
        <v>10</v>
      </c>
      <c r="CP61">
        <f t="shared" si="860"/>
        <v>10</v>
      </c>
      <c r="CQ61">
        <f t="shared" si="861"/>
        <v>10</v>
      </c>
      <c r="CR61">
        <f t="shared" si="862"/>
        <v>10</v>
      </c>
      <c r="CS61">
        <f t="shared" si="863"/>
        <v>10</v>
      </c>
      <c r="CT61">
        <f t="shared" si="864"/>
        <v>10</v>
      </c>
      <c r="CU61">
        <f t="shared" si="865"/>
        <v>10</v>
      </c>
      <c r="CV61">
        <f t="shared" si="866"/>
        <v>10</v>
      </c>
      <c r="CW61">
        <f t="shared" si="867"/>
        <v>10</v>
      </c>
      <c r="CX61">
        <f t="shared" si="868"/>
        <v>10</v>
      </c>
      <c r="CY61">
        <f t="shared" si="869"/>
        <v>10</v>
      </c>
      <c r="CZ61">
        <f t="shared" si="870"/>
        <v>10</v>
      </c>
      <c r="DA61">
        <f t="shared" si="871"/>
        <v>10</v>
      </c>
      <c r="DB61">
        <f t="shared" si="872"/>
        <v>10</v>
      </c>
      <c r="DC61">
        <f t="shared" si="873"/>
        <v>10</v>
      </c>
      <c r="DD61">
        <f t="shared" si="874"/>
        <v>10</v>
      </c>
      <c r="DE61">
        <f t="shared" si="875"/>
        <v>10</v>
      </c>
      <c r="DF61">
        <f t="shared" si="876"/>
        <v>10</v>
      </c>
      <c r="DG61">
        <f t="shared" si="877"/>
        <v>10</v>
      </c>
      <c r="DH61">
        <f t="shared" si="878"/>
        <v>10</v>
      </c>
      <c r="DI61">
        <f t="shared" si="879"/>
        <v>10</v>
      </c>
      <c r="DJ61">
        <f t="shared" si="880"/>
        <v>10</v>
      </c>
      <c r="DK61">
        <f t="shared" si="881"/>
        <v>10</v>
      </c>
      <c r="DL61">
        <f t="shared" si="882"/>
        <v>10</v>
      </c>
      <c r="DM61">
        <f t="shared" si="883"/>
        <v>10</v>
      </c>
      <c r="DN61">
        <f t="shared" si="884"/>
        <v>10</v>
      </c>
      <c r="DO61">
        <f t="shared" si="885"/>
        <v>10</v>
      </c>
      <c r="DP61">
        <f t="shared" si="886"/>
        <v>10</v>
      </c>
      <c r="DQ61">
        <f t="shared" si="887"/>
        <v>10</v>
      </c>
      <c r="DR61">
        <f t="shared" si="888"/>
        <v>10</v>
      </c>
      <c r="DS61">
        <f t="shared" si="889"/>
        <v>10</v>
      </c>
      <c r="DT61">
        <f t="shared" si="890"/>
        <v>10</v>
      </c>
      <c r="DU61">
        <f t="shared" si="891"/>
        <v>10</v>
      </c>
      <c r="DV61">
        <f t="shared" si="892"/>
        <v>10</v>
      </c>
      <c r="DW61">
        <f t="shared" si="893"/>
        <v>10</v>
      </c>
      <c r="DX61">
        <f t="shared" si="894"/>
        <v>10</v>
      </c>
      <c r="DY61">
        <f t="shared" si="895"/>
        <v>10</v>
      </c>
      <c r="DZ61">
        <f t="shared" si="896"/>
        <v>10</v>
      </c>
      <c r="EA61">
        <f t="shared" si="897"/>
        <v>10</v>
      </c>
      <c r="EB61">
        <f t="shared" si="898"/>
        <v>10</v>
      </c>
      <c r="EC61">
        <f t="shared" si="899"/>
        <v>10</v>
      </c>
      <c r="ED61">
        <f t="shared" si="900"/>
        <v>10</v>
      </c>
      <c r="EE61">
        <f t="shared" si="901"/>
        <v>10</v>
      </c>
      <c r="EF61">
        <f t="shared" si="902"/>
        <v>10</v>
      </c>
      <c r="EG61">
        <f t="shared" si="903"/>
        <v>10</v>
      </c>
      <c r="EH61">
        <f t="shared" si="904"/>
        <v>10</v>
      </c>
      <c r="EI61">
        <f t="shared" si="905"/>
        <v>10</v>
      </c>
      <c r="EJ61">
        <f t="shared" si="906"/>
        <v>10</v>
      </c>
      <c r="EK61">
        <f t="shared" si="907"/>
        <v>10</v>
      </c>
      <c r="EL61">
        <f t="shared" si="908"/>
        <v>10</v>
      </c>
      <c r="EM61">
        <f t="shared" si="909"/>
        <v>10</v>
      </c>
      <c r="EN61">
        <f t="shared" si="910"/>
        <v>10</v>
      </c>
      <c r="EO61">
        <f t="shared" si="911"/>
        <v>10</v>
      </c>
      <c r="EP61">
        <f t="shared" si="912"/>
        <v>10</v>
      </c>
      <c r="EQ61">
        <f t="shared" si="913"/>
        <v>10</v>
      </c>
      <c r="ER61">
        <f t="shared" si="914"/>
        <v>10</v>
      </c>
      <c r="ES61">
        <f t="shared" si="915"/>
        <v>10</v>
      </c>
      <c r="ET61">
        <f t="shared" si="916"/>
        <v>10</v>
      </c>
      <c r="EU61">
        <f t="shared" si="917"/>
        <v>10</v>
      </c>
      <c r="EV61">
        <f t="shared" si="918"/>
        <v>10</v>
      </c>
      <c r="EW61">
        <f t="shared" si="919"/>
        <v>10</v>
      </c>
      <c r="EX61">
        <f t="shared" si="920"/>
        <v>10</v>
      </c>
      <c r="EY61">
        <f t="shared" si="921"/>
        <v>10</v>
      </c>
      <c r="EZ61">
        <f t="shared" si="922"/>
        <v>10</v>
      </c>
      <c r="FA61">
        <f t="shared" si="923"/>
        <v>10</v>
      </c>
      <c r="FB61">
        <f t="shared" si="924"/>
        <v>10</v>
      </c>
      <c r="FC61">
        <f t="shared" si="925"/>
        <v>10</v>
      </c>
      <c r="FD61">
        <f t="shared" si="926"/>
        <v>10</v>
      </c>
      <c r="FE61">
        <f t="shared" si="927"/>
        <v>10</v>
      </c>
      <c r="FF61">
        <f t="shared" si="928"/>
        <v>10</v>
      </c>
      <c r="FG61">
        <f t="shared" si="929"/>
        <v>10</v>
      </c>
      <c r="FH61">
        <f t="shared" si="930"/>
        <v>10</v>
      </c>
      <c r="FI61">
        <f t="shared" si="931"/>
        <v>10</v>
      </c>
      <c r="FJ61">
        <f t="shared" si="932"/>
        <v>10</v>
      </c>
      <c r="FK61">
        <f t="shared" si="933"/>
        <v>10</v>
      </c>
      <c r="FL61">
        <f t="shared" si="934"/>
        <v>10</v>
      </c>
      <c r="FM61">
        <f t="shared" si="935"/>
        <v>10</v>
      </c>
      <c r="FN61">
        <f t="shared" si="936"/>
        <v>10</v>
      </c>
      <c r="FO61">
        <f t="shared" si="937"/>
        <v>10</v>
      </c>
      <c r="FP61">
        <f t="shared" si="938"/>
        <v>10</v>
      </c>
      <c r="FQ61">
        <f t="shared" si="939"/>
        <v>10</v>
      </c>
      <c r="FR61">
        <f t="shared" si="940"/>
        <v>10</v>
      </c>
      <c r="FS61">
        <f t="shared" si="941"/>
        <v>10</v>
      </c>
      <c r="FT61">
        <f t="shared" si="942"/>
        <v>10</v>
      </c>
      <c r="FU61">
        <f t="shared" si="943"/>
        <v>10</v>
      </c>
      <c r="FV61">
        <f t="shared" si="944"/>
        <v>10</v>
      </c>
      <c r="FW61">
        <f t="shared" si="945"/>
        <v>10</v>
      </c>
      <c r="FX61">
        <f t="shared" si="946"/>
        <v>10</v>
      </c>
      <c r="FY61">
        <f t="shared" si="947"/>
        <v>10</v>
      </c>
      <c r="FZ61">
        <f t="shared" si="948"/>
        <v>10</v>
      </c>
      <c r="GA61">
        <f t="shared" si="949"/>
        <v>10</v>
      </c>
      <c r="GB61">
        <f t="shared" si="950"/>
        <v>10</v>
      </c>
      <c r="GC61">
        <f t="shared" si="951"/>
        <v>10</v>
      </c>
      <c r="GD61">
        <f t="shared" si="952"/>
        <v>10</v>
      </c>
      <c r="GE61">
        <f t="shared" si="953"/>
        <v>10</v>
      </c>
      <c r="GF61">
        <f t="shared" si="954"/>
        <v>10</v>
      </c>
      <c r="GG61">
        <f t="shared" si="955"/>
        <v>10</v>
      </c>
      <c r="GH61">
        <f t="shared" si="956"/>
        <v>10</v>
      </c>
      <c r="GI61">
        <f t="shared" si="957"/>
        <v>10</v>
      </c>
      <c r="GJ61">
        <f t="shared" si="958"/>
        <v>10</v>
      </c>
      <c r="GK61">
        <f t="shared" si="959"/>
        <v>10</v>
      </c>
      <c r="GL61">
        <f t="shared" si="960"/>
        <v>10</v>
      </c>
      <c r="GM61">
        <f t="shared" si="961"/>
        <v>10</v>
      </c>
      <c r="GN61">
        <f t="shared" si="962"/>
        <v>10</v>
      </c>
      <c r="GO61">
        <f t="shared" si="963"/>
        <v>10</v>
      </c>
      <c r="GP61">
        <f t="shared" si="964"/>
        <v>10</v>
      </c>
      <c r="GQ61">
        <f t="shared" si="965"/>
        <v>10</v>
      </c>
      <c r="GR61">
        <f t="shared" si="966"/>
        <v>10</v>
      </c>
      <c r="GS61">
        <f t="shared" si="967"/>
        <v>10</v>
      </c>
      <c r="GT61">
        <f t="shared" si="968"/>
        <v>10</v>
      </c>
      <c r="GU61">
        <f t="shared" si="969"/>
        <v>10</v>
      </c>
      <c r="GV61">
        <f t="shared" si="970"/>
        <v>10</v>
      </c>
      <c r="GW61">
        <f t="shared" si="971"/>
        <v>10</v>
      </c>
      <c r="GX61">
        <f t="shared" si="972"/>
        <v>10</v>
      </c>
      <c r="GY61">
        <f t="shared" si="973"/>
        <v>10</v>
      </c>
      <c r="GZ61">
        <f t="shared" si="974"/>
        <v>10</v>
      </c>
      <c r="HA61">
        <f t="shared" si="975"/>
        <v>10</v>
      </c>
      <c r="HB61">
        <f t="shared" si="976"/>
        <v>10</v>
      </c>
      <c r="HC61">
        <f t="shared" si="977"/>
        <v>10</v>
      </c>
      <c r="HD61">
        <f t="shared" si="978"/>
        <v>10</v>
      </c>
      <c r="HE61">
        <f t="shared" si="979"/>
        <v>10</v>
      </c>
      <c r="HF61">
        <f t="shared" si="980"/>
        <v>10</v>
      </c>
      <c r="HG61">
        <f t="shared" si="981"/>
        <v>10</v>
      </c>
      <c r="HH61">
        <f t="shared" si="982"/>
        <v>10</v>
      </c>
      <c r="HI61">
        <f t="shared" si="983"/>
        <v>10</v>
      </c>
      <c r="HJ61">
        <f t="shared" si="984"/>
        <v>10</v>
      </c>
      <c r="HK61">
        <f t="shared" si="985"/>
        <v>10</v>
      </c>
      <c r="HL61">
        <f t="shared" si="986"/>
        <v>10</v>
      </c>
      <c r="HM61">
        <f t="shared" si="987"/>
        <v>10</v>
      </c>
      <c r="HN61">
        <f t="shared" si="988"/>
        <v>10</v>
      </c>
      <c r="HO61">
        <f t="shared" si="989"/>
        <v>10</v>
      </c>
      <c r="HP61">
        <f t="shared" si="990"/>
        <v>10</v>
      </c>
      <c r="HQ61">
        <f t="shared" si="991"/>
        <v>10</v>
      </c>
      <c r="HR61">
        <f t="shared" si="992"/>
        <v>10</v>
      </c>
      <c r="HS61">
        <f t="shared" si="993"/>
        <v>10</v>
      </c>
      <c r="HT61">
        <f t="shared" si="994"/>
        <v>10</v>
      </c>
      <c r="HU61">
        <f t="shared" si="995"/>
        <v>10</v>
      </c>
      <c r="HV61">
        <f t="shared" si="996"/>
        <v>10</v>
      </c>
      <c r="HW61">
        <f t="shared" si="997"/>
        <v>10</v>
      </c>
      <c r="HX61">
        <f t="shared" si="998"/>
        <v>10</v>
      </c>
      <c r="HY61">
        <f t="shared" si="999"/>
        <v>10</v>
      </c>
      <c r="HZ61">
        <f t="shared" si="1000"/>
        <v>10</v>
      </c>
      <c r="IA61">
        <f t="shared" si="1001"/>
        <v>10</v>
      </c>
      <c r="IB61">
        <f t="shared" si="1002"/>
        <v>10</v>
      </c>
      <c r="IC61">
        <f t="shared" si="1003"/>
        <v>10</v>
      </c>
      <c r="ID61">
        <f t="shared" si="1004"/>
        <v>10</v>
      </c>
      <c r="IE61">
        <f t="shared" si="1005"/>
        <v>10</v>
      </c>
      <c r="IF61">
        <f t="shared" si="1006"/>
        <v>10</v>
      </c>
      <c r="IG61">
        <f t="shared" si="1007"/>
        <v>10</v>
      </c>
      <c r="IH61">
        <f t="shared" si="1008"/>
        <v>10</v>
      </c>
      <c r="II61">
        <f t="shared" si="1009"/>
        <v>10</v>
      </c>
      <c r="IJ61">
        <f t="shared" si="1010"/>
        <v>10</v>
      </c>
      <c r="IK61">
        <f t="shared" si="1011"/>
        <v>10</v>
      </c>
      <c r="IL61">
        <f t="shared" si="1012"/>
        <v>10</v>
      </c>
      <c r="IM61">
        <f t="shared" si="1013"/>
        <v>10</v>
      </c>
      <c r="IN61">
        <f t="shared" si="1014"/>
        <v>10</v>
      </c>
      <c r="IO61">
        <f t="shared" si="1015"/>
        <v>10</v>
      </c>
      <c r="IP61">
        <f t="shared" si="1016"/>
        <v>10</v>
      </c>
      <c r="IQ61">
        <f t="shared" si="1017"/>
        <v>10</v>
      </c>
      <c r="IR61">
        <f t="shared" si="1018"/>
        <v>10</v>
      </c>
      <c r="IS61">
        <f t="shared" si="1019"/>
        <v>10</v>
      </c>
      <c r="IT61">
        <f t="shared" si="1020"/>
        <v>10</v>
      </c>
      <c r="IU61">
        <f t="shared" si="1021"/>
        <v>10</v>
      </c>
      <c r="IV61">
        <f t="shared" si="1022"/>
        <v>10</v>
      </c>
    </row>
    <row r="62" spans="1:256" x14ac:dyDescent="0.2">
      <c r="A62" t="s">
        <v>533</v>
      </c>
      <c r="B62">
        <f t="shared" si="768"/>
        <v>10</v>
      </c>
      <c r="C62">
        <f t="shared" si="769"/>
        <v>10</v>
      </c>
      <c r="D62">
        <f t="shared" si="770"/>
        <v>10</v>
      </c>
      <c r="E62">
        <f t="shared" si="771"/>
        <v>10</v>
      </c>
      <c r="F62">
        <f t="shared" si="772"/>
        <v>10</v>
      </c>
      <c r="G62">
        <f t="shared" si="773"/>
        <v>10</v>
      </c>
      <c r="H62">
        <f t="shared" si="774"/>
        <v>10</v>
      </c>
      <c r="I62">
        <f t="shared" si="775"/>
        <v>10</v>
      </c>
      <c r="J62">
        <f t="shared" si="776"/>
        <v>10</v>
      </c>
      <c r="K62">
        <f t="shared" si="777"/>
        <v>10</v>
      </c>
      <c r="L62">
        <f t="shared" si="778"/>
        <v>10</v>
      </c>
      <c r="M62">
        <f t="shared" si="779"/>
        <v>10</v>
      </c>
      <c r="N62">
        <f t="shared" si="780"/>
        <v>10</v>
      </c>
      <c r="O62">
        <f t="shared" si="781"/>
        <v>10</v>
      </c>
      <c r="P62">
        <f t="shared" si="782"/>
        <v>10</v>
      </c>
      <c r="Q62">
        <f t="shared" si="783"/>
        <v>10</v>
      </c>
      <c r="R62">
        <f t="shared" si="784"/>
        <v>10</v>
      </c>
      <c r="S62">
        <f t="shared" si="785"/>
        <v>10</v>
      </c>
      <c r="T62">
        <f t="shared" si="786"/>
        <v>10</v>
      </c>
      <c r="U62">
        <f t="shared" si="787"/>
        <v>10</v>
      </c>
      <c r="V62">
        <f t="shared" si="788"/>
        <v>10</v>
      </c>
      <c r="W62">
        <f t="shared" si="789"/>
        <v>10</v>
      </c>
      <c r="X62">
        <f t="shared" si="790"/>
        <v>10</v>
      </c>
      <c r="Y62">
        <f t="shared" si="791"/>
        <v>10</v>
      </c>
      <c r="Z62">
        <f t="shared" si="792"/>
        <v>10</v>
      </c>
      <c r="AA62">
        <f t="shared" si="793"/>
        <v>10</v>
      </c>
      <c r="AB62">
        <f t="shared" si="794"/>
        <v>10</v>
      </c>
      <c r="AC62">
        <f t="shared" si="795"/>
        <v>10</v>
      </c>
      <c r="AD62">
        <f t="shared" si="796"/>
        <v>10</v>
      </c>
      <c r="AE62">
        <f t="shared" si="797"/>
        <v>10</v>
      </c>
      <c r="AF62">
        <f t="shared" si="798"/>
        <v>10</v>
      </c>
      <c r="AG62">
        <f t="shared" si="799"/>
        <v>10</v>
      </c>
      <c r="AH62">
        <f t="shared" si="800"/>
        <v>10</v>
      </c>
      <c r="AI62">
        <f t="shared" si="801"/>
        <v>10</v>
      </c>
      <c r="AJ62">
        <f t="shared" si="802"/>
        <v>10</v>
      </c>
      <c r="AK62">
        <f t="shared" si="803"/>
        <v>10</v>
      </c>
      <c r="AL62">
        <f t="shared" si="804"/>
        <v>10</v>
      </c>
      <c r="AM62">
        <f t="shared" si="805"/>
        <v>10</v>
      </c>
      <c r="AN62">
        <f t="shared" si="806"/>
        <v>10</v>
      </c>
      <c r="AO62">
        <f t="shared" si="807"/>
        <v>10</v>
      </c>
      <c r="AP62">
        <f t="shared" si="808"/>
        <v>10</v>
      </c>
      <c r="AQ62">
        <f t="shared" si="809"/>
        <v>10</v>
      </c>
      <c r="AR62">
        <f t="shared" si="810"/>
        <v>10</v>
      </c>
      <c r="AS62">
        <f t="shared" si="811"/>
        <v>10</v>
      </c>
      <c r="AT62">
        <f t="shared" si="812"/>
        <v>10</v>
      </c>
      <c r="AU62">
        <f t="shared" si="813"/>
        <v>10</v>
      </c>
      <c r="AV62">
        <f t="shared" si="814"/>
        <v>10</v>
      </c>
      <c r="AW62">
        <f t="shared" si="815"/>
        <v>10</v>
      </c>
      <c r="AX62">
        <f t="shared" si="816"/>
        <v>10</v>
      </c>
      <c r="AY62">
        <f t="shared" si="817"/>
        <v>10</v>
      </c>
      <c r="AZ62">
        <f t="shared" si="818"/>
        <v>10</v>
      </c>
      <c r="BA62">
        <f t="shared" si="819"/>
        <v>10</v>
      </c>
      <c r="BB62">
        <f t="shared" si="820"/>
        <v>10</v>
      </c>
      <c r="BC62">
        <f t="shared" si="821"/>
        <v>10</v>
      </c>
      <c r="BD62">
        <f t="shared" si="822"/>
        <v>10</v>
      </c>
      <c r="BE62">
        <f t="shared" si="823"/>
        <v>10</v>
      </c>
      <c r="BF62">
        <f t="shared" si="824"/>
        <v>10</v>
      </c>
      <c r="BG62">
        <f t="shared" si="825"/>
        <v>10</v>
      </c>
      <c r="BH62">
        <f t="shared" si="826"/>
        <v>10</v>
      </c>
      <c r="BI62">
        <f t="shared" si="827"/>
        <v>10</v>
      </c>
      <c r="BJ62">
        <f t="shared" si="828"/>
        <v>10</v>
      </c>
      <c r="BK62">
        <f t="shared" si="829"/>
        <v>10</v>
      </c>
      <c r="BL62">
        <f t="shared" si="830"/>
        <v>10</v>
      </c>
      <c r="BM62">
        <f t="shared" si="831"/>
        <v>10</v>
      </c>
      <c r="BN62">
        <f t="shared" si="832"/>
        <v>10</v>
      </c>
      <c r="BO62">
        <f t="shared" si="833"/>
        <v>10</v>
      </c>
      <c r="BP62">
        <f t="shared" si="834"/>
        <v>10</v>
      </c>
      <c r="BQ62">
        <f t="shared" si="835"/>
        <v>10</v>
      </c>
      <c r="BR62">
        <f t="shared" si="836"/>
        <v>10</v>
      </c>
      <c r="BS62">
        <f t="shared" si="837"/>
        <v>10</v>
      </c>
      <c r="BT62">
        <f t="shared" si="838"/>
        <v>10</v>
      </c>
      <c r="BU62">
        <f t="shared" si="839"/>
        <v>10</v>
      </c>
      <c r="BV62">
        <f t="shared" si="840"/>
        <v>10</v>
      </c>
      <c r="BW62">
        <f t="shared" si="841"/>
        <v>10</v>
      </c>
      <c r="BX62">
        <f t="shared" si="842"/>
        <v>10</v>
      </c>
      <c r="BY62">
        <f t="shared" si="843"/>
        <v>10</v>
      </c>
      <c r="BZ62">
        <f t="shared" si="844"/>
        <v>10</v>
      </c>
      <c r="CA62">
        <f t="shared" si="845"/>
        <v>10</v>
      </c>
      <c r="CB62">
        <f t="shared" si="846"/>
        <v>10</v>
      </c>
      <c r="CC62">
        <f t="shared" si="847"/>
        <v>10</v>
      </c>
      <c r="CD62">
        <f t="shared" si="848"/>
        <v>10</v>
      </c>
      <c r="CE62">
        <f t="shared" si="849"/>
        <v>10</v>
      </c>
      <c r="CF62">
        <f t="shared" si="850"/>
        <v>10</v>
      </c>
      <c r="CG62">
        <f t="shared" si="851"/>
        <v>10</v>
      </c>
      <c r="CH62">
        <f t="shared" si="852"/>
        <v>10</v>
      </c>
      <c r="CI62">
        <f t="shared" si="853"/>
        <v>10</v>
      </c>
      <c r="CJ62">
        <f t="shared" si="854"/>
        <v>10</v>
      </c>
      <c r="CK62">
        <f t="shared" si="855"/>
        <v>10</v>
      </c>
      <c r="CL62">
        <f t="shared" si="856"/>
        <v>10</v>
      </c>
      <c r="CM62">
        <f t="shared" si="857"/>
        <v>10</v>
      </c>
      <c r="CN62">
        <f t="shared" si="858"/>
        <v>10</v>
      </c>
      <c r="CO62">
        <f t="shared" si="859"/>
        <v>10</v>
      </c>
      <c r="CP62">
        <f t="shared" si="860"/>
        <v>10</v>
      </c>
      <c r="CQ62">
        <f t="shared" si="861"/>
        <v>10</v>
      </c>
      <c r="CR62">
        <f t="shared" si="862"/>
        <v>10</v>
      </c>
      <c r="CS62">
        <f t="shared" si="863"/>
        <v>10</v>
      </c>
      <c r="CT62">
        <f t="shared" si="864"/>
        <v>10</v>
      </c>
      <c r="CU62">
        <f t="shared" si="865"/>
        <v>10</v>
      </c>
      <c r="CV62">
        <f t="shared" si="866"/>
        <v>10</v>
      </c>
      <c r="CW62">
        <f t="shared" si="867"/>
        <v>10</v>
      </c>
      <c r="CX62">
        <f t="shared" si="868"/>
        <v>10</v>
      </c>
      <c r="CY62">
        <f t="shared" si="869"/>
        <v>10</v>
      </c>
      <c r="CZ62">
        <f t="shared" si="870"/>
        <v>10</v>
      </c>
      <c r="DA62">
        <f t="shared" si="871"/>
        <v>10</v>
      </c>
      <c r="DB62">
        <f t="shared" si="872"/>
        <v>10</v>
      </c>
      <c r="DC62">
        <f t="shared" si="873"/>
        <v>10</v>
      </c>
      <c r="DD62">
        <f t="shared" si="874"/>
        <v>10</v>
      </c>
      <c r="DE62">
        <f t="shared" si="875"/>
        <v>10</v>
      </c>
      <c r="DF62">
        <f t="shared" si="876"/>
        <v>10</v>
      </c>
      <c r="DG62">
        <f t="shared" si="877"/>
        <v>10</v>
      </c>
      <c r="DH62">
        <f t="shared" si="878"/>
        <v>10</v>
      </c>
      <c r="DI62">
        <f t="shared" si="879"/>
        <v>10</v>
      </c>
      <c r="DJ62">
        <f t="shared" si="880"/>
        <v>10</v>
      </c>
      <c r="DK62">
        <f t="shared" si="881"/>
        <v>10</v>
      </c>
      <c r="DL62">
        <f t="shared" si="882"/>
        <v>10</v>
      </c>
      <c r="DM62">
        <f t="shared" si="883"/>
        <v>10</v>
      </c>
      <c r="DN62">
        <f t="shared" si="884"/>
        <v>10</v>
      </c>
      <c r="DO62">
        <f t="shared" si="885"/>
        <v>10</v>
      </c>
      <c r="DP62">
        <f t="shared" si="886"/>
        <v>10</v>
      </c>
      <c r="DQ62">
        <f t="shared" si="887"/>
        <v>10</v>
      </c>
      <c r="DR62">
        <f t="shared" si="888"/>
        <v>10</v>
      </c>
      <c r="DS62">
        <f t="shared" si="889"/>
        <v>10</v>
      </c>
      <c r="DT62">
        <f t="shared" si="890"/>
        <v>10</v>
      </c>
      <c r="DU62">
        <f t="shared" si="891"/>
        <v>10</v>
      </c>
      <c r="DV62">
        <f t="shared" si="892"/>
        <v>10</v>
      </c>
      <c r="DW62">
        <f t="shared" si="893"/>
        <v>10</v>
      </c>
      <c r="DX62">
        <f t="shared" si="894"/>
        <v>10</v>
      </c>
      <c r="DY62">
        <f t="shared" si="895"/>
        <v>10</v>
      </c>
      <c r="DZ62">
        <f t="shared" si="896"/>
        <v>10</v>
      </c>
      <c r="EA62">
        <f t="shared" si="897"/>
        <v>10</v>
      </c>
      <c r="EB62">
        <f t="shared" si="898"/>
        <v>10</v>
      </c>
      <c r="EC62">
        <f t="shared" si="899"/>
        <v>10</v>
      </c>
      <c r="ED62">
        <f t="shared" si="900"/>
        <v>10</v>
      </c>
      <c r="EE62">
        <f t="shared" si="901"/>
        <v>10</v>
      </c>
      <c r="EF62">
        <f t="shared" si="902"/>
        <v>10</v>
      </c>
      <c r="EG62">
        <f t="shared" si="903"/>
        <v>10</v>
      </c>
      <c r="EH62">
        <f t="shared" si="904"/>
        <v>10</v>
      </c>
      <c r="EI62">
        <f t="shared" si="905"/>
        <v>10</v>
      </c>
      <c r="EJ62">
        <f t="shared" si="906"/>
        <v>10</v>
      </c>
      <c r="EK62">
        <f t="shared" si="907"/>
        <v>10</v>
      </c>
      <c r="EL62">
        <f t="shared" si="908"/>
        <v>10</v>
      </c>
      <c r="EM62">
        <f t="shared" si="909"/>
        <v>10</v>
      </c>
      <c r="EN62">
        <f t="shared" si="910"/>
        <v>10</v>
      </c>
      <c r="EO62">
        <f t="shared" si="911"/>
        <v>10</v>
      </c>
      <c r="EP62">
        <f t="shared" si="912"/>
        <v>10</v>
      </c>
      <c r="EQ62">
        <f t="shared" si="913"/>
        <v>10</v>
      </c>
      <c r="ER62">
        <f t="shared" si="914"/>
        <v>10</v>
      </c>
      <c r="ES62">
        <f t="shared" si="915"/>
        <v>10</v>
      </c>
      <c r="ET62">
        <f t="shared" si="916"/>
        <v>10</v>
      </c>
      <c r="EU62">
        <f t="shared" si="917"/>
        <v>10</v>
      </c>
      <c r="EV62">
        <f t="shared" si="918"/>
        <v>10</v>
      </c>
      <c r="EW62">
        <f t="shared" si="919"/>
        <v>10</v>
      </c>
      <c r="EX62">
        <f t="shared" si="920"/>
        <v>10</v>
      </c>
      <c r="EY62">
        <f t="shared" si="921"/>
        <v>10</v>
      </c>
      <c r="EZ62">
        <f t="shared" si="922"/>
        <v>10</v>
      </c>
      <c r="FA62">
        <f t="shared" si="923"/>
        <v>10</v>
      </c>
      <c r="FB62">
        <f t="shared" si="924"/>
        <v>10</v>
      </c>
      <c r="FC62">
        <f t="shared" si="925"/>
        <v>10</v>
      </c>
      <c r="FD62">
        <f t="shared" si="926"/>
        <v>10</v>
      </c>
      <c r="FE62">
        <f t="shared" si="927"/>
        <v>10</v>
      </c>
      <c r="FF62">
        <f t="shared" si="928"/>
        <v>10</v>
      </c>
      <c r="FG62">
        <f t="shared" si="929"/>
        <v>10</v>
      </c>
      <c r="FH62">
        <f t="shared" si="930"/>
        <v>10</v>
      </c>
      <c r="FI62">
        <f t="shared" si="931"/>
        <v>10</v>
      </c>
      <c r="FJ62">
        <f t="shared" si="932"/>
        <v>10</v>
      </c>
      <c r="FK62">
        <f t="shared" si="933"/>
        <v>10</v>
      </c>
      <c r="FL62">
        <f t="shared" si="934"/>
        <v>10</v>
      </c>
      <c r="FM62">
        <f t="shared" si="935"/>
        <v>10</v>
      </c>
      <c r="FN62">
        <f t="shared" si="936"/>
        <v>10</v>
      </c>
      <c r="FO62">
        <f t="shared" si="937"/>
        <v>10</v>
      </c>
      <c r="FP62">
        <f t="shared" si="938"/>
        <v>10</v>
      </c>
      <c r="FQ62">
        <f t="shared" si="939"/>
        <v>10</v>
      </c>
      <c r="FR62">
        <f t="shared" si="940"/>
        <v>10</v>
      </c>
      <c r="FS62">
        <f t="shared" si="941"/>
        <v>10</v>
      </c>
      <c r="FT62">
        <f t="shared" si="942"/>
        <v>10</v>
      </c>
      <c r="FU62">
        <f t="shared" si="943"/>
        <v>10</v>
      </c>
      <c r="FV62">
        <f t="shared" si="944"/>
        <v>10</v>
      </c>
      <c r="FW62">
        <f t="shared" si="945"/>
        <v>10</v>
      </c>
      <c r="FX62">
        <f t="shared" si="946"/>
        <v>10</v>
      </c>
      <c r="FY62">
        <f t="shared" si="947"/>
        <v>10</v>
      </c>
      <c r="FZ62">
        <f t="shared" si="948"/>
        <v>10</v>
      </c>
      <c r="GA62">
        <f t="shared" si="949"/>
        <v>10</v>
      </c>
      <c r="GB62">
        <f t="shared" si="950"/>
        <v>10</v>
      </c>
      <c r="GC62">
        <f t="shared" si="951"/>
        <v>10</v>
      </c>
      <c r="GD62">
        <f t="shared" si="952"/>
        <v>10</v>
      </c>
      <c r="GE62">
        <f t="shared" si="953"/>
        <v>10</v>
      </c>
      <c r="GF62">
        <f t="shared" si="954"/>
        <v>10</v>
      </c>
      <c r="GG62">
        <f t="shared" si="955"/>
        <v>10</v>
      </c>
      <c r="GH62">
        <f t="shared" si="956"/>
        <v>10</v>
      </c>
      <c r="GI62">
        <f t="shared" si="957"/>
        <v>10</v>
      </c>
      <c r="GJ62">
        <f t="shared" si="958"/>
        <v>10</v>
      </c>
      <c r="GK62">
        <f t="shared" si="959"/>
        <v>10</v>
      </c>
      <c r="GL62">
        <f t="shared" si="960"/>
        <v>10</v>
      </c>
      <c r="GM62">
        <f t="shared" si="961"/>
        <v>10</v>
      </c>
      <c r="GN62">
        <f t="shared" si="962"/>
        <v>10</v>
      </c>
      <c r="GO62">
        <f t="shared" si="963"/>
        <v>10</v>
      </c>
      <c r="GP62">
        <f t="shared" si="964"/>
        <v>10</v>
      </c>
      <c r="GQ62">
        <f t="shared" si="965"/>
        <v>10</v>
      </c>
      <c r="GR62">
        <f t="shared" si="966"/>
        <v>10</v>
      </c>
      <c r="GS62">
        <f t="shared" si="967"/>
        <v>10</v>
      </c>
      <c r="GT62">
        <f t="shared" si="968"/>
        <v>10</v>
      </c>
      <c r="GU62">
        <f t="shared" si="969"/>
        <v>10</v>
      </c>
      <c r="GV62">
        <f t="shared" si="970"/>
        <v>10</v>
      </c>
      <c r="GW62">
        <f t="shared" si="971"/>
        <v>10</v>
      </c>
      <c r="GX62">
        <f t="shared" si="972"/>
        <v>10</v>
      </c>
      <c r="GY62">
        <f t="shared" si="973"/>
        <v>10</v>
      </c>
      <c r="GZ62">
        <f t="shared" si="974"/>
        <v>10</v>
      </c>
      <c r="HA62">
        <f t="shared" si="975"/>
        <v>10</v>
      </c>
      <c r="HB62">
        <f t="shared" si="976"/>
        <v>10</v>
      </c>
      <c r="HC62">
        <f t="shared" si="977"/>
        <v>10</v>
      </c>
      <c r="HD62">
        <f t="shared" si="978"/>
        <v>10</v>
      </c>
      <c r="HE62">
        <f t="shared" si="979"/>
        <v>10</v>
      </c>
      <c r="HF62">
        <f t="shared" si="980"/>
        <v>10</v>
      </c>
      <c r="HG62">
        <f t="shared" si="981"/>
        <v>10</v>
      </c>
      <c r="HH62">
        <f t="shared" si="982"/>
        <v>10</v>
      </c>
      <c r="HI62">
        <f t="shared" si="983"/>
        <v>10</v>
      </c>
      <c r="HJ62">
        <f t="shared" si="984"/>
        <v>10</v>
      </c>
      <c r="HK62">
        <f t="shared" si="985"/>
        <v>10</v>
      </c>
      <c r="HL62">
        <f t="shared" si="986"/>
        <v>10</v>
      </c>
      <c r="HM62">
        <f t="shared" si="987"/>
        <v>10</v>
      </c>
      <c r="HN62">
        <f t="shared" si="988"/>
        <v>10</v>
      </c>
      <c r="HO62">
        <f t="shared" si="989"/>
        <v>10</v>
      </c>
      <c r="HP62">
        <f t="shared" si="990"/>
        <v>10</v>
      </c>
      <c r="HQ62">
        <f t="shared" si="991"/>
        <v>10</v>
      </c>
      <c r="HR62">
        <f t="shared" si="992"/>
        <v>10</v>
      </c>
      <c r="HS62">
        <f t="shared" si="993"/>
        <v>10</v>
      </c>
      <c r="HT62">
        <f t="shared" si="994"/>
        <v>10</v>
      </c>
      <c r="HU62">
        <f t="shared" si="995"/>
        <v>10</v>
      </c>
      <c r="HV62">
        <f t="shared" si="996"/>
        <v>10</v>
      </c>
      <c r="HW62">
        <f t="shared" si="997"/>
        <v>10</v>
      </c>
      <c r="HX62">
        <f t="shared" si="998"/>
        <v>10</v>
      </c>
      <c r="HY62">
        <f t="shared" si="999"/>
        <v>10</v>
      </c>
      <c r="HZ62">
        <f t="shared" si="1000"/>
        <v>10</v>
      </c>
      <c r="IA62">
        <f t="shared" si="1001"/>
        <v>10</v>
      </c>
      <c r="IB62">
        <f t="shared" si="1002"/>
        <v>10</v>
      </c>
      <c r="IC62">
        <f t="shared" si="1003"/>
        <v>10</v>
      </c>
      <c r="ID62">
        <f t="shared" si="1004"/>
        <v>10</v>
      </c>
      <c r="IE62">
        <f t="shared" si="1005"/>
        <v>10</v>
      </c>
      <c r="IF62">
        <f t="shared" si="1006"/>
        <v>10</v>
      </c>
      <c r="IG62">
        <f t="shared" si="1007"/>
        <v>10</v>
      </c>
      <c r="IH62">
        <f t="shared" si="1008"/>
        <v>10</v>
      </c>
      <c r="II62">
        <f t="shared" si="1009"/>
        <v>10</v>
      </c>
      <c r="IJ62">
        <f t="shared" si="1010"/>
        <v>10</v>
      </c>
      <c r="IK62">
        <f t="shared" si="1011"/>
        <v>10</v>
      </c>
      <c r="IL62">
        <f t="shared" si="1012"/>
        <v>10</v>
      </c>
      <c r="IM62">
        <f t="shared" si="1013"/>
        <v>10</v>
      </c>
      <c r="IN62">
        <f t="shared" si="1014"/>
        <v>10</v>
      </c>
      <c r="IO62">
        <f t="shared" si="1015"/>
        <v>10</v>
      </c>
      <c r="IP62">
        <f t="shared" si="1016"/>
        <v>10</v>
      </c>
      <c r="IQ62">
        <f t="shared" si="1017"/>
        <v>10</v>
      </c>
      <c r="IR62">
        <f t="shared" si="1018"/>
        <v>10</v>
      </c>
      <c r="IS62">
        <f t="shared" si="1019"/>
        <v>10</v>
      </c>
      <c r="IT62">
        <f t="shared" si="1020"/>
        <v>10</v>
      </c>
      <c r="IU62">
        <f t="shared" si="1021"/>
        <v>10</v>
      </c>
      <c r="IV62">
        <f t="shared" si="1022"/>
        <v>10</v>
      </c>
    </row>
    <row r="63" spans="1:256" x14ac:dyDescent="0.2">
      <c r="A63" t="s">
        <v>534</v>
      </c>
      <c r="B63">
        <f t="shared" si="768"/>
        <v>10</v>
      </c>
      <c r="C63">
        <f t="shared" si="769"/>
        <v>10</v>
      </c>
      <c r="D63">
        <f t="shared" si="770"/>
        <v>10</v>
      </c>
      <c r="E63">
        <f t="shared" si="771"/>
        <v>10</v>
      </c>
      <c r="F63">
        <f t="shared" si="772"/>
        <v>10</v>
      </c>
      <c r="G63">
        <f t="shared" si="773"/>
        <v>10</v>
      </c>
      <c r="H63">
        <f t="shared" si="774"/>
        <v>10</v>
      </c>
      <c r="I63">
        <f t="shared" si="775"/>
        <v>10</v>
      </c>
      <c r="J63">
        <f t="shared" si="776"/>
        <v>10</v>
      </c>
      <c r="K63">
        <f t="shared" si="777"/>
        <v>10</v>
      </c>
      <c r="L63">
        <f t="shared" si="778"/>
        <v>10</v>
      </c>
      <c r="M63">
        <f t="shared" si="779"/>
        <v>10</v>
      </c>
      <c r="N63">
        <f t="shared" si="780"/>
        <v>10</v>
      </c>
      <c r="O63">
        <f t="shared" si="781"/>
        <v>10</v>
      </c>
      <c r="P63">
        <f t="shared" si="782"/>
        <v>10</v>
      </c>
      <c r="Q63">
        <f t="shared" si="783"/>
        <v>10</v>
      </c>
      <c r="R63">
        <f t="shared" si="784"/>
        <v>10</v>
      </c>
      <c r="S63">
        <f t="shared" si="785"/>
        <v>10</v>
      </c>
      <c r="T63">
        <f t="shared" si="786"/>
        <v>10</v>
      </c>
      <c r="U63">
        <f t="shared" si="787"/>
        <v>10</v>
      </c>
      <c r="V63">
        <f t="shared" si="788"/>
        <v>10</v>
      </c>
      <c r="W63">
        <f t="shared" si="789"/>
        <v>10</v>
      </c>
      <c r="X63">
        <f t="shared" si="790"/>
        <v>10</v>
      </c>
      <c r="Y63">
        <f t="shared" si="791"/>
        <v>10</v>
      </c>
      <c r="Z63">
        <f t="shared" si="792"/>
        <v>10</v>
      </c>
      <c r="AA63">
        <f t="shared" si="793"/>
        <v>10</v>
      </c>
      <c r="AB63">
        <f t="shared" si="794"/>
        <v>10</v>
      </c>
      <c r="AC63">
        <f t="shared" si="795"/>
        <v>10</v>
      </c>
      <c r="AD63">
        <f t="shared" si="796"/>
        <v>10</v>
      </c>
      <c r="AE63">
        <f t="shared" si="797"/>
        <v>10</v>
      </c>
      <c r="AF63">
        <f t="shared" si="798"/>
        <v>10</v>
      </c>
      <c r="AG63">
        <f t="shared" si="799"/>
        <v>10</v>
      </c>
      <c r="AH63">
        <f t="shared" si="800"/>
        <v>10</v>
      </c>
      <c r="AI63">
        <f t="shared" si="801"/>
        <v>10</v>
      </c>
      <c r="AJ63">
        <f t="shared" si="802"/>
        <v>10</v>
      </c>
      <c r="AK63">
        <f t="shared" si="803"/>
        <v>10</v>
      </c>
      <c r="AL63">
        <f t="shared" si="804"/>
        <v>10</v>
      </c>
      <c r="AM63">
        <f t="shared" si="805"/>
        <v>10</v>
      </c>
      <c r="AN63">
        <f t="shared" si="806"/>
        <v>10</v>
      </c>
      <c r="AO63">
        <f t="shared" si="807"/>
        <v>10</v>
      </c>
      <c r="AP63">
        <f t="shared" si="808"/>
        <v>10</v>
      </c>
      <c r="AQ63">
        <f t="shared" si="809"/>
        <v>10</v>
      </c>
      <c r="AR63">
        <f t="shared" si="810"/>
        <v>10</v>
      </c>
      <c r="AS63">
        <f t="shared" si="811"/>
        <v>10</v>
      </c>
      <c r="AT63">
        <f t="shared" si="812"/>
        <v>10</v>
      </c>
      <c r="AU63">
        <f t="shared" si="813"/>
        <v>10</v>
      </c>
      <c r="AV63">
        <f t="shared" si="814"/>
        <v>10</v>
      </c>
      <c r="AW63">
        <f t="shared" si="815"/>
        <v>10</v>
      </c>
      <c r="AX63">
        <f t="shared" si="816"/>
        <v>10</v>
      </c>
      <c r="AY63">
        <f t="shared" si="817"/>
        <v>10</v>
      </c>
      <c r="AZ63">
        <f t="shared" si="818"/>
        <v>10</v>
      </c>
      <c r="BA63">
        <f t="shared" si="819"/>
        <v>10</v>
      </c>
      <c r="BB63">
        <f t="shared" si="820"/>
        <v>10</v>
      </c>
      <c r="BC63">
        <f t="shared" si="821"/>
        <v>10</v>
      </c>
      <c r="BD63">
        <f t="shared" si="822"/>
        <v>10</v>
      </c>
      <c r="BE63">
        <f t="shared" si="823"/>
        <v>10</v>
      </c>
      <c r="BF63">
        <f t="shared" si="824"/>
        <v>10</v>
      </c>
      <c r="BG63">
        <f t="shared" si="825"/>
        <v>10</v>
      </c>
      <c r="BH63">
        <f t="shared" si="826"/>
        <v>10</v>
      </c>
      <c r="BI63">
        <f t="shared" si="827"/>
        <v>10</v>
      </c>
      <c r="BJ63">
        <f t="shared" si="828"/>
        <v>10</v>
      </c>
      <c r="BK63">
        <f t="shared" si="829"/>
        <v>10</v>
      </c>
      <c r="BL63">
        <f t="shared" si="830"/>
        <v>10</v>
      </c>
      <c r="BM63">
        <f t="shared" si="831"/>
        <v>10</v>
      </c>
      <c r="BN63">
        <f t="shared" si="832"/>
        <v>10</v>
      </c>
      <c r="BO63">
        <f t="shared" si="833"/>
        <v>10</v>
      </c>
      <c r="BP63">
        <f t="shared" si="834"/>
        <v>10</v>
      </c>
      <c r="BQ63">
        <f t="shared" si="835"/>
        <v>10</v>
      </c>
      <c r="BR63">
        <f t="shared" si="836"/>
        <v>10</v>
      </c>
      <c r="BS63">
        <f t="shared" si="837"/>
        <v>10</v>
      </c>
      <c r="BT63">
        <f t="shared" si="838"/>
        <v>10</v>
      </c>
      <c r="BU63">
        <f t="shared" si="839"/>
        <v>10</v>
      </c>
      <c r="BV63">
        <f t="shared" si="840"/>
        <v>10</v>
      </c>
      <c r="BW63">
        <f t="shared" si="841"/>
        <v>10</v>
      </c>
      <c r="BX63">
        <f t="shared" si="842"/>
        <v>10</v>
      </c>
      <c r="BY63">
        <f t="shared" si="843"/>
        <v>10</v>
      </c>
      <c r="BZ63">
        <f t="shared" si="844"/>
        <v>10</v>
      </c>
      <c r="CA63">
        <f t="shared" si="845"/>
        <v>10</v>
      </c>
      <c r="CB63">
        <f t="shared" si="846"/>
        <v>10</v>
      </c>
      <c r="CC63">
        <f t="shared" si="847"/>
        <v>10</v>
      </c>
      <c r="CD63">
        <f t="shared" si="848"/>
        <v>10</v>
      </c>
      <c r="CE63">
        <f t="shared" si="849"/>
        <v>10</v>
      </c>
      <c r="CF63">
        <f t="shared" si="850"/>
        <v>10</v>
      </c>
      <c r="CG63">
        <f t="shared" si="851"/>
        <v>10</v>
      </c>
      <c r="CH63">
        <f t="shared" si="852"/>
        <v>10</v>
      </c>
      <c r="CI63">
        <f t="shared" si="853"/>
        <v>10</v>
      </c>
      <c r="CJ63">
        <f t="shared" si="854"/>
        <v>10</v>
      </c>
      <c r="CK63">
        <f t="shared" si="855"/>
        <v>10</v>
      </c>
      <c r="CL63">
        <f t="shared" si="856"/>
        <v>10</v>
      </c>
      <c r="CM63">
        <f t="shared" si="857"/>
        <v>10</v>
      </c>
      <c r="CN63">
        <f t="shared" si="858"/>
        <v>10</v>
      </c>
      <c r="CO63">
        <f t="shared" si="859"/>
        <v>10</v>
      </c>
      <c r="CP63">
        <f t="shared" si="860"/>
        <v>10</v>
      </c>
      <c r="CQ63">
        <f t="shared" si="861"/>
        <v>10</v>
      </c>
      <c r="CR63">
        <f t="shared" si="862"/>
        <v>10</v>
      </c>
      <c r="CS63">
        <f t="shared" si="863"/>
        <v>10</v>
      </c>
      <c r="CT63">
        <f t="shared" si="864"/>
        <v>10</v>
      </c>
      <c r="CU63">
        <f t="shared" si="865"/>
        <v>10</v>
      </c>
      <c r="CV63">
        <f t="shared" si="866"/>
        <v>10</v>
      </c>
      <c r="CW63">
        <f t="shared" si="867"/>
        <v>10</v>
      </c>
      <c r="CX63">
        <f t="shared" si="868"/>
        <v>10</v>
      </c>
      <c r="CY63">
        <f t="shared" si="869"/>
        <v>10</v>
      </c>
      <c r="CZ63">
        <f t="shared" si="870"/>
        <v>10</v>
      </c>
      <c r="DA63">
        <f t="shared" si="871"/>
        <v>10</v>
      </c>
      <c r="DB63">
        <f t="shared" si="872"/>
        <v>10</v>
      </c>
      <c r="DC63">
        <f t="shared" si="873"/>
        <v>10</v>
      </c>
      <c r="DD63">
        <f t="shared" si="874"/>
        <v>10</v>
      </c>
      <c r="DE63">
        <f t="shared" si="875"/>
        <v>10</v>
      </c>
      <c r="DF63">
        <f t="shared" si="876"/>
        <v>10</v>
      </c>
      <c r="DG63">
        <f t="shared" si="877"/>
        <v>10</v>
      </c>
      <c r="DH63">
        <f t="shared" si="878"/>
        <v>10</v>
      </c>
      <c r="DI63">
        <f t="shared" si="879"/>
        <v>10</v>
      </c>
      <c r="DJ63">
        <f t="shared" si="880"/>
        <v>10</v>
      </c>
      <c r="DK63">
        <f t="shared" si="881"/>
        <v>10</v>
      </c>
      <c r="DL63">
        <f t="shared" si="882"/>
        <v>10</v>
      </c>
      <c r="DM63">
        <f t="shared" si="883"/>
        <v>10</v>
      </c>
      <c r="DN63">
        <f t="shared" si="884"/>
        <v>10</v>
      </c>
      <c r="DO63">
        <f t="shared" si="885"/>
        <v>10</v>
      </c>
      <c r="DP63">
        <f t="shared" si="886"/>
        <v>10</v>
      </c>
      <c r="DQ63">
        <f t="shared" si="887"/>
        <v>10</v>
      </c>
      <c r="DR63">
        <f t="shared" si="888"/>
        <v>10</v>
      </c>
      <c r="DS63">
        <f t="shared" si="889"/>
        <v>10</v>
      </c>
      <c r="DT63">
        <f t="shared" si="890"/>
        <v>10</v>
      </c>
      <c r="DU63">
        <f t="shared" si="891"/>
        <v>10</v>
      </c>
      <c r="DV63">
        <f t="shared" si="892"/>
        <v>10</v>
      </c>
      <c r="DW63">
        <f t="shared" si="893"/>
        <v>10</v>
      </c>
      <c r="DX63">
        <f t="shared" si="894"/>
        <v>10</v>
      </c>
      <c r="DY63">
        <f t="shared" si="895"/>
        <v>10</v>
      </c>
      <c r="DZ63">
        <f t="shared" si="896"/>
        <v>10</v>
      </c>
      <c r="EA63">
        <f t="shared" si="897"/>
        <v>10</v>
      </c>
      <c r="EB63">
        <f t="shared" si="898"/>
        <v>10</v>
      </c>
      <c r="EC63">
        <f t="shared" si="899"/>
        <v>10</v>
      </c>
      <c r="ED63">
        <f t="shared" si="900"/>
        <v>10</v>
      </c>
      <c r="EE63">
        <f t="shared" si="901"/>
        <v>10</v>
      </c>
      <c r="EF63">
        <f t="shared" si="902"/>
        <v>10</v>
      </c>
      <c r="EG63">
        <f t="shared" si="903"/>
        <v>10</v>
      </c>
      <c r="EH63">
        <f t="shared" si="904"/>
        <v>10</v>
      </c>
      <c r="EI63">
        <f t="shared" si="905"/>
        <v>10</v>
      </c>
      <c r="EJ63">
        <f t="shared" si="906"/>
        <v>10</v>
      </c>
      <c r="EK63">
        <f t="shared" si="907"/>
        <v>10</v>
      </c>
      <c r="EL63">
        <f t="shared" si="908"/>
        <v>10</v>
      </c>
      <c r="EM63">
        <f t="shared" si="909"/>
        <v>10</v>
      </c>
      <c r="EN63">
        <f t="shared" si="910"/>
        <v>10</v>
      </c>
      <c r="EO63">
        <f t="shared" si="911"/>
        <v>10</v>
      </c>
      <c r="EP63">
        <f t="shared" si="912"/>
        <v>10</v>
      </c>
      <c r="EQ63">
        <f t="shared" si="913"/>
        <v>10</v>
      </c>
      <c r="ER63">
        <f t="shared" si="914"/>
        <v>10</v>
      </c>
      <c r="ES63">
        <f t="shared" si="915"/>
        <v>10</v>
      </c>
      <c r="ET63">
        <f t="shared" si="916"/>
        <v>10</v>
      </c>
      <c r="EU63">
        <f t="shared" si="917"/>
        <v>10</v>
      </c>
      <c r="EV63">
        <f t="shared" si="918"/>
        <v>10</v>
      </c>
      <c r="EW63">
        <f t="shared" si="919"/>
        <v>10</v>
      </c>
      <c r="EX63">
        <f t="shared" si="920"/>
        <v>10</v>
      </c>
      <c r="EY63">
        <f t="shared" si="921"/>
        <v>10</v>
      </c>
      <c r="EZ63">
        <f t="shared" si="922"/>
        <v>10</v>
      </c>
      <c r="FA63">
        <f t="shared" si="923"/>
        <v>10</v>
      </c>
      <c r="FB63">
        <f t="shared" si="924"/>
        <v>10</v>
      </c>
      <c r="FC63">
        <f t="shared" si="925"/>
        <v>10</v>
      </c>
      <c r="FD63">
        <f t="shared" si="926"/>
        <v>10</v>
      </c>
      <c r="FE63">
        <f t="shared" si="927"/>
        <v>10</v>
      </c>
      <c r="FF63">
        <f t="shared" si="928"/>
        <v>10</v>
      </c>
      <c r="FG63">
        <f t="shared" si="929"/>
        <v>10</v>
      </c>
      <c r="FH63">
        <f t="shared" si="930"/>
        <v>10</v>
      </c>
      <c r="FI63">
        <f t="shared" si="931"/>
        <v>10</v>
      </c>
      <c r="FJ63">
        <f t="shared" si="932"/>
        <v>10</v>
      </c>
      <c r="FK63">
        <f t="shared" si="933"/>
        <v>10</v>
      </c>
      <c r="FL63">
        <f t="shared" si="934"/>
        <v>10</v>
      </c>
      <c r="FM63">
        <f t="shared" si="935"/>
        <v>10</v>
      </c>
      <c r="FN63">
        <f t="shared" si="936"/>
        <v>10</v>
      </c>
      <c r="FO63">
        <f t="shared" si="937"/>
        <v>10</v>
      </c>
      <c r="FP63">
        <f t="shared" si="938"/>
        <v>10</v>
      </c>
      <c r="FQ63">
        <f t="shared" si="939"/>
        <v>10</v>
      </c>
      <c r="FR63">
        <f t="shared" si="940"/>
        <v>10</v>
      </c>
      <c r="FS63">
        <f t="shared" si="941"/>
        <v>10</v>
      </c>
      <c r="FT63">
        <f t="shared" si="942"/>
        <v>10</v>
      </c>
      <c r="FU63">
        <f t="shared" si="943"/>
        <v>10</v>
      </c>
      <c r="FV63">
        <f t="shared" si="944"/>
        <v>10</v>
      </c>
      <c r="FW63">
        <f t="shared" si="945"/>
        <v>10</v>
      </c>
      <c r="FX63">
        <f t="shared" si="946"/>
        <v>10</v>
      </c>
      <c r="FY63">
        <f t="shared" si="947"/>
        <v>10</v>
      </c>
      <c r="FZ63">
        <f t="shared" si="948"/>
        <v>10</v>
      </c>
      <c r="GA63">
        <f t="shared" si="949"/>
        <v>10</v>
      </c>
      <c r="GB63">
        <f t="shared" si="950"/>
        <v>10</v>
      </c>
      <c r="GC63">
        <f t="shared" si="951"/>
        <v>10</v>
      </c>
      <c r="GD63">
        <f t="shared" si="952"/>
        <v>10</v>
      </c>
      <c r="GE63">
        <f t="shared" si="953"/>
        <v>10</v>
      </c>
      <c r="GF63">
        <f t="shared" si="954"/>
        <v>10</v>
      </c>
      <c r="GG63">
        <f t="shared" si="955"/>
        <v>10</v>
      </c>
      <c r="GH63">
        <f t="shared" si="956"/>
        <v>10</v>
      </c>
      <c r="GI63">
        <f t="shared" si="957"/>
        <v>10</v>
      </c>
      <c r="GJ63">
        <f t="shared" si="958"/>
        <v>10</v>
      </c>
      <c r="GK63">
        <f t="shared" si="959"/>
        <v>10</v>
      </c>
      <c r="GL63">
        <f t="shared" si="960"/>
        <v>10</v>
      </c>
      <c r="GM63">
        <f t="shared" si="961"/>
        <v>10</v>
      </c>
      <c r="GN63">
        <f t="shared" si="962"/>
        <v>10</v>
      </c>
      <c r="GO63">
        <f t="shared" si="963"/>
        <v>10</v>
      </c>
      <c r="GP63">
        <f t="shared" si="964"/>
        <v>10</v>
      </c>
      <c r="GQ63">
        <f t="shared" si="965"/>
        <v>10</v>
      </c>
      <c r="GR63">
        <f t="shared" si="966"/>
        <v>10</v>
      </c>
      <c r="GS63">
        <f t="shared" si="967"/>
        <v>10</v>
      </c>
      <c r="GT63">
        <f t="shared" si="968"/>
        <v>10</v>
      </c>
      <c r="GU63">
        <f t="shared" si="969"/>
        <v>10</v>
      </c>
      <c r="GV63">
        <f t="shared" si="970"/>
        <v>10</v>
      </c>
      <c r="GW63">
        <f t="shared" si="971"/>
        <v>10</v>
      </c>
      <c r="GX63">
        <f t="shared" si="972"/>
        <v>10</v>
      </c>
      <c r="GY63">
        <f t="shared" si="973"/>
        <v>10</v>
      </c>
      <c r="GZ63">
        <f t="shared" si="974"/>
        <v>10</v>
      </c>
      <c r="HA63">
        <f t="shared" si="975"/>
        <v>10</v>
      </c>
      <c r="HB63">
        <f t="shared" si="976"/>
        <v>10</v>
      </c>
      <c r="HC63">
        <f t="shared" si="977"/>
        <v>10</v>
      </c>
      <c r="HD63">
        <f t="shared" si="978"/>
        <v>10</v>
      </c>
      <c r="HE63">
        <f t="shared" si="979"/>
        <v>10</v>
      </c>
      <c r="HF63">
        <f t="shared" si="980"/>
        <v>10</v>
      </c>
      <c r="HG63">
        <f t="shared" si="981"/>
        <v>10</v>
      </c>
      <c r="HH63">
        <f t="shared" si="982"/>
        <v>10</v>
      </c>
      <c r="HI63">
        <f t="shared" si="983"/>
        <v>10</v>
      </c>
      <c r="HJ63">
        <f t="shared" si="984"/>
        <v>10</v>
      </c>
      <c r="HK63">
        <f t="shared" si="985"/>
        <v>10</v>
      </c>
      <c r="HL63">
        <f t="shared" si="986"/>
        <v>10</v>
      </c>
      <c r="HM63">
        <f t="shared" si="987"/>
        <v>10</v>
      </c>
      <c r="HN63">
        <f t="shared" si="988"/>
        <v>10</v>
      </c>
      <c r="HO63">
        <f t="shared" si="989"/>
        <v>10</v>
      </c>
      <c r="HP63">
        <f t="shared" si="990"/>
        <v>10</v>
      </c>
      <c r="HQ63">
        <f t="shared" si="991"/>
        <v>10</v>
      </c>
      <c r="HR63">
        <f t="shared" si="992"/>
        <v>10</v>
      </c>
      <c r="HS63">
        <f t="shared" si="993"/>
        <v>10</v>
      </c>
      <c r="HT63">
        <f t="shared" si="994"/>
        <v>10</v>
      </c>
      <c r="HU63">
        <f t="shared" si="995"/>
        <v>10</v>
      </c>
      <c r="HV63">
        <f t="shared" si="996"/>
        <v>10</v>
      </c>
      <c r="HW63">
        <f t="shared" si="997"/>
        <v>10</v>
      </c>
      <c r="HX63">
        <f t="shared" si="998"/>
        <v>10</v>
      </c>
      <c r="HY63">
        <f t="shared" si="999"/>
        <v>10</v>
      </c>
      <c r="HZ63">
        <f t="shared" si="1000"/>
        <v>10</v>
      </c>
      <c r="IA63">
        <f t="shared" si="1001"/>
        <v>10</v>
      </c>
      <c r="IB63">
        <f t="shared" si="1002"/>
        <v>10</v>
      </c>
      <c r="IC63">
        <f t="shared" si="1003"/>
        <v>10</v>
      </c>
      <c r="ID63">
        <f t="shared" si="1004"/>
        <v>10</v>
      </c>
      <c r="IE63">
        <f t="shared" si="1005"/>
        <v>10</v>
      </c>
      <c r="IF63">
        <f t="shared" si="1006"/>
        <v>10</v>
      </c>
      <c r="IG63">
        <f t="shared" si="1007"/>
        <v>10</v>
      </c>
      <c r="IH63">
        <f t="shared" si="1008"/>
        <v>10</v>
      </c>
      <c r="II63">
        <f t="shared" si="1009"/>
        <v>10</v>
      </c>
      <c r="IJ63">
        <f t="shared" si="1010"/>
        <v>10</v>
      </c>
      <c r="IK63">
        <f t="shared" si="1011"/>
        <v>10</v>
      </c>
      <c r="IL63">
        <f t="shared" si="1012"/>
        <v>10</v>
      </c>
      <c r="IM63">
        <f t="shared" si="1013"/>
        <v>10</v>
      </c>
      <c r="IN63">
        <f t="shared" si="1014"/>
        <v>10</v>
      </c>
      <c r="IO63">
        <f t="shared" si="1015"/>
        <v>10</v>
      </c>
      <c r="IP63">
        <f t="shared" si="1016"/>
        <v>10</v>
      </c>
      <c r="IQ63">
        <f t="shared" si="1017"/>
        <v>10</v>
      </c>
      <c r="IR63">
        <f t="shared" si="1018"/>
        <v>10</v>
      </c>
      <c r="IS63">
        <f t="shared" si="1019"/>
        <v>10</v>
      </c>
      <c r="IT63">
        <f t="shared" si="1020"/>
        <v>10</v>
      </c>
      <c r="IU63">
        <f t="shared" si="1021"/>
        <v>10</v>
      </c>
      <c r="IV63">
        <f t="shared" si="1022"/>
        <v>10</v>
      </c>
    </row>
    <row r="64" spans="1:256" x14ac:dyDescent="0.2">
      <c r="A64" t="s">
        <v>535</v>
      </c>
      <c r="B64">
        <f t="shared" si="768"/>
        <v>10</v>
      </c>
      <c r="C64">
        <f t="shared" si="769"/>
        <v>10</v>
      </c>
      <c r="D64">
        <f t="shared" si="770"/>
        <v>10</v>
      </c>
      <c r="E64">
        <f t="shared" si="771"/>
        <v>10</v>
      </c>
      <c r="F64">
        <f t="shared" si="772"/>
        <v>10</v>
      </c>
      <c r="G64">
        <f t="shared" si="773"/>
        <v>10</v>
      </c>
      <c r="H64">
        <f t="shared" si="774"/>
        <v>10</v>
      </c>
      <c r="I64">
        <f t="shared" si="775"/>
        <v>10</v>
      </c>
      <c r="J64">
        <f t="shared" si="776"/>
        <v>10</v>
      </c>
      <c r="K64">
        <f t="shared" si="777"/>
        <v>10</v>
      </c>
      <c r="L64">
        <f t="shared" si="778"/>
        <v>10</v>
      </c>
      <c r="M64">
        <f t="shared" si="779"/>
        <v>10</v>
      </c>
      <c r="N64">
        <f t="shared" si="780"/>
        <v>10</v>
      </c>
      <c r="O64">
        <f t="shared" si="781"/>
        <v>10</v>
      </c>
      <c r="P64">
        <f t="shared" si="782"/>
        <v>10</v>
      </c>
      <c r="Q64">
        <f t="shared" si="783"/>
        <v>10</v>
      </c>
      <c r="R64">
        <f t="shared" si="784"/>
        <v>10</v>
      </c>
      <c r="S64">
        <f t="shared" si="785"/>
        <v>10</v>
      </c>
      <c r="T64">
        <f t="shared" si="786"/>
        <v>10</v>
      </c>
      <c r="U64">
        <f t="shared" si="787"/>
        <v>10</v>
      </c>
      <c r="V64">
        <f t="shared" si="788"/>
        <v>10</v>
      </c>
      <c r="W64">
        <f t="shared" si="789"/>
        <v>10</v>
      </c>
      <c r="X64">
        <f t="shared" si="790"/>
        <v>10</v>
      </c>
      <c r="Y64">
        <f t="shared" si="791"/>
        <v>10</v>
      </c>
      <c r="Z64">
        <f t="shared" si="792"/>
        <v>10</v>
      </c>
      <c r="AA64">
        <f t="shared" si="793"/>
        <v>10</v>
      </c>
      <c r="AB64">
        <f t="shared" si="794"/>
        <v>10</v>
      </c>
      <c r="AC64">
        <f t="shared" si="795"/>
        <v>10</v>
      </c>
      <c r="AD64">
        <f t="shared" si="796"/>
        <v>10</v>
      </c>
      <c r="AE64">
        <f t="shared" si="797"/>
        <v>10</v>
      </c>
      <c r="AF64">
        <f t="shared" si="798"/>
        <v>10</v>
      </c>
      <c r="AG64">
        <f t="shared" si="799"/>
        <v>10</v>
      </c>
      <c r="AH64">
        <f t="shared" si="800"/>
        <v>10</v>
      </c>
      <c r="AI64">
        <f t="shared" si="801"/>
        <v>10</v>
      </c>
      <c r="AJ64">
        <f t="shared" si="802"/>
        <v>10</v>
      </c>
      <c r="AK64">
        <f t="shared" si="803"/>
        <v>10</v>
      </c>
      <c r="AL64">
        <f t="shared" si="804"/>
        <v>10</v>
      </c>
      <c r="AM64">
        <f t="shared" si="805"/>
        <v>10</v>
      </c>
      <c r="AN64">
        <f t="shared" si="806"/>
        <v>10</v>
      </c>
      <c r="AO64">
        <f t="shared" si="807"/>
        <v>10</v>
      </c>
      <c r="AP64">
        <f t="shared" si="808"/>
        <v>10</v>
      </c>
      <c r="AQ64">
        <f t="shared" si="809"/>
        <v>10</v>
      </c>
      <c r="AR64">
        <f t="shared" si="810"/>
        <v>10</v>
      </c>
      <c r="AS64">
        <f t="shared" si="811"/>
        <v>10</v>
      </c>
      <c r="AT64">
        <f t="shared" si="812"/>
        <v>10</v>
      </c>
      <c r="AU64">
        <f t="shared" si="813"/>
        <v>10</v>
      </c>
      <c r="AV64">
        <f t="shared" si="814"/>
        <v>10</v>
      </c>
      <c r="AW64">
        <f t="shared" si="815"/>
        <v>10</v>
      </c>
      <c r="AX64">
        <f t="shared" si="816"/>
        <v>10</v>
      </c>
      <c r="AY64">
        <f t="shared" si="817"/>
        <v>10</v>
      </c>
      <c r="AZ64">
        <f t="shared" si="818"/>
        <v>10</v>
      </c>
      <c r="BA64">
        <f t="shared" si="819"/>
        <v>10</v>
      </c>
      <c r="BB64">
        <f t="shared" si="820"/>
        <v>10</v>
      </c>
      <c r="BC64">
        <f t="shared" si="821"/>
        <v>10</v>
      </c>
      <c r="BD64">
        <f t="shared" si="822"/>
        <v>10</v>
      </c>
      <c r="BE64">
        <f t="shared" si="823"/>
        <v>10</v>
      </c>
      <c r="BF64">
        <f t="shared" si="824"/>
        <v>10</v>
      </c>
      <c r="BG64">
        <f t="shared" si="825"/>
        <v>10</v>
      </c>
      <c r="BH64">
        <f t="shared" si="826"/>
        <v>10</v>
      </c>
      <c r="BI64">
        <f t="shared" si="827"/>
        <v>10</v>
      </c>
      <c r="BJ64">
        <f t="shared" si="828"/>
        <v>10</v>
      </c>
      <c r="BK64">
        <f t="shared" si="829"/>
        <v>10</v>
      </c>
      <c r="BL64">
        <f t="shared" si="830"/>
        <v>10</v>
      </c>
      <c r="BM64">
        <f t="shared" si="831"/>
        <v>10</v>
      </c>
      <c r="BN64">
        <f t="shared" si="832"/>
        <v>10</v>
      </c>
      <c r="BO64">
        <f t="shared" si="833"/>
        <v>10</v>
      </c>
      <c r="BP64">
        <f t="shared" si="834"/>
        <v>10</v>
      </c>
      <c r="BQ64">
        <f t="shared" si="835"/>
        <v>10</v>
      </c>
      <c r="BR64">
        <f t="shared" si="836"/>
        <v>10</v>
      </c>
      <c r="BS64">
        <f t="shared" si="837"/>
        <v>10</v>
      </c>
      <c r="BT64">
        <f t="shared" si="838"/>
        <v>10</v>
      </c>
      <c r="BU64">
        <f t="shared" si="839"/>
        <v>10</v>
      </c>
      <c r="BV64">
        <f t="shared" si="840"/>
        <v>10</v>
      </c>
      <c r="BW64">
        <f t="shared" si="841"/>
        <v>10</v>
      </c>
      <c r="BX64">
        <f t="shared" si="842"/>
        <v>10</v>
      </c>
      <c r="BY64">
        <f t="shared" si="843"/>
        <v>10</v>
      </c>
      <c r="BZ64">
        <f t="shared" si="844"/>
        <v>10</v>
      </c>
      <c r="CA64">
        <f t="shared" si="845"/>
        <v>10</v>
      </c>
      <c r="CB64">
        <f t="shared" si="846"/>
        <v>10</v>
      </c>
      <c r="CC64">
        <f t="shared" si="847"/>
        <v>10</v>
      </c>
      <c r="CD64">
        <f t="shared" si="848"/>
        <v>10</v>
      </c>
      <c r="CE64">
        <f t="shared" si="849"/>
        <v>10</v>
      </c>
      <c r="CF64">
        <f t="shared" si="850"/>
        <v>10</v>
      </c>
      <c r="CG64">
        <f t="shared" si="851"/>
        <v>10</v>
      </c>
      <c r="CH64">
        <f t="shared" si="852"/>
        <v>10</v>
      </c>
      <c r="CI64">
        <f t="shared" si="853"/>
        <v>10</v>
      </c>
      <c r="CJ64">
        <f t="shared" si="854"/>
        <v>10</v>
      </c>
      <c r="CK64">
        <f t="shared" si="855"/>
        <v>10</v>
      </c>
      <c r="CL64">
        <f t="shared" si="856"/>
        <v>10</v>
      </c>
      <c r="CM64">
        <f t="shared" si="857"/>
        <v>10</v>
      </c>
      <c r="CN64">
        <f t="shared" si="858"/>
        <v>10</v>
      </c>
      <c r="CO64">
        <f t="shared" si="859"/>
        <v>10</v>
      </c>
      <c r="CP64">
        <f t="shared" si="860"/>
        <v>10</v>
      </c>
      <c r="CQ64">
        <f t="shared" si="861"/>
        <v>10</v>
      </c>
      <c r="CR64">
        <f t="shared" si="862"/>
        <v>10</v>
      </c>
      <c r="CS64">
        <f t="shared" si="863"/>
        <v>10</v>
      </c>
      <c r="CT64">
        <f t="shared" si="864"/>
        <v>10</v>
      </c>
      <c r="CU64">
        <f t="shared" si="865"/>
        <v>10</v>
      </c>
      <c r="CV64">
        <f t="shared" si="866"/>
        <v>10</v>
      </c>
      <c r="CW64">
        <f t="shared" si="867"/>
        <v>10</v>
      </c>
      <c r="CX64">
        <f t="shared" si="868"/>
        <v>10</v>
      </c>
      <c r="CY64">
        <f t="shared" si="869"/>
        <v>10</v>
      </c>
      <c r="CZ64">
        <f t="shared" si="870"/>
        <v>10</v>
      </c>
      <c r="DA64">
        <f t="shared" si="871"/>
        <v>10</v>
      </c>
      <c r="DB64">
        <f t="shared" si="872"/>
        <v>10</v>
      </c>
      <c r="DC64">
        <f t="shared" si="873"/>
        <v>10</v>
      </c>
      <c r="DD64">
        <f t="shared" si="874"/>
        <v>10</v>
      </c>
      <c r="DE64">
        <f t="shared" si="875"/>
        <v>10</v>
      </c>
      <c r="DF64">
        <f t="shared" si="876"/>
        <v>10</v>
      </c>
      <c r="DG64">
        <f t="shared" si="877"/>
        <v>10</v>
      </c>
      <c r="DH64">
        <f t="shared" si="878"/>
        <v>10</v>
      </c>
      <c r="DI64">
        <f t="shared" si="879"/>
        <v>10</v>
      </c>
      <c r="DJ64">
        <f t="shared" si="880"/>
        <v>10</v>
      </c>
      <c r="DK64">
        <f t="shared" si="881"/>
        <v>10</v>
      </c>
      <c r="DL64">
        <f t="shared" si="882"/>
        <v>10</v>
      </c>
      <c r="DM64">
        <f t="shared" si="883"/>
        <v>10</v>
      </c>
      <c r="DN64">
        <f t="shared" si="884"/>
        <v>10</v>
      </c>
      <c r="DO64">
        <f t="shared" si="885"/>
        <v>10</v>
      </c>
      <c r="DP64">
        <f t="shared" si="886"/>
        <v>10</v>
      </c>
      <c r="DQ64">
        <f t="shared" si="887"/>
        <v>10</v>
      </c>
      <c r="DR64">
        <f t="shared" si="888"/>
        <v>10</v>
      </c>
      <c r="DS64">
        <f t="shared" si="889"/>
        <v>10</v>
      </c>
      <c r="DT64">
        <f t="shared" si="890"/>
        <v>10</v>
      </c>
      <c r="DU64">
        <f t="shared" si="891"/>
        <v>10</v>
      </c>
      <c r="DV64">
        <f t="shared" si="892"/>
        <v>10</v>
      </c>
      <c r="DW64">
        <f t="shared" si="893"/>
        <v>10</v>
      </c>
      <c r="DX64">
        <f t="shared" si="894"/>
        <v>10</v>
      </c>
      <c r="DY64">
        <f t="shared" si="895"/>
        <v>10</v>
      </c>
      <c r="DZ64">
        <f t="shared" si="896"/>
        <v>10</v>
      </c>
      <c r="EA64">
        <f t="shared" si="897"/>
        <v>10</v>
      </c>
      <c r="EB64">
        <f t="shared" si="898"/>
        <v>10</v>
      </c>
      <c r="EC64">
        <f t="shared" si="899"/>
        <v>10</v>
      </c>
      <c r="ED64">
        <f t="shared" si="900"/>
        <v>10</v>
      </c>
      <c r="EE64">
        <f t="shared" si="901"/>
        <v>10</v>
      </c>
      <c r="EF64">
        <f t="shared" si="902"/>
        <v>10</v>
      </c>
      <c r="EG64">
        <f t="shared" si="903"/>
        <v>10</v>
      </c>
      <c r="EH64">
        <f t="shared" si="904"/>
        <v>10</v>
      </c>
      <c r="EI64">
        <f t="shared" si="905"/>
        <v>10</v>
      </c>
      <c r="EJ64">
        <f t="shared" si="906"/>
        <v>10</v>
      </c>
      <c r="EK64">
        <f t="shared" si="907"/>
        <v>10</v>
      </c>
      <c r="EL64">
        <f t="shared" si="908"/>
        <v>10</v>
      </c>
      <c r="EM64">
        <f t="shared" si="909"/>
        <v>10</v>
      </c>
      <c r="EN64">
        <f t="shared" si="910"/>
        <v>10</v>
      </c>
      <c r="EO64">
        <f t="shared" si="911"/>
        <v>10</v>
      </c>
      <c r="EP64">
        <f t="shared" si="912"/>
        <v>10</v>
      </c>
      <c r="EQ64">
        <f t="shared" si="913"/>
        <v>10</v>
      </c>
      <c r="ER64">
        <f t="shared" si="914"/>
        <v>10</v>
      </c>
      <c r="ES64">
        <f t="shared" si="915"/>
        <v>10</v>
      </c>
      <c r="ET64">
        <f t="shared" si="916"/>
        <v>10</v>
      </c>
      <c r="EU64">
        <f t="shared" si="917"/>
        <v>10</v>
      </c>
      <c r="EV64">
        <f t="shared" si="918"/>
        <v>10</v>
      </c>
      <c r="EW64">
        <f t="shared" si="919"/>
        <v>10</v>
      </c>
      <c r="EX64">
        <f t="shared" si="920"/>
        <v>10</v>
      </c>
      <c r="EY64">
        <f t="shared" si="921"/>
        <v>10</v>
      </c>
      <c r="EZ64">
        <f t="shared" si="922"/>
        <v>10</v>
      </c>
      <c r="FA64">
        <f t="shared" si="923"/>
        <v>10</v>
      </c>
      <c r="FB64">
        <f t="shared" si="924"/>
        <v>10</v>
      </c>
      <c r="FC64">
        <f t="shared" si="925"/>
        <v>10</v>
      </c>
      <c r="FD64">
        <f t="shared" si="926"/>
        <v>10</v>
      </c>
      <c r="FE64">
        <f t="shared" si="927"/>
        <v>10</v>
      </c>
      <c r="FF64">
        <f t="shared" si="928"/>
        <v>10</v>
      </c>
      <c r="FG64">
        <f t="shared" si="929"/>
        <v>10</v>
      </c>
      <c r="FH64">
        <f t="shared" si="930"/>
        <v>10</v>
      </c>
      <c r="FI64">
        <f t="shared" si="931"/>
        <v>10</v>
      </c>
      <c r="FJ64">
        <f t="shared" si="932"/>
        <v>10</v>
      </c>
      <c r="FK64">
        <f t="shared" si="933"/>
        <v>10</v>
      </c>
      <c r="FL64">
        <f t="shared" si="934"/>
        <v>10</v>
      </c>
      <c r="FM64">
        <f t="shared" si="935"/>
        <v>10</v>
      </c>
      <c r="FN64">
        <f t="shared" si="936"/>
        <v>10</v>
      </c>
      <c r="FO64">
        <f t="shared" si="937"/>
        <v>10</v>
      </c>
      <c r="FP64">
        <f t="shared" si="938"/>
        <v>10</v>
      </c>
      <c r="FQ64">
        <f t="shared" si="939"/>
        <v>10</v>
      </c>
      <c r="FR64">
        <f t="shared" si="940"/>
        <v>10</v>
      </c>
      <c r="FS64">
        <f t="shared" si="941"/>
        <v>10</v>
      </c>
      <c r="FT64">
        <f t="shared" si="942"/>
        <v>10</v>
      </c>
      <c r="FU64">
        <f t="shared" si="943"/>
        <v>10</v>
      </c>
      <c r="FV64">
        <f t="shared" si="944"/>
        <v>10</v>
      </c>
      <c r="FW64">
        <f t="shared" si="945"/>
        <v>10</v>
      </c>
      <c r="FX64">
        <f t="shared" si="946"/>
        <v>10</v>
      </c>
      <c r="FY64">
        <f t="shared" si="947"/>
        <v>10</v>
      </c>
      <c r="FZ64">
        <f t="shared" si="948"/>
        <v>10</v>
      </c>
      <c r="GA64">
        <f t="shared" si="949"/>
        <v>10</v>
      </c>
      <c r="GB64">
        <f t="shared" si="950"/>
        <v>10</v>
      </c>
      <c r="GC64">
        <f t="shared" si="951"/>
        <v>10</v>
      </c>
      <c r="GD64">
        <f t="shared" si="952"/>
        <v>10</v>
      </c>
      <c r="GE64">
        <f t="shared" si="953"/>
        <v>10</v>
      </c>
      <c r="GF64">
        <f t="shared" si="954"/>
        <v>10</v>
      </c>
      <c r="GG64">
        <f t="shared" si="955"/>
        <v>10</v>
      </c>
      <c r="GH64">
        <f t="shared" si="956"/>
        <v>10</v>
      </c>
      <c r="GI64">
        <f t="shared" si="957"/>
        <v>10</v>
      </c>
      <c r="GJ64">
        <f t="shared" si="958"/>
        <v>10</v>
      </c>
      <c r="GK64">
        <f t="shared" si="959"/>
        <v>10</v>
      </c>
      <c r="GL64">
        <f t="shared" si="960"/>
        <v>10</v>
      </c>
      <c r="GM64">
        <f t="shared" si="961"/>
        <v>10</v>
      </c>
      <c r="GN64">
        <f t="shared" si="962"/>
        <v>10</v>
      </c>
      <c r="GO64">
        <f t="shared" si="963"/>
        <v>10</v>
      </c>
      <c r="GP64">
        <f t="shared" si="964"/>
        <v>10</v>
      </c>
      <c r="GQ64">
        <f t="shared" si="965"/>
        <v>10</v>
      </c>
      <c r="GR64">
        <f t="shared" si="966"/>
        <v>10</v>
      </c>
      <c r="GS64">
        <f t="shared" si="967"/>
        <v>10</v>
      </c>
      <c r="GT64">
        <f t="shared" si="968"/>
        <v>10</v>
      </c>
      <c r="GU64">
        <f t="shared" si="969"/>
        <v>10</v>
      </c>
      <c r="GV64">
        <f t="shared" si="970"/>
        <v>10</v>
      </c>
      <c r="GW64">
        <f t="shared" si="971"/>
        <v>10</v>
      </c>
      <c r="GX64">
        <f t="shared" si="972"/>
        <v>10</v>
      </c>
      <c r="GY64">
        <f t="shared" si="973"/>
        <v>10</v>
      </c>
      <c r="GZ64">
        <f t="shared" si="974"/>
        <v>10</v>
      </c>
      <c r="HA64">
        <f t="shared" si="975"/>
        <v>10</v>
      </c>
      <c r="HB64">
        <f t="shared" si="976"/>
        <v>10</v>
      </c>
      <c r="HC64">
        <f t="shared" si="977"/>
        <v>10</v>
      </c>
      <c r="HD64">
        <f t="shared" si="978"/>
        <v>10</v>
      </c>
      <c r="HE64">
        <f t="shared" si="979"/>
        <v>10</v>
      </c>
      <c r="HF64">
        <f t="shared" si="980"/>
        <v>10</v>
      </c>
      <c r="HG64">
        <f t="shared" si="981"/>
        <v>10</v>
      </c>
      <c r="HH64">
        <f t="shared" si="982"/>
        <v>10</v>
      </c>
      <c r="HI64">
        <f t="shared" si="983"/>
        <v>10</v>
      </c>
      <c r="HJ64">
        <f t="shared" si="984"/>
        <v>10</v>
      </c>
      <c r="HK64">
        <f t="shared" si="985"/>
        <v>10</v>
      </c>
      <c r="HL64">
        <f t="shared" si="986"/>
        <v>10</v>
      </c>
      <c r="HM64">
        <f t="shared" si="987"/>
        <v>10</v>
      </c>
      <c r="HN64">
        <f t="shared" si="988"/>
        <v>10</v>
      </c>
      <c r="HO64">
        <f t="shared" si="989"/>
        <v>10</v>
      </c>
      <c r="HP64">
        <f t="shared" si="990"/>
        <v>10</v>
      </c>
      <c r="HQ64">
        <f t="shared" si="991"/>
        <v>10</v>
      </c>
      <c r="HR64">
        <f t="shared" si="992"/>
        <v>10</v>
      </c>
      <c r="HS64">
        <f t="shared" si="993"/>
        <v>10</v>
      </c>
      <c r="HT64">
        <f t="shared" si="994"/>
        <v>10</v>
      </c>
      <c r="HU64">
        <f t="shared" si="995"/>
        <v>10</v>
      </c>
      <c r="HV64">
        <f t="shared" si="996"/>
        <v>10</v>
      </c>
      <c r="HW64">
        <f t="shared" si="997"/>
        <v>10</v>
      </c>
      <c r="HX64">
        <f t="shared" si="998"/>
        <v>10</v>
      </c>
      <c r="HY64">
        <f t="shared" si="999"/>
        <v>10</v>
      </c>
      <c r="HZ64">
        <f t="shared" si="1000"/>
        <v>10</v>
      </c>
      <c r="IA64">
        <f t="shared" si="1001"/>
        <v>10</v>
      </c>
      <c r="IB64">
        <f t="shared" si="1002"/>
        <v>10</v>
      </c>
      <c r="IC64">
        <f t="shared" si="1003"/>
        <v>10</v>
      </c>
      <c r="ID64">
        <f t="shared" si="1004"/>
        <v>10</v>
      </c>
      <c r="IE64">
        <f t="shared" si="1005"/>
        <v>10</v>
      </c>
      <c r="IF64">
        <f t="shared" si="1006"/>
        <v>10</v>
      </c>
      <c r="IG64">
        <f t="shared" si="1007"/>
        <v>10</v>
      </c>
      <c r="IH64">
        <f t="shared" si="1008"/>
        <v>10</v>
      </c>
      <c r="II64">
        <f t="shared" si="1009"/>
        <v>10</v>
      </c>
      <c r="IJ64">
        <f t="shared" si="1010"/>
        <v>10</v>
      </c>
      <c r="IK64">
        <f t="shared" si="1011"/>
        <v>10</v>
      </c>
      <c r="IL64">
        <f t="shared" si="1012"/>
        <v>10</v>
      </c>
      <c r="IM64">
        <f t="shared" si="1013"/>
        <v>10</v>
      </c>
      <c r="IN64">
        <f t="shared" si="1014"/>
        <v>10</v>
      </c>
      <c r="IO64">
        <f t="shared" si="1015"/>
        <v>10</v>
      </c>
      <c r="IP64">
        <f t="shared" si="1016"/>
        <v>10</v>
      </c>
      <c r="IQ64">
        <f t="shared" si="1017"/>
        <v>10</v>
      </c>
      <c r="IR64">
        <f t="shared" si="1018"/>
        <v>10</v>
      </c>
      <c r="IS64">
        <f t="shared" si="1019"/>
        <v>10</v>
      </c>
      <c r="IT64">
        <f t="shared" si="1020"/>
        <v>10</v>
      </c>
      <c r="IU64">
        <f t="shared" si="1021"/>
        <v>10</v>
      </c>
      <c r="IV64">
        <f t="shared" si="1022"/>
        <v>10</v>
      </c>
    </row>
    <row r="65" spans="1:256" x14ac:dyDescent="0.2">
      <c r="A65" t="s">
        <v>536</v>
      </c>
      <c r="B65">
        <f t="shared" si="768"/>
        <v>10</v>
      </c>
      <c r="C65">
        <f t="shared" si="769"/>
        <v>10</v>
      </c>
      <c r="D65">
        <f t="shared" si="770"/>
        <v>10</v>
      </c>
      <c r="E65">
        <f t="shared" si="771"/>
        <v>10</v>
      </c>
      <c r="F65">
        <f t="shared" si="772"/>
        <v>10</v>
      </c>
      <c r="G65">
        <f t="shared" si="773"/>
        <v>10</v>
      </c>
      <c r="H65">
        <f t="shared" si="774"/>
        <v>10</v>
      </c>
      <c r="I65">
        <f t="shared" si="775"/>
        <v>10</v>
      </c>
      <c r="J65">
        <f t="shared" si="776"/>
        <v>10</v>
      </c>
      <c r="K65">
        <f t="shared" si="777"/>
        <v>10</v>
      </c>
      <c r="L65">
        <f t="shared" si="778"/>
        <v>10</v>
      </c>
      <c r="M65">
        <f t="shared" si="779"/>
        <v>10</v>
      </c>
      <c r="N65">
        <f t="shared" si="780"/>
        <v>10</v>
      </c>
      <c r="O65">
        <f t="shared" si="781"/>
        <v>10</v>
      </c>
      <c r="P65">
        <f t="shared" si="782"/>
        <v>10</v>
      </c>
      <c r="Q65">
        <f t="shared" si="783"/>
        <v>10</v>
      </c>
      <c r="R65">
        <f t="shared" si="784"/>
        <v>10</v>
      </c>
      <c r="S65">
        <f t="shared" si="785"/>
        <v>10</v>
      </c>
      <c r="T65">
        <f t="shared" si="786"/>
        <v>10</v>
      </c>
      <c r="U65">
        <f t="shared" si="787"/>
        <v>10</v>
      </c>
      <c r="V65">
        <f t="shared" si="788"/>
        <v>10</v>
      </c>
      <c r="W65">
        <f t="shared" si="789"/>
        <v>10</v>
      </c>
      <c r="X65">
        <f t="shared" si="790"/>
        <v>10</v>
      </c>
      <c r="Y65">
        <f t="shared" si="791"/>
        <v>10</v>
      </c>
      <c r="Z65">
        <f t="shared" si="792"/>
        <v>10</v>
      </c>
      <c r="AA65">
        <f t="shared" si="793"/>
        <v>10</v>
      </c>
      <c r="AB65">
        <f t="shared" si="794"/>
        <v>10</v>
      </c>
      <c r="AC65">
        <f t="shared" si="795"/>
        <v>10</v>
      </c>
      <c r="AD65">
        <f t="shared" si="796"/>
        <v>10</v>
      </c>
      <c r="AE65">
        <f t="shared" si="797"/>
        <v>10</v>
      </c>
      <c r="AF65">
        <f t="shared" si="798"/>
        <v>10</v>
      </c>
      <c r="AG65">
        <f t="shared" si="799"/>
        <v>10</v>
      </c>
      <c r="AH65">
        <f t="shared" si="800"/>
        <v>10</v>
      </c>
      <c r="AI65">
        <f t="shared" si="801"/>
        <v>10</v>
      </c>
      <c r="AJ65">
        <f t="shared" si="802"/>
        <v>10</v>
      </c>
      <c r="AK65">
        <f t="shared" si="803"/>
        <v>10</v>
      </c>
      <c r="AL65">
        <f t="shared" si="804"/>
        <v>10</v>
      </c>
      <c r="AM65">
        <f t="shared" si="805"/>
        <v>10</v>
      </c>
      <c r="AN65">
        <f t="shared" si="806"/>
        <v>10</v>
      </c>
      <c r="AO65">
        <f t="shared" si="807"/>
        <v>10</v>
      </c>
      <c r="AP65">
        <f t="shared" si="808"/>
        <v>10</v>
      </c>
      <c r="AQ65">
        <f t="shared" si="809"/>
        <v>10</v>
      </c>
      <c r="AR65">
        <f t="shared" si="810"/>
        <v>10</v>
      </c>
      <c r="AS65">
        <f t="shared" si="811"/>
        <v>10</v>
      </c>
      <c r="AT65">
        <f t="shared" si="812"/>
        <v>10</v>
      </c>
      <c r="AU65">
        <f t="shared" si="813"/>
        <v>10</v>
      </c>
      <c r="AV65">
        <f t="shared" si="814"/>
        <v>10</v>
      </c>
      <c r="AW65">
        <f t="shared" si="815"/>
        <v>10</v>
      </c>
      <c r="AX65">
        <f t="shared" si="816"/>
        <v>10</v>
      </c>
      <c r="AY65">
        <f t="shared" si="817"/>
        <v>10</v>
      </c>
      <c r="AZ65">
        <f t="shared" si="818"/>
        <v>10</v>
      </c>
      <c r="BA65">
        <f t="shared" si="819"/>
        <v>10</v>
      </c>
      <c r="BB65">
        <f t="shared" si="820"/>
        <v>10</v>
      </c>
      <c r="BC65">
        <f t="shared" si="821"/>
        <v>10</v>
      </c>
      <c r="BD65">
        <f t="shared" si="822"/>
        <v>10</v>
      </c>
      <c r="BE65">
        <f t="shared" si="823"/>
        <v>10</v>
      </c>
      <c r="BF65">
        <f t="shared" si="824"/>
        <v>10</v>
      </c>
      <c r="BG65">
        <f t="shared" si="825"/>
        <v>10</v>
      </c>
      <c r="BH65">
        <f t="shared" si="826"/>
        <v>10</v>
      </c>
      <c r="BI65">
        <f t="shared" si="827"/>
        <v>10</v>
      </c>
      <c r="BJ65">
        <f t="shared" si="828"/>
        <v>10</v>
      </c>
      <c r="BK65">
        <f t="shared" si="829"/>
        <v>10</v>
      </c>
      <c r="BL65">
        <f t="shared" si="830"/>
        <v>10</v>
      </c>
      <c r="BM65">
        <f t="shared" si="831"/>
        <v>10</v>
      </c>
      <c r="BN65">
        <f t="shared" si="832"/>
        <v>10</v>
      </c>
      <c r="BO65">
        <f t="shared" si="833"/>
        <v>10</v>
      </c>
      <c r="BP65">
        <f t="shared" si="834"/>
        <v>10</v>
      </c>
      <c r="BQ65">
        <f t="shared" si="835"/>
        <v>10</v>
      </c>
      <c r="BR65">
        <f t="shared" si="836"/>
        <v>10</v>
      </c>
      <c r="BS65">
        <f t="shared" si="837"/>
        <v>10</v>
      </c>
      <c r="BT65">
        <f t="shared" si="838"/>
        <v>10</v>
      </c>
      <c r="BU65">
        <f t="shared" si="839"/>
        <v>10</v>
      </c>
      <c r="BV65">
        <f t="shared" si="840"/>
        <v>10</v>
      </c>
      <c r="BW65">
        <f t="shared" si="841"/>
        <v>10</v>
      </c>
      <c r="BX65">
        <f t="shared" si="842"/>
        <v>10</v>
      </c>
      <c r="BY65">
        <f t="shared" si="843"/>
        <v>10</v>
      </c>
      <c r="BZ65">
        <f t="shared" si="844"/>
        <v>10</v>
      </c>
      <c r="CA65">
        <f t="shared" si="845"/>
        <v>10</v>
      </c>
      <c r="CB65">
        <f t="shared" si="846"/>
        <v>10</v>
      </c>
      <c r="CC65">
        <f t="shared" si="847"/>
        <v>10</v>
      </c>
      <c r="CD65">
        <f t="shared" si="848"/>
        <v>10</v>
      </c>
      <c r="CE65">
        <f t="shared" si="849"/>
        <v>10</v>
      </c>
      <c r="CF65">
        <f t="shared" si="850"/>
        <v>10</v>
      </c>
      <c r="CG65">
        <f t="shared" si="851"/>
        <v>10</v>
      </c>
      <c r="CH65">
        <f t="shared" si="852"/>
        <v>10</v>
      </c>
      <c r="CI65">
        <f t="shared" si="853"/>
        <v>10</v>
      </c>
      <c r="CJ65">
        <f t="shared" si="854"/>
        <v>10</v>
      </c>
      <c r="CK65">
        <f t="shared" si="855"/>
        <v>10</v>
      </c>
      <c r="CL65">
        <f t="shared" si="856"/>
        <v>10</v>
      </c>
      <c r="CM65">
        <f t="shared" si="857"/>
        <v>10</v>
      </c>
      <c r="CN65">
        <f t="shared" si="858"/>
        <v>10</v>
      </c>
      <c r="CO65">
        <f t="shared" si="859"/>
        <v>10</v>
      </c>
      <c r="CP65">
        <f t="shared" si="860"/>
        <v>10</v>
      </c>
      <c r="CQ65">
        <f t="shared" si="861"/>
        <v>10</v>
      </c>
      <c r="CR65">
        <f t="shared" si="862"/>
        <v>10</v>
      </c>
      <c r="CS65">
        <f t="shared" si="863"/>
        <v>10</v>
      </c>
      <c r="CT65">
        <f t="shared" si="864"/>
        <v>10</v>
      </c>
      <c r="CU65">
        <f t="shared" si="865"/>
        <v>10</v>
      </c>
      <c r="CV65">
        <f t="shared" si="866"/>
        <v>10</v>
      </c>
      <c r="CW65">
        <f t="shared" si="867"/>
        <v>10</v>
      </c>
      <c r="CX65">
        <f t="shared" si="868"/>
        <v>10</v>
      </c>
      <c r="CY65">
        <f t="shared" si="869"/>
        <v>10</v>
      </c>
      <c r="CZ65">
        <f t="shared" si="870"/>
        <v>10</v>
      </c>
      <c r="DA65">
        <f t="shared" si="871"/>
        <v>10</v>
      </c>
      <c r="DB65">
        <f t="shared" si="872"/>
        <v>10</v>
      </c>
      <c r="DC65">
        <f t="shared" si="873"/>
        <v>10</v>
      </c>
      <c r="DD65">
        <f t="shared" si="874"/>
        <v>10</v>
      </c>
      <c r="DE65">
        <f t="shared" si="875"/>
        <v>10</v>
      </c>
      <c r="DF65">
        <f t="shared" si="876"/>
        <v>10</v>
      </c>
      <c r="DG65">
        <f t="shared" si="877"/>
        <v>10</v>
      </c>
      <c r="DH65">
        <f t="shared" si="878"/>
        <v>10</v>
      </c>
      <c r="DI65">
        <f t="shared" si="879"/>
        <v>10</v>
      </c>
      <c r="DJ65">
        <f t="shared" si="880"/>
        <v>10</v>
      </c>
      <c r="DK65">
        <f t="shared" si="881"/>
        <v>10</v>
      </c>
      <c r="DL65">
        <f t="shared" si="882"/>
        <v>10</v>
      </c>
      <c r="DM65">
        <f t="shared" si="883"/>
        <v>10</v>
      </c>
      <c r="DN65">
        <f t="shared" si="884"/>
        <v>10</v>
      </c>
      <c r="DO65">
        <f t="shared" si="885"/>
        <v>10</v>
      </c>
      <c r="DP65">
        <f t="shared" si="886"/>
        <v>10</v>
      </c>
      <c r="DQ65">
        <f t="shared" si="887"/>
        <v>10</v>
      </c>
      <c r="DR65">
        <f t="shared" si="888"/>
        <v>10</v>
      </c>
      <c r="DS65">
        <f t="shared" si="889"/>
        <v>10</v>
      </c>
      <c r="DT65">
        <f t="shared" si="890"/>
        <v>10</v>
      </c>
      <c r="DU65">
        <f t="shared" si="891"/>
        <v>10</v>
      </c>
      <c r="DV65">
        <f t="shared" si="892"/>
        <v>10</v>
      </c>
      <c r="DW65">
        <f t="shared" si="893"/>
        <v>10</v>
      </c>
      <c r="DX65">
        <f t="shared" si="894"/>
        <v>10</v>
      </c>
      <c r="DY65">
        <f t="shared" si="895"/>
        <v>10</v>
      </c>
      <c r="DZ65">
        <f t="shared" si="896"/>
        <v>10</v>
      </c>
      <c r="EA65">
        <f t="shared" si="897"/>
        <v>10</v>
      </c>
      <c r="EB65">
        <f t="shared" si="898"/>
        <v>10</v>
      </c>
      <c r="EC65">
        <f t="shared" si="899"/>
        <v>10</v>
      </c>
      <c r="ED65">
        <f t="shared" si="900"/>
        <v>10</v>
      </c>
      <c r="EE65">
        <f t="shared" si="901"/>
        <v>10</v>
      </c>
      <c r="EF65">
        <f t="shared" si="902"/>
        <v>10</v>
      </c>
      <c r="EG65">
        <f t="shared" si="903"/>
        <v>10</v>
      </c>
      <c r="EH65">
        <f t="shared" si="904"/>
        <v>10</v>
      </c>
      <c r="EI65">
        <f t="shared" si="905"/>
        <v>10</v>
      </c>
      <c r="EJ65">
        <f t="shared" si="906"/>
        <v>10</v>
      </c>
      <c r="EK65">
        <f t="shared" si="907"/>
        <v>10</v>
      </c>
      <c r="EL65">
        <f t="shared" si="908"/>
        <v>10</v>
      </c>
      <c r="EM65">
        <f t="shared" si="909"/>
        <v>10</v>
      </c>
      <c r="EN65">
        <f t="shared" si="910"/>
        <v>10</v>
      </c>
      <c r="EO65">
        <f t="shared" si="911"/>
        <v>10</v>
      </c>
      <c r="EP65">
        <f t="shared" si="912"/>
        <v>10</v>
      </c>
      <c r="EQ65">
        <f t="shared" si="913"/>
        <v>10</v>
      </c>
      <c r="ER65">
        <f t="shared" si="914"/>
        <v>10</v>
      </c>
      <c r="ES65">
        <f t="shared" si="915"/>
        <v>10</v>
      </c>
      <c r="ET65">
        <f t="shared" si="916"/>
        <v>10</v>
      </c>
      <c r="EU65">
        <f t="shared" si="917"/>
        <v>10</v>
      </c>
      <c r="EV65">
        <f t="shared" si="918"/>
        <v>10</v>
      </c>
      <c r="EW65">
        <f t="shared" si="919"/>
        <v>10</v>
      </c>
      <c r="EX65">
        <f t="shared" si="920"/>
        <v>10</v>
      </c>
      <c r="EY65">
        <f t="shared" si="921"/>
        <v>10</v>
      </c>
      <c r="EZ65">
        <f t="shared" si="922"/>
        <v>10</v>
      </c>
      <c r="FA65">
        <f t="shared" si="923"/>
        <v>10</v>
      </c>
      <c r="FB65">
        <f t="shared" si="924"/>
        <v>10</v>
      </c>
      <c r="FC65">
        <f t="shared" si="925"/>
        <v>10</v>
      </c>
      <c r="FD65">
        <f t="shared" si="926"/>
        <v>10</v>
      </c>
      <c r="FE65">
        <f t="shared" si="927"/>
        <v>10</v>
      </c>
      <c r="FF65">
        <f t="shared" si="928"/>
        <v>10</v>
      </c>
      <c r="FG65">
        <f t="shared" si="929"/>
        <v>10</v>
      </c>
      <c r="FH65">
        <f t="shared" si="930"/>
        <v>10</v>
      </c>
      <c r="FI65">
        <f t="shared" si="931"/>
        <v>10</v>
      </c>
      <c r="FJ65">
        <f t="shared" si="932"/>
        <v>10</v>
      </c>
      <c r="FK65">
        <f t="shared" si="933"/>
        <v>10</v>
      </c>
      <c r="FL65">
        <f t="shared" si="934"/>
        <v>10</v>
      </c>
      <c r="FM65">
        <f t="shared" si="935"/>
        <v>10</v>
      </c>
      <c r="FN65">
        <f t="shared" si="936"/>
        <v>10</v>
      </c>
      <c r="FO65">
        <f t="shared" si="937"/>
        <v>10</v>
      </c>
      <c r="FP65">
        <f t="shared" si="938"/>
        <v>10</v>
      </c>
      <c r="FQ65">
        <f t="shared" si="939"/>
        <v>10</v>
      </c>
      <c r="FR65">
        <f t="shared" si="940"/>
        <v>10</v>
      </c>
      <c r="FS65">
        <f t="shared" si="941"/>
        <v>10</v>
      </c>
      <c r="FT65">
        <f t="shared" si="942"/>
        <v>10</v>
      </c>
      <c r="FU65">
        <f t="shared" si="943"/>
        <v>10</v>
      </c>
      <c r="FV65">
        <f t="shared" si="944"/>
        <v>10</v>
      </c>
      <c r="FW65">
        <f t="shared" si="945"/>
        <v>10</v>
      </c>
      <c r="FX65">
        <f t="shared" si="946"/>
        <v>10</v>
      </c>
      <c r="FY65">
        <f t="shared" si="947"/>
        <v>10</v>
      </c>
      <c r="FZ65">
        <f t="shared" si="948"/>
        <v>10</v>
      </c>
      <c r="GA65">
        <f t="shared" si="949"/>
        <v>10</v>
      </c>
      <c r="GB65">
        <f t="shared" si="950"/>
        <v>10</v>
      </c>
      <c r="GC65">
        <f t="shared" si="951"/>
        <v>10</v>
      </c>
      <c r="GD65">
        <f t="shared" si="952"/>
        <v>10</v>
      </c>
      <c r="GE65">
        <f t="shared" si="953"/>
        <v>10</v>
      </c>
      <c r="GF65">
        <f t="shared" si="954"/>
        <v>10</v>
      </c>
      <c r="GG65">
        <f t="shared" si="955"/>
        <v>10</v>
      </c>
      <c r="GH65">
        <f t="shared" si="956"/>
        <v>10</v>
      </c>
      <c r="GI65">
        <f t="shared" si="957"/>
        <v>10</v>
      </c>
      <c r="GJ65">
        <f t="shared" si="958"/>
        <v>10</v>
      </c>
      <c r="GK65">
        <f t="shared" si="959"/>
        <v>10</v>
      </c>
      <c r="GL65">
        <f t="shared" si="960"/>
        <v>10</v>
      </c>
      <c r="GM65">
        <f t="shared" si="961"/>
        <v>10</v>
      </c>
      <c r="GN65">
        <f t="shared" si="962"/>
        <v>10</v>
      </c>
      <c r="GO65">
        <f t="shared" si="963"/>
        <v>10</v>
      </c>
      <c r="GP65">
        <f t="shared" si="964"/>
        <v>10</v>
      </c>
      <c r="GQ65">
        <f t="shared" si="965"/>
        <v>10</v>
      </c>
      <c r="GR65">
        <f t="shared" si="966"/>
        <v>10</v>
      </c>
      <c r="GS65">
        <f t="shared" si="967"/>
        <v>10</v>
      </c>
      <c r="GT65">
        <f t="shared" si="968"/>
        <v>10</v>
      </c>
      <c r="GU65">
        <f t="shared" si="969"/>
        <v>10</v>
      </c>
      <c r="GV65">
        <f t="shared" si="970"/>
        <v>10</v>
      </c>
      <c r="GW65">
        <f t="shared" si="971"/>
        <v>10</v>
      </c>
      <c r="GX65">
        <f t="shared" si="972"/>
        <v>10</v>
      </c>
      <c r="GY65">
        <f t="shared" si="973"/>
        <v>10</v>
      </c>
      <c r="GZ65">
        <f t="shared" si="974"/>
        <v>10</v>
      </c>
      <c r="HA65">
        <f t="shared" si="975"/>
        <v>10</v>
      </c>
      <c r="HB65">
        <f t="shared" si="976"/>
        <v>10</v>
      </c>
      <c r="HC65">
        <f t="shared" si="977"/>
        <v>10</v>
      </c>
      <c r="HD65">
        <f t="shared" si="978"/>
        <v>10</v>
      </c>
      <c r="HE65">
        <f t="shared" si="979"/>
        <v>10</v>
      </c>
      <c r="HF65">
        <f t="shared" si="980"/>
        <v>10</v>
      </c>
      <c r="HG65">
        <f t="shared" si="981"/>
        <v>10</v>
      </c>
      <c r="HH65">
        <f t="shared" si="982"/>
        <v>10</v>
      </c>
      <c r="HI65">
        <f t="shared" si="983"/>
        <v>10</v>
      </c>
      <c r="HJ65">
        <f t="shared" si="984"/>
        <v>10</v>
      </c>
      <c r="HK65">
        <f t="shared" si="985"/>
        <v>10</v>
      </c>
      <c r="HL65">
        <f t="shared" si="986"/>
        <v>10</v>
      </c>
      <c r="HM65">
        <f t="shared" si="987"/>
        <v>10</v>
      </c>
      <c r="HN65">
        <f t="shared" si="988"/>
        <v>10</v>
      </c>
      <c r="HO65">
        <f t="shared" si="989"/>
        <v>10</v>
      </c>
      <c r="HP65">
        <f t="shared" si="990"/>
        <v>10</v>
      </c>
      <c r="HQ65">
        <f t="shared" si="991"/>
        <v>10</v>
      </c>
      <c r="HR65">
        <f t="shared" si="992"/>
        <v>10</v>
      </c>
      <c r="HS65">
        <f t="shared" si="993"/>
        <v>10</v>
      </c>
      <c r="HT65">
        <f t="shared" si="994"/>
        <v>10</v>
      </c>
      <c r="HU65">
        <f t="shared" si="995"/>
        <v>10</v>
      </c>
      <c r="HV65">
        <f t="shared" si="996"/>
        <v>10</v>
      </c>
      <c r="HW65">
        <f t="shared" si="997"/>
        <v>10</v>
      </c>
      <c r="HX65">
        <f t="shared" si="998"/>
        <v>10</v>
      </c>
      <c r="HY65">
        <f t="shared" si="999"/>
        <v>10</v>
      </c>
      <c r="HZ65">
        <f t="shared" si="1000"/>
        <v>10</v>
      </c>
      <c r="IA65">
        <f t="shared" si="1001"/>
        <v>10</v>
      </c>
      <c r="IB65">
        <f t="shared" si="1002"/>
        <v>10</v>
      </c>
      <c r="IC65">
        <f t="shared" si="1003"/>
        <v>10</v>
      </c>
      <c r="ID65">
        <f t="shared" si="1004"/>
        <v>10</v>
      </c>
      <c r="IE65">
        <f t="shared" si="1005"/>
        <v>10</v>
      </c>
      <c r="IF65">
        <f t="shared" si="1006"/>
        <v>10</v>
      </c>
      <c r="IG65">
        <f t="shared" si="1007"/>
        <v>10</v>
      </c>
      <c r="IH65">
        <f t="shared" si="1008"/>
        <v>10</v>
      </c>
      <c r="II65">
        <f t="shared" si="1009"/>
        <v>10</v>
      </c>
      <c r="IJ65">
        <f t="shared" si="1010"/>
        <v>10</v>
      </c>
      <c r="IK65">
        <f t="shared" si="1011"/>
        <v>10</v>
      </c>
      <c r="IL65">
        <f t="shared" si="1012"/>
        <v>10</v>
      </c>
      <c r="IM65">
        <f t="shared" si="1013"/>
        <v>10</v>
      </c>
      <c r="IN65">
        <f t="shared" si="1014"/>
        <v>10</v>
      </c>
      <c r="IO65">
        <f t="shared" si="1015"/>
        <v>10</v>
      </c>
      <c r="IP65">
        <f t="shared" si="1016"/>
        <v>10</v>
      </c>
      <c r="IQ65">
        <f t="shared" si="1017"/>
        <v>10</v>
      </c>
      <c r="IR65">
        <f t="shared" si="1018"/>
        <v>10</v>
      </c>
      <c r="IS65">
        <f t="shared" si="1019"/>
        <v>10</v>
      </c>
      <c r="IT65">
        <f t="shared" si="1020"/>
        <v>10</v>
      </c>
      <c r="IU65">
        <f t="shared" si="1021"/>
        <v>10</v>
      </c>
      <c r="IV65">
        <f t="shared" si="1022"/>
        <v>10</v>
      </c>
    </row>
    <row r="66" spans="1:256" x14ac:dyDescent="0.2">
      <c r="A66" t="s">
        <v>537</v>
      </c>
      <c r="B66">
        <f t="shared" si="768"/>
        <v>10</v>
      </c>
      <c r="C66">
        <f t="shared" si="769"/>
        <v>10</v>
      </c>
      <c r="D66">
        <f t="shared" si="770"/>
        <v>10</v>
      </c>
      <c r="E66">
        <f t="shared" si="771"/>
        <v>10</v>
      </c>
      <c r="F66">
        <f t="shared" si="772"/>
        <v>10</v>
      </c>
      <c r="G66">
        <f t="shared" si="773"/>
        <v>10</v>
      </c>
      <c r="H66">
        <f t="shared" si="774"/>
        <v>10</v>
      </c>
      <c r="I66">
        <f t="shared" si="775"/>
        <v>10</v>
      </c>
      <c r="J66">
        <f t="shared" si="776"/>
        <v>10</v>
      </c>
      <c r="K66">
        <f t="shared" si="777"/>
        <v>10</v>
      </c>
      <c r="L66">
        <f t="shared" si="778"/>
        <v>10</v>
      </c>
      <c r="M66">
        <f t="shared" si="779"/>
        <v>10</v>
      </c>
      <c r="N66">
        <f t="shared" si="780"/>
        <v>10</v>
      </c>
      <c r="O66">
        <f t="shared" si="781"/>
        <v>10</v>
      </c>
      <c r="P66">
        <f t="shared" si="782"/>
        <v>10</v>
      </c>
      <c r="Q66">
        <f t="shared" si="783"/>
        <v>10</v>
      </c>
      <c r="R66">
        <f t="shared" si="784"/>
        <v>10</v>
      </c>
      <c r="S66">
        <f t="shared" si="785"/>
        <v>10</v>
      </c>
      <c r="T66">
        <f t="shared" si="786"/>
        <v>10</v>
      </c>
      <c r="U66">
        <f t="shared" si="787"/>
        <v>10</v>
      </c>
      <c r="V66">
        <f t="shared" si="788"/>
        <v>10</v>
      </c>
      <c r="W66">
        <f t="shared" si="789"/>
        <v>10</v>
      </c>
      <c r="X66">
        <f t="shared" si="790"/>
        <v>10</v>
      </c>
      <c r="Y66">
        <f t="shared" si="791"/>
        <v>10</v>
      </c>
      <c r="Z66">
        <f t="shared" si="792"/>
        <v>10</v>
      </c>
      <c r="AA66">
        <f t="shared" si="793"/>
        <v>10</v>
      </c>
      <c r="AB66">
        <f t="shared" si="794"/>
        <v>10</v>
      </c>
      <c r="AC66">
        <f t="shared" si="795"/>
        <v>10</v>
      </c>
      <c r="AD66">
        <f t="shared" si="796"/>
        <v>10</v>
      </c>
      <c r="AE66">
        <f t="shared" si="797"/>
        <v>10</v>
      </c>
      <c r="AF66">
        <f t="shared" si="798"/>
        <v>10</v>
      </c>
      <c r="AG66">
        <f t="shared" si="799"/>
        <v>10</v>
      </c>
      <c r="AH66">
        <f t="shared" si="800"/>
        <v>10</v>
      </c>
      <c r="AI66">
        <f t="shared" si="801"/>
        <v>10</v>
      </c>
      <c r="AJ66">
        <f t="shared" si="802"/>
        <v>10</v>
      </c>
      <c r="AK66">
        <f t="shared" si="803"/>
        <v>10</v>
      </c>
      <c r="AL66">
        <f t="shared" si="804"/>
        <v>10</v>
      </c>
      <c r="AM66">
        <f t="shared" si="805"/>
        <v>10</v>
      </c>
      <c r="AN66">
        <f t="shared" si="806"/>
        <v>10</v>
      </c>
      <c r="AO66">
        <f t="shared" si="807"/>
        <v>10</v>
      </c>
      <c r="AP66">
        <f t="shared" si="808"/>
        <v>10</v>
      </c>
      <c r="AQ66">
        <f t="shared" si="809"/>
        <v>10</v>
      </c>
      <c r="AR66">
        <f t="shared" si="810"/>
        <v>10</v>
      </c>
      <c r="AS66">
        <f t="shared" si="811"/>
        <v>10</v>
      </c>
      <c r="AT66">
        <f t="shared" si="812"/>
        <v>10</v>
      </c>
      <c r="AU66">
        <f t="shared" si="813"/>
        <v>10</v>
      </c>
      <c r="AV66">
        <f t="shared" si="814"/>
        <v>10</v>
      </c>
      <c r="AW66">
        <f t="shared" si="815"/>
        <v>10</v>
      </c>
      <c r="AX66">
        <f t="shared" si="816"/>
        <v>10</v>
      </c>
      <c r="AY66">
        <f t="shared" si="817"/>
        <v>10</v>
      </c>
      <c r="AZ66">
        <f t="shared" si="818"/>
        <v>10</v>
      </c>
      <c r="BA66">
        <f t="shared" si="819"/>
        <v>10</v>
      </c>
      <c r="BB66">
        <f t="shared" si="820"/>
        <v>10</v>
      </c>
      <c r="BC66">
        <f t="shared" si="821"/>
        <v>10</v>
      </c>
      <c r="BD66">
        <f t="shared" si="822"/>
        <v>10</v>
      </c>
      <c r="BE66">
        <f t="shared" si="823"/>
        <v>10</v>
      </c>
      <c r="BF66">
        <f t="shared" si="824"/>
        <v>10</v>
      </c>
      <c r="BG66">
        <f t="shared" si="825"/>
        <v>10</v>
      </c>
      <c r="BH66">
        <f t="shared" si="826"/>
        <v>10</v>
      </c>
      <c r="BI66">
        <f t="shared" si="827"/>
        <v>10</v>
      </c>
      <c r="BJ66">
        <f t="shared" si="828"/>
        <v>10</v>
      </c>
      <c r="BK66">
        <f t="shared" si="829"/>
        <v>10</v>
      </c>
      <c r="BL66">
        <f t="shared" si="830"/>
        <v>10</v>
      </c>
      <c r="BM66">
        <f t="shared" si="831"/>
        <v>10</v>
      </c>
      <c r="BN66">
        <f t="shared" si="832"/>
        <v>10</v>
      </c>
      <c r="BO66">
        <f t="shared" si="833"/>
        <v>10</v>
      </c>
      <c r="BP66">
        <f t="shared" si="834"/>
        <v>10</v>
      </c>
      <c r="BQ66">
        <f t="shared" si="835"/>
        <v>10</v>
      </c>
      <c r="BR66">
        <f t="shared" si="836"/>
        <v>10</v>
      </c>
      <c r="BS66">
        <f t="shared" si="837"/>
        <v>10</v>
      </c>
      <c r="BT66">
        <f t="shared" si="838"/>
        <v>10</v>
      </c>
      <c r="BU66">
        <f t="shared" si="839"/>
        <v>10</v>
      </c>
      <c r="BV66">
        <f t="shared" si="840"/>
        <v>10</v>
      </c>
      <c r="BW66">
        <f t="shared" si="841"/>
        <v>10</v>
      </c>
      <c r="BX66">
        <f t="shared" si="842"/>
        <v>10</v>
      </c>
      <c r="BY66">
        <f t="shared" si="843"/>
        <v>10</v>
      </c>
      <c r="BZ66">
        <f t="shared" si="844"/>
        <v>10</v>
      </c>
      <c r="CA66">
        <f t="shared" si="845"/>
        <v>10</v>
      </c>
      <c r="CB66">
        <f t="shared" si="846"/>
        <v>10</v>
      </c>
      <c r="CC66">
        <f t="shared" si="847"/>
        <v>10</v>
      </c>
      <c r="CD66">
        <f t="shared" si="848"/>
        <v>10</v>
      </c>
      <c r="CE66">
        <f t="shared" si="849"/>
        <v>10</v>
      </c>
      <c r="CF66">
        <f t="shared" si="850"/>
        <v>10</v>
      </c>
      <c r="CG66">
        <f t="shared" si="851"/>
        <v>10</v>
      </c>
      <c r="CH66">
        <f t="shared" si="852"/>
        <v>10</v>
      </c>
      <c r="CI66">
        <f t="shared" si="853"/>
        <v>10</v>
      </c>
      <c r="CJ66">
        <f t="shared" si="854"/>
        <v>10</v>
      </c>
      <c r="CK66">
        <f t="shared" si="855"/>
        <v>10</v>
      </c>
      <c r="CL66">
        <f t="shared" si="856"/>
        <v>10</v>
      </c>
      <c r="CM66">
        <f t="shared" si="857"/>
        <v>10</v>
      </c>
      <c r="CN66">
        <f t="shared" si="858"/>
        <v>10</v>
      </c>
      <c r="CO66">
        <f t="shared" si="859"/>
        <v>10</v>
      </c>
      <c r="CP66">
        <f t="shared" si="860"/>
        <v>10</v>
      </c>
      <c r="CQ66">
        <f t="shared" si="861"/>
        <v>10</v>
      </c>
      <c r="CR66">
        <f t="shared" si="862"/>
        <v>10</v>
      </c>
      <c r="CS66">
        <f t="shared" si="863"/>
        <v>10</v>
      </c>
      <c r="CT66">
        <f t="shared" si="864"/>
        <v>10</v>
      </c>
      <c r="CU66">
        <f t="shared" si="865"/>
        <v>10</v>
      </c>
      <c r="CV66">
        <f t="shared" si="866"/>
        <v>10</v>
      </c>
      <c r="CW66">
        <f t="shared" si="867"/>
        <v>10</v>
      </c>
      <c r="CX66">
        <f t="shared" si="868"/>
        <v>10</v>
      </c>
      <c r="CY66">
        <f t="shared" si="869"/>
        <v>10</v>
      </c>
      <c r="CZ66">
        <f t="shared" si="870"/>
        <v>10</v>
      </c>
      <c r="DA66">
        <f t="shared" si="871"/>
        <v>10</v>
      </c>
      <c r="DB66">
        <f t="shared" si="872"/>
        <v>10</v>
      </c>
      <c r="DC66">
        <f t="shared" si="873"/>
        <v>10</v>
      </c>
      <c r="DD66">
        <f t="shared" si="874"/>
        <v>10</v>
      </c>
      <c r="DE66">
        <f t="shared" si="875"/>
        <v>10</v>
      </c>
      <c r="DF66">
        <f t="shared" si="876"/>
        <v>10</v>
      </c>
      <c r="DG66">
        <f t="shared" si="877"/>
        <v>10</v>
      </c>
      <c r="DH66">
        <f t="shared" si="878"/>
        <v>10</v>
      </c>
      <c r="DI66">
        <f t="shared" si="879"/>
        <v>10</v>
      </c>
      <c r="DJ66">
        <f t="shared" si="880"/>
        <v>10</v>
      </c>
      <c r="DK66">
        <f t="shared" si="881"/>
        <v>10</v>
      </c>
      <c r="DL66">
        <f t="shared" si="882"/>
        <v>10</v>
      </c>
      <c r="DM66">
        <f t="shared" si="883"/>
        <v>10</v>
      </c>
      <c r="DN66">
        <f t="shared" si="884"/>
        <v>10</v>
      </c>
      <c r="DO66">
        <f t="shared" si="885"/>
        <v>10</v>
      </c>
      <c r="DP66">
        <f t="shared" si="886"/>
        <v>10</v>
      </c>
      <c r="DQ66">
        <f t="shared" si="887"/>
        <v>10</v>
      </c>
      <c r="DR66">
        <f t="shared" si="888"/>
        <v>10</v>
      </c>
      <c r="DS66">
        <f t="shared" si="889"/>
        <v>10</v>
      </c>
      <c r="DT66">
        <f t="shared" si="890"/>
        <v>10</v>
      </c>
      <c r="DU66">
        <f t="shared" si="891"/>
        <v>10</v>
      </c>
      <c r="DV66">
        <f t="shared" si="892"/>
        <v>10</v>
      </c>
      <c r="DW66">
        <f t="shared" si="893"/>
        <v>10</v>
      </c>
      <c r="DX66">
        <f t="shared" si="894"/>
        <v>10</v>
      </c>
      <c r="DY66">
        <f t="shared" si="895"/>
        <v>10</v>
      </c>
      <c r="DZ66">
        <f t="shared" si="896"/>
        <v>10</v>
      </c>
      <c r="EA66">
        <f t="shared" si="897"/>
        <v>10</v>
      </c>
      <c r="EB66">
        <f t="shared" si="898"/>
        <v>10</v>
      </c>
      <c r="EC66">
        <f t="shared" si="899"/>
        <v>10</v>
      </c>
      <c r="ED66">
        <f t="shared" si="900"/>
        <v>10</v>
      </c>
      <c r="EE66">
        <f t="shared" si="901"/>
        <v>10</v>
      </c>
      <c r="EF66">
        <f t="shared" si="902"/>
        <v>10</v>
      </c>
      <c r="EG66">
        <f t="shared" si="903"/>
        <v>10</v>
      </c>
      <c r="EH66">
        <f t="shared" si="904"/>
        <v>10</v>
      </c>
      <c r="EI66">
        <f t="shared" si="905"/>
        <v>10</v>
      </c>
      <c r="EJ66">
        <f t="shared" si="906"/>
        <v>10</v>
      </c>
      <c r="EK66">
        <f t="shared" si="907"/>
        <v>10</v>
      </c>
      <c r="EL66">
        <f t="shared" si="908"/>
        <v>10</v>
      </c>
      <c r="EM66">
        <f t="shared" si="909"/>
        <v>10</v>
      </c>
      <c r="EN66">
        <f t="shared" si="910"/>
        <v>10</v>
      </c>
      <c r="EO66">
        <f t="shared" si="911"/>
        <v>10</v>
      </c>
      <c r="EP66">
        <f t="shared" si="912"/>
        <v>10</v>
      </c>
      <c r="EQ66">
        <f t="shared" si="913"/>
        <v>10</v>
      </c>
      <c r="ER66">
        <f t="shared" si="914"/>
        <v>10</v>
      </c>
      <c r="ES66">
        <f t="shared" si="915"/>
        <v>10</v>
      </c>
      <c r="ET66">
        <f t="shared" si="916"/>
        <v>10</v>
      </c>
      <c r="EU66">
        <f t="shared" si="917"/>
        <v>10</v>
      </c>
      <c r="EV66">
        <f t="shared" si="918"/>
        <v>10</v>
      </c>
      <c r="EW66">
        <f t="shared" si="919"/>
        <v>10</v>
      </c>
      <c r="EX66">
        <f t="shared" si="920"/>
        <v>10</v>
      </c>
      <c r="EY66">
        <f t="shared" si="921"/>
        <v>10</v>
      </c>
      <c r="EZ66">
        <f t="shared" si="922"/>
        <v>10</v>
      </c>
      <c r="FA66">
        <f t="shared" si="923"/>
        <v>10</v>
      </c>
      <c r="FB66">
        <f t="shared" si="924"/>
        <v>10</v>
      </c>
      <c r="FC66">
        <f t="shared" si="925"/>
        <v>10</v>
      </c>
      <c r="FD66">
        <f t="shared" si="926"/>
        <v>10</v>
      </c>
      <c r="FE66">
        <f t="shared" si="927"/>
        <v>10</v>
      </c>
      <c r="FF66">
        <f t="shared" si="928"/>
        <v>10</v>
      </c>
      <c r="FG66">
        <f t="shared" si="929"/>
        <v>10</v>
      </c>
      <c r="FH66">
        <f t="shared" si="930"/>
        <v>10</v>
      </c>
      <c r="FI66">
        <f t="shared" si="931"/>
        <v>10</v>
      </c>
      <c r="FJ66">
        <f t="shared" si="932"/>
        <v>10</v>
      </c>
      <c r="FK66">
        <f t="shared" si="933"/>
        <v>10</v>
      </c>
      <c r="FL66">
        <f t="shared" si="934"/>
        <v>10</v>
      </c>
      <c r="FM66">
        <f t="shared" si="935"/>
        <v>10</v>
      </c>
      <c r="FN66">
        <f t="shared" si="936"/>
        <v>10</v>
      </c>
      <c r="FO66">
        <f t="shared" si="937"/>
        <v>10</v>
      </c>
      <c r="FP66">
        <f t="shared" si="938"/>
        <v>10</v>
      </c>
      <c r="FQ66">
        <f t="shared" si="939"/>
        <v>10</v>
      </c>
      <c r="FR66">
        <f t="shared" si="940"/>
        <v>10</v>
      </c>
      <c r="FS66">
        <f t="shared" si="941"/>
        <v>10</v>
      </c>
      <c r="FT66">
        <f t="shared" si="942"/>
        <v>10</v>
      </c>
      <c r="FU66">
        <f t="shared" si="943"/>
        <v>10</v>
      </c>
      <c r="FV66">
        <f t="shared" si="944"/>
        <v>10</v>
      </c>
      <c r="FW66">
        <f t="shared" si="945"/>
        <v>10</v>
      </c>
      <c r="FX66">
        <f t="shared" si="946"/>
        <v>10</v>
      </c>
      <c r="FY66">
        <f t="shared" si="947"/>
        <v>10</v>
      </c>
      <c r="FZ66">
        <f t="shared" si="948"/>
        <v>10</v>
      </c>
      <c r="GA66">
        <f t="shared" si="949"/>
        <v>10</v>
      </c>
      <c r="GB66">
        <f t="shared" si="950"/>
        <v>10</v>
      </c>
      <c r="GC66">
        <f t="shared" si="951"/>
        <v>10</v>
      </c>
      <c r="GD66">
        <f t="shared" si="952"/>
        <v>10</v>
      </c>
      <c r="GE66">
        <f t="shared" si="953"/>
        <v>10</v>
      </c>
      <c r="GF66">
        <f t="shared" si="954"/>
        <v>10</v>
      </c>
      <c r="GG66">
        <f t="shared" si="955"/>
        <v>10</v>
      </c>
      <c r="GH66">
        <f t="shared" si="956"/>
        <v>10</v>
      </c>
      <c r="GI66">
        <f t="shared" si="957"/>
        <v>10</v>
      </c>
      <c r="GJ66">
        <f t="shared" si="958"/>
        <v>10</v>
      </c>
      <c r="GK66">
        <f t="shared" si="959"/>
        <v>10</v>
      </c>
      <c r="GL66">
        <f t="shared" si="960"/>
        <v>10</v>
      </c>
      <c r="GM66">
        <f t="shared" si="961"/>
        <v>10</v>
      </c>
      <c r="GN66">
        <f t="shared" si="962"/>
        <v>10</v>
      </c>
      <c r="GO66">
        <f t="shared" si="963"/>
        <v>10</v>
      </c>
      <c r="GP66">
        <f t="shared" si="964"/>
        <v>10</v>
      </c>
      <c r="GQ66">
        <f t="shared" si="965"/>
        <v>10</v>
      </c>
      <c r="GR66">
        <f t="shared" si="966"/>
        <v>10</v>
      </c>
      <c r="GS66">
        <f t="shared" si="967"/>
        <v>10</v>
      </c>
      <c r="GT66">
        <f t="shared" si="968"/>
        <v>10</v>
      </c>
      <c r="GU66">
        <f t="shared" si="969"/>
        <v>10</v>
      </c>
      <c r="GV66">
        <f t="shared" si="970"/>
        <v>10</v>
      </c>
      <c r="GW66">
        <f t="shared" si="971"/>
        <v>10</v>
      </c>
      <c r="GX66">
        <f t="shared" si="972"/>
        <v>10</v>
      </c>
      <c r="GY66">
        <f t="shared" si="973"/>
        <v>10</v>
      </c>
      <c r="GZ66">
        <f t="shared" si="974"/>
        <v>10</v>
      </c>
      <c r="HA66">
        <f t="shared" si="975"/>
        <v>10</v>
      </c>
      <c r="HB66">
        <f t="shared" si="976"/>
        <v>10</v>
      </c>
      <c r="HC66">
        <f t="shared" si="977"/>
        <v>10</v>
      </c>
      <c r="HD66">
        <f t="shared" si="978"/>
        <v>10</v>
      </c>
      <c r="HE66">
        <f t="shared" si="979"/>
        <v>10</v>
      </c>
      <c r="HF66">
        <f t="shared" si="980"/>
        <v>10</v>
      </c>
      <c r="HG66">
        <f t="shared" si="981"/>
        <v>10</v>
      </c>
      <c r="HH66">
        <f t="shared" si="982"/>
        <v>10</v>
      </c>
      <c r="HI66">
        <f t="shared" si="983"/>
        <v>10</v>
      </c>
      <c r="HJ66">
        <f t="shared" si="984"/>
        <v>10</v>
      </c>
      <c r="HK66">
        <f t="shared" si="985"/>
        <v>10</v>
      </c>
      <c r="HL66">
        <f t="shared" si="986"/>
        <v>10</v>
      </c>
      <c r="HM66">
        <f t="shared" si="987"/>
        <v>10</v>
      </c>
      <c r="HN66">
        <f t="shared" si="988"/>
        <v>10</v>
      </c>
      <c r="HO66">
        <f t="shared" si="989"/>
        <v>10</v>
      </c>
      <c r="HP66">
        <f t="shared" si="990"/>
        <v>10</v>
      </c>
      <c r="HQ66">
        <f t="shared" si="991"/>
        <v>10</v>
      </c>
      <c r="HR66">
        <f t="shared" si="992"/>
        <v>10</v>
      </c>
      <c r="HS66">
        <f t="shared" si="993"/>
        <v>10</v>
      </c>
      <c r="HT66">
        <f t="shared" si="994"/>
        <v>10</v>
      </c>
      <c r="HU66">
        <f t="shared" si="995"/>
        <v>10</v>
      </c>
      <c r="HV66">
        <f t="shared" si="996"/>
        <v>10</v>
      </c>
      <c r="HW66">
        <f t="shared" si="997"/>
        <v>10</v>
      </c>
      <c r="HX66">
        <f t="shared" si="998"/>
        <v>10</v>
      </c>
      <c r="HY66">
        <f t="shared" si="999"/>
        <v>10</v>
      </c>
      <c r="HZ66">
        <f t="shared" si="1000"/>
        <v>10</v>
      </c>
      <c r="IA66">
        <f t="shared" si="1001"/>
        <v>10</v>
      </c>
      <c r="IB66">
        <f t="shared" si="1002"/>
        <v>10</v>
      </c>
      <c r="IC66">
        <f t="shared" si="1003"/>
        <v>10</v>
      </c>
      <c r="ID66">
        <f t="shared" si="1004"/>
        <v>10</v>
      </c>
      <c r="IE66">
        <f t="shared" si="1005"/>
        <v>10</v>
      </c>
      <c r="IF66">
        <f t="shared" si="1006"/>
        <v>10</v>
      </c>
      <c r="IG66">
        <f t="shared" si="1007"/>
        <v>10</v>
      </c>
      <c r="IH66">
        <f t="shared" si="1008"/>
        <v>10</v>
      </c>
      <c r="II66">
        <f t="shared" si="1009"/>
        <v>10</v>
      </c>
      <c r="IJ66">
        <f t="shared" si="1010"/>
        <v>10</v>
      </c>
      <c r="IK66">
        <f t="shared" si="1011"/>
        <v>10</v>
      </c>
      <c r="IL66">
        <f t="shared" si="1012"/>
        <v>10</v>
      </c>
      <c r="IM66">
        <f t="shared" si="1013"/>
        <v>10</v>
      </c>
      <c r="IN66">
        <f t="shared" si="1014"/>
        <v>10</v>
      </c>
      <c r="IO66">
        <f t="shared" si="1015"/>
        <v>10</v>
      </c>
      <c r="IP66">
        <f t="shared" si="1016"/>
        <v>10</v>
      </c>
      <c r="IQ66">
        <f t="shared" si="1017"/>
        <v>10</v>
      </c>
      <c r="IR66">
        <f t="shared" si="1018"/>
        <v>10</v>
      </c>
      <c r="IS66">
        <f t="shared" si="1019"/>
        <v>10</v>
      </c>
      <c r="IT66">
        <f t="shared" si="1020"/>
        <v>10</v>
      </c>
      <c r="IU66">
        <f t="shared" si="1021"/>
        <v>10</v>
      </c>
      <c r="IV66">
        <f t="shared" si="1022"/>
        <v>10</v>
      </c>
    </row>
    <row r="67" spans="1:256" x14ac:dyDescent="0.2">
      <c r="A67" t="s">
        <v>538</v>
      </c>
      <c r="B67">
        <f t="shared" si="768"/>
        <v>10</v>
      </c>
      <c r="C67">
        <f t="shared" si="769"/>
        <v>10</v>
      </c>
      <c r="D67">
        <f t="shared" si="770"/>
        <v>10</v>
      </c>
      <c r="E67">
        <f t="shared" si="771"/>
        <v>10</v>
      </c>
      <c r="F67">
        <f t="shared" si="772"/>
        <v>10</v>
      </c>
      <c r="G67">
        <f t="shared" si="773"/>
        <v>10</v>
      </c>
      <c r="H67">
        <f t="shared" si="774"/>
        <v>10</v>
      </c>
      <c r="I67">
        <f t="shared" si="775"/>
        <v>10</v>
      </c>
      <c r="J67">
        <f t="shared" si="776"/>
        <v>10</v>
      </c>
      <c r="K67">
        <f t="shared" si="777"/>
        <v>10</v>
      </c>
      <c r="L67">
        <f t="shared" si="778"/>
        <v>10</v>
      </c>
      <c r="M67">
        <f t="shared" si="779"/>
        <v>10</v>
      </c>
      <c r="N67">
        <f t="shared" si="780"/>
        <v>10</v>
      </c>
      <c r="O67">
        <f t="shared" si="781"/>
        <v>10</v>
      </c>
      <c r="P67">
        <f t="shared" si="782"/>
        <v>10</v>
      </c>
      <c r="Q67">
        <f t="shared" si="783"/>
        <v>10</v>
      </c>
      <c r="R67">
        <f t="shared" si="784"/>
        <v>10</v>
      </c>
      <c r="S67">
        <f t="shared" si="785"/>
        <v>10</v>
      </c>
      <c r="T67">
        <f t="shared" si="786"/>
        <v>10</v>
      </c>
      <c r="U67">
        <f t="shared" si="787"/>
        <v>10</v>
      </c>
      <c r="V67">
        <f t="shared" si="788"/>
        <v>10</v>
      </c>
      <c r="W67">
        <f t="shared" si="789"/>
        <v>10</v>
      </c>
      <c r="X67">
        <f t="shared" si="790"/>
        <v>10</v>
      </c>
      <c r="Y67">
        <f t="shared" si="791"/>
        <v>10</v>
      </c>
      <c r="Z67">
        <f t="shared" si="792"/>
        <v>10</v>
      </c>
      <c r="AA67">
        <f t="shared" si="793"/>
        <v>10</v>
      </c>
      <c r="AB67">
        <f t="shared" si="794"/>
        <v>10</v>
      </c>
      <c r="AC67">
        <f t="shared" si="795"/>
        <v>10</v>
      </c>
      <c r="AD67">
        <f t="shared" si="796"/>
        <v>10</v>
      </c>
      <c r="AE67">
        <f t="shared" si="797"/>
        <v>10</v>
      </c>
      <c r="AF67">
        <f t="shared" si="798"/>
        <v>10</v>
      </c>
      <c r="AG67">
        <f t="shared" si="799"/>
        <v>10</v>
      </c>
      <c r="AH67">
        <f t="shared" si="800"/>
        <v>10</v>
      </c>
      <c r="AI67">
        <f t="shared" si="801"/>
        <v>10</v>
      </c>
      <c r="AJ67">
        <f t="shared" si="802"/>
        <v>10</v>
      </c>
      <c r="AK67">
        <f t="shared" si="803"/>
        <v>10</v>
      </c>
      <c r="AL67">
        <f t="shared" si="804"/>
        <v>10</v>
      </c>
      <c r="AM67">
        <f t="shared" si="805"/>
        <v>10</v>
      </c>
      <c r="AN67">
        <f t="shared" si="806"/>
        <v>10</v>
      </c>
      <c r="AO67">
        <f t="shared" si="807"/>
        <v>10</v>
      </c>
      <c r="AP67">
        <f t="shared" si="808"/>
        <v>10</v>
      </c>
      <c r="AQ67">
        <f t="shared" si="809"/>
        <v>10</v>
      </c>
      <c r="AR67">
        <f t="shared" si="810"/>
        <v>10</v>
      </c>
      <c r="AS67">
        <f t="shared" si="811"/>
        <v>10</v>
      </c>
      <c r="AT67">
        <f t="shared" si="812"/>
        <v>10</v>
      </c>
      <c r="AU67">
        <f t="shared" si="813"/>
        <v>10</v>
      </c>
      <c r="AV67">
        <f t="shared" si="814"/>
        <v>10</v>
      </c>
      <c r="AW67">
        <f t="shared" si="815"/>
        <v>10</v>
      </c>
      <c r="AX67">
        <f t="shared" si="816"/>
        <v>10</v>
      </c>
      <c r="AY67">
        <f t="shared" si="817"/>
        <v>10</v>
      </c>
      <c r="AZ67">
        <f t="shared" si="818"/>
        <v>10</v>
      </c>
      <c r="BA67">
        <f t="shared" si="819"/>
        <v>10</v>
      </c>
      <c r="BB67">
        <f t="shared" si="820"/>
        <v>10</v>
      </c>
      <c r="BC67">
        <f t="shared" si="821"/>
        <v>10</v>
      </c>
      <c r="BD67">
        <f t="shared" si="822"/>
        <v>10</v>
      </c>
      <c r="BE67">
        <f t="shared" si="823"/>
        <v>10</v>
      </c>
      <c r="BF67">
        <f t="shared" si="824"/>
        <v>10</v>
      </c>
      <c r="BG67">
        <f t="shared" si="825"/>
        <v>10</v>
      </c>
      <c r="BH67">
        <f t="shared" si="826"/>
        <v>10</v>
      </c>
      <c r="BI67">
        <f t="shared" si="827"/>
        <v>10</v>
      </c>
      <c r="BJ67">
        <f t="shared" si="828"/>
        <v>10</v>
      </c>
      <c r="BK67">
        <f t="shared" si="829"/>
        <v>10</v>
      </c>
      <c r="BL67">
        <f t="shared" si="830"/>
        <v>10</v>
      </c>
      <c r="BM67">
        <f t="shared" si="831"/>
        <v>10</v>
      </c>
      <c r="BN67">
        <f t="shared" si="832"/>
        <v>10</v>
      </c>
      <c r="BO67">
        <f t="shared" si="833"/>
        <v>10</v>
      </c>
      <c r="BP67">
        <f t="shared" si="834"/>
        <v>10</v>
      </c>
      <c r="BQ67">
        <f t="shared" si="835"/>
        <v>10</v>
      </c>
      <c r="BR67">
        <f t="shared" si="836"/>
        <v>10</v>
      </c>
      <c r="BS67">
        <f t="shared" si="837"/>
        <v>10</v>
      </c>
      <c r="BT67">
        <f t="shared" si="838"/>
        <v>10</v>
      </c>
      <c r="BU67">
        <f t="shared" si="839"/>
        <v>10</v>
      </c>
      <c r="BV67">
        <f t="shared" si="840"/>
        <v>10</v>
      </c>
      <c r="BW67">
        <f t="shared" si="841"/>
        <v>10</v>
      </c>
      <c r="BX67">
        <f t="shared" si="842"/>
        <v>10</v>
      </c>
      <c r="BY67">
        <f t="shared" si="843"/>
        <v>10</v>
      </c>
      <c r="BZ67">
        <f t="shared" si="844"/>
        <v>10</v>
      </c>
      <c r="CA67">
        <f t="shared" si="845"/>
        <v>10</v>
      </c>
      <c r="CB67">
        <f t="shared" si="846"/>
        <v>10</v>
      </c>
      <c r="CC67">
        <f t="shared" si="847"/>
        <v>10</v>
      </c>
      <c r="CD67">
        <f t="shared" si="848"/>
        <v>10</v>
      </c>
      <c r="CE67">
        <f t="shared" si="849"/>
        <v>10</v>
      </c>
      <c r="CF67">
        <f t="shared" si="850"/>
        <v>10</v>
      </c>
      <c r="CG67">
        <f t="shared" si="851"/>
        <v>10</v>
      </c>
      <c r="CH67">
        <f t="shared" si="852"/>
        <v>10</v>
      </c>
      <c r="CI67">
        <f t="shared" si="853"/>
        <v>10</v>
      </c>
      <c r="CJ67">
        <f t="shared" si="854"/>
        <v>10</v>
      </c>
      <c r="CK67">
        <f t="shared" si="855"/>
        <v>10</v>
      </c>
      <c r="CL67">
        <f t="shared" si="856"/>
        <v>10</v>
      </c>
      <c r="CM67">
        <f t="shared" si="857"/>
        <v>10</v>
      </c>
      <c r="CN67">
        <f t="shared" si="858"/>
        <v>10</v>
      </c>
      <c r="CO67">
        <f t="shared" si="859"/>
        <v>10</v>
      </c>
      <c r="CP67">
        <f t="shared" si="860"/>
        <v>10</v>
      </c>
      <c r="CQ67">
        <f t="shared" si="861"/>
        <v>10</v>
      </c>
      <c r="CR67">
        <f t="shared" si="862"/>
        <v>10</v>
      </c>
      <c r="CS67">
        <f t="shared" si="863"/>
        <v>10</v>
      </c>
      <c r="CT67">
        <f t="shared" si="864"/>
        <v>10</v>
      </c>
      <c r="CU67">
        <f t="shared" si="865"/>
        <v>10</v>
      </c>
      <c r="CV67">
        <f t="shared" si="866"/>
        <v>10</v>
      </c>
      <c r="CW67">
        <f t="shared" si="867"/>
        <v>10</v>
      </c>
      <c r="CX67">
        <f t="shared" si="868"/>
        <v>10</v>
      </c>
      <c r="CY67">
        <f t="shared" si="869"/>
        <v>10</v>
      </c>
      <c r="CZ67">
        <f t="shared" si="870"/>
        <v>10</v>
      </c>
      <c r="DA67">
        <f t="shared" si="871"/>
        <v>10</v>
      </c>
      <c r="DB67">
        <f t="shared" si="872"/>
        <v>10</v>
      </c>
      <c r="DC67">
        <f t="shared" si="873"/>
        <v>10</v>
      </c>
      <c r="DD67">
        <f t="shared" si="874"/>
        <v>10</v>
      </c>
      <c r="DE67">
        <f t="shared" si="875"/>
        <v>10</v>
      </c>
      <c r="DF67">
        <f t="shared" si="876"/>
        <v>10</v>
      </c>
      <c r="DG67">
        <f t="shared" si="877"/>
        <v>10</v>
      </c>
      <c r="DH67">
        <f t="shared" si="878"/>
        <v>10</v>
      </c>
      <c r="DI67">
        <f t="shared" si="879"/>
        <v>10</v>
      </c>
      <c r="DJ67">
        <f t="shared" si="880"/>
        <v>10</v>
      </c>
      <c r="DK67">
        <f t="shared" si="881"/>
        <v>10</v>
      </c>
      <c r="DL67">
        <f t="shared" si="882"/>
        <v>10</v>
      </c>
      <c r="DM67">
        <f t="shared" si="883"/>
        <v>10</v>
      </c>
      <c r="DN67">
        <f t="shared" si="884"/>
        <v>10</v>
      </c>
      <c r="DO67">
        <f t="shared" si="885"/>
        <v>10</v>
      </c>
      <c r="DP67">
        <f t="shared" si="886"/>
        <v>10</v>
      </c>
      <c r="DQ67">
        <f t="shared" si="887"/>
        <v>10</v>
      </c>
      <c r="DR67">
        <f t="shared" si="888"/>
        <v>10</v>
      </c>
      <c r="DS67">
        <f t="shared" si="889"/>
        <v>10</v>
      </c>
      <c r="DT67">
        <f t="shared" si="890"/>
        <v>10</v>
      </c>
      <c r="DU67">
        <f t="shared" si="891"/>
        <v>10</v>
      </c>
      <c r="DV67">
        <f t="shared" si="892"/>
        <v>10</v>
      </c>
      <c r="DW67">
        <f t="shared" si="893"/>
        <v>10</v>
      </c>
      <c r="DX67">
        <f t="shared" si="894"/>
        <v>10</v>
      </c>
      <c r="DY67">
        <f t="shared" si="895"/>
        <v>10</v>
      </c>
      <c r="DZ67">
        <f t="shared" si="896"/>
        <v>10</v>
      </c>
      <c r="EA67">
        <f t="shared" si="897"/>
        <v>10</v>
      </c>
      <c r="EB67">
        <f t="shared" si="898"/>
        <v>10</v>
      </c>
      <c r="EC67">
        <f t="shared" si="899"/>
        <v>10</v>
      </c>
      <c r="ED67">
        <f t="shared" si="900"/>
        <v>10</v>
      </c>
      <c r="EE67">
        <f t="shared" si="901"/>
        <v>10</v>
      </c>
      <c r="EF67">
        <f t="shared" si="902"/>
        <v>10</v>
      </c>
      <c r="EG67">
        <f t="shared" si="903"/>
        <v>10</v>
      </c>
      <c r="EH67">
        <f t="shared" si="904"/>
        <v>10</v>
      </c>
      <c r="EI67">
        <f t="shared" si="905"/>
        <v>10</v>
      </c>
      <c r="EJ67">
        <f t="shared" si="906"/>
        <v>10</v>
      </c>
      <c r="EK67">
        <f t="shared" si="907"/>
        <v>10</v>
      </c>
      <c r="EL67">
        <f t="shared" si="908"/>
        <v>10</v>
      </c>
      <c r="EM67">
        <f t="shared" si="909"/>
        <v>10</v>
      </c>
      <c r="EN67">
        <f t="shared" si="910"/>
        <v>10</v>
      </c>
      <c r="EO67">
        <f t="shared" si="911"/>
        <v>10</v>
      </c>
      <c r="EP67">
        <f t="shared" si="912"/>
        <v>10</v>
      </c>
      <c r="EQ67">
        <f t="shared" si="913"/>
        <v>10</v>
      </c>
      <c r="ER67">
        <f t="shared" si="914"/>
        <v>10</v>
      </c>
      <c r="ES67">
        <f t="shared" si="915"/>
        <v>10</v>
      </c>
      <c r="ET67">
        <f t="shared" si="916"/>
        <v>10</v>
      </c>
      <c r="EU67">
        <f t="shared" si="917"/>
        <v>10</v>
      </c>
      <c r="EV67">
        <f t="shared" si="918"/>
        <v>10</v>
      </c>
      <c r="EW67">
        <f t="shared" si="919"/>
        <v>10</v>
      </c>
      <c r="EX67">
        <f t="shared" si="920"/>
        <v>10</v>
      </c>
      <c r="EY67">
        <f t="shared" si="921"/>
        <v>10</v>
      </c>
      <c r="EZ67">
        <f t="shared" si="922"/>
        <v>10</v>
      </c>
      <c r="FA67">
        <f t="shared" si="923"/>
        <v>10</v>
      </c>
      <c r="FB67">
        <f t="shared" si="924"/>
        <v>10</v>
      </c>
      <c r="FC67">
        <f t="shared" si="925"/>
        <v>10</v>
      </c>
      <c r="FD67">
        <f t="shared" si="926"/>
        <v>10</v>
      </c>
      <c r="FE67">
        <f t="shared" si="927"/>
        <v>10</v>
      </c>
      <c r="FF67">
        <f t="shared" si="928"/>
        <v>10</v>
      </c>
      <c r="FG67">
        <f t="shared" si="929"/>
        <v>10</v>
      </c>
      <c r="FH67">
        <f t="shared" si="930"/>
        <v>10</v>
      </c>
      <c r="FI67">
        <f t="shared" si="931"/>
        <v>10</v>
      </c>
      <c r="FJ67">
        <f t="shared" si="932"/>
        <v>10</v>
      </c>
      <c r="FK67">
        <f t="shared" si="933"/>
        <v>10</v>
      </c>
      <c r="FL67">
        <f t="shared" si="934"/>
        <v>10</v>
      </c>
      <c r="FM67">
        <f t="shared" si="935"/>
        <v>10</v>
      </c>
      <c r="FN67">
        <f t="shared" si="936"/>
        <v>10</v>
      </c>
      <c r="FO67">
        <f t="shared" si="937"/>
        <v>10</v>
      </c>
      <c r="FP67">
        <f t="shared" si="938"/>
        <v>10</v>
      </c>
      <c r="FQ67">
        <f t="shared" si="939"/>
        <v>10</v>
      </c>
      <c r="FR67">
        <f t="shared" si="940"/>
        <v>10</v>
      </c>
      <c r="FS67">
        <f t="shared" si="941"/>
        <v>10</v>
      </c>
      <c r="FT67">
        <f t="shared" si="942"/>
        <v>10</v>
      </c>
      <c r="FU67">
        <f t="shared" si="943"/>
        <v>10</v>
      </c>
      <c r="FV67">
        <f t="shared" si="944"/>
        <v>10</v>
      </c>
      <c r="FW67">
        <f t="shared" si="945"/>
        <v>10</v>
      </c>
      <c r="FX67">
        <f t="shared" si="946"/>
        <v>10</v>
      </c>
      <c r="FY67">
        <f t="shared" si="947"/>
        <v>10</v>
      </c>
      <c r="FZ67">
        <f t="shared" si="948"/>
        <v>10</v>
      </c>
      <c r="GA67">
        <f t="shared" si="949"/>
        <v>10</v>
      </c>
      <c r="GB67">
        <f t="shared" si="950"/>
        <v>10</v>
      </c>
      <c r="GC67">
        <f t="shared" si="951"/>
        <v>10</v>
      </c>
      <c r="GD67">
        <f t="shared" si="952"/>
        <v>10</v>
      </c>
      <c r="GE67">
        <f t="shared" si="953"/>
        <v>10</v>
      </c>
      <c r="GF67">
        <f t="shared" si="954"/>
        <v>10</v>
      </c>
      <c r="GG67">
        <f t="shared" si="955"/>
        <v>10</v>
      </c>
      <c r="GH67">
        <f t="shared" si="956"/>
        <v>10</v>
      </c>
      <c r="GI67">
        <f t="shared" si="957"/>
        <v>10</v>
      </c>
      <c r="GJ67">
        <f t="shared" si="958"/>
        <v>10</v>
      </c>
      <c r="GK67">
        <f t="shared" si="959"/>
        <v>10</v>
      </c>
      <c r="GL67">
        <f t="shared" si="960"/>
        <v>10</v>
      </c>
      <c r="GM67">
        <f t="shared" si="961"/>
        <v>10</v>
      </c>
      <c r="GN67">
        <f t="shared" si="962"/>
        <v>10</v>
      </c>
      <c r="GO67">
        <f t="shared" si="963"/>
        <v>10</v>
      </c>
      <c r="GP67">
        <f t="shared" si="964"/>
        <v>10</v>
      </c>
      <c r="GQ67">
        <f t="shared" si="965"/>
        <v>10</v>
      </c>
      <c r="GR67">
        <f t="shared" si="966"/>
        <v>10</v>
      </c>
      <c r="GS67">
        <f t="shared" si="967"/>
        <v>10</v>
      </c>
      <c r="GT67">
        <f t="shared" si="968"/>
        <v>10</v>
      </c>
      <c r="GU67">
        <f t="shared" si="969"/>
        <v>10</v>
      </c>
      <c r="GV67">
        <f t="shared" si="970"/>
        <v>10</v>
      </c>
      <c r="GW67">
        <f t="shared" si="971"/>
        <v>10</v>
      </c>
      <c r="GX67">
        <f t="shared" si="972"/>
        <v>10</v>
      </c>
      <c r="GY67">
        <f t="shared" si="973"/>
        <v>10</v>
      </c>
      <c r="GZ67">
        <f t="shared" si="974"/>
        <v>10</v>
      </c>
      <c r="HA67">
        <f t="shared" si="975"/>
        <v>10</v>
      </c>
      <c r="HB67">
        <f t="shared" si="976"/>
        <v>10</v>
      </c>
      <c r="HC67">
        <f t="shared" si="977"/>
        <v>10</v>
      </c>
      <c r="HD67">
        <f t="shared" si="978"/>
        <v>10</v>
      </c>
      <c r="HE67">
        <f t="shared" si="979"/>
        <v>10</v>
      </c>
      <c r="HF67">
        <f t="shared" si="980"/>
        <v>10</v>
      </c>
      <c r="HG67">
        <f t="shared" si="981"/>
        <v>10</v>
      </c>
      <c r="HH67">
        <f t="shared" si="982"/>
        <v>10</v>
      </c>
      <c r="HI67">
        <f t="shared" si="983"/>
        <v>10</v>
      </c>
      <c r="HJ67">
        <f t="shared" si="984"/>
        <v>10</v>
      </c>
      <c r="HK67">
        <f t="shared" si="985"/>
        <v>10</v>
      </c>
      <c r="HL67">
        <f t="shared" si="986"/>
        <v>10</v>
      </c>
      <c r="HM67">
        <f t="shared" si="987"/>
        <v>10</v>
      </c>
      <c r="HN67">
        <f t="shared" si="988"/>
        <v>10</v>
      </c>
      <c r="HO67">
        <f t="shared" si="989"/>
        <v>10</v>
      </c>
      <c r="HP67">
        <f t="shared" si="990"/>
        <v>10</v>
      </c>
      <c r="HQ67">
        <f t="shared" si="991"/>
        <v>10</v>
      </c>
      <c r="HR67">
        <f t="shared" si="992"/>
        <v>10</v>
      </c>
      <c r="HS67">
        <f t="shared" si="993"/>
        <v>10</v>
      </c>
      <c r="HT67">
        <f t="shared" si="994"/>
        <v>10</v>
      </c>
      <c r="HU67">
        <f t="shared" si="995"/>
        <v>10</v>
      </c>
      <c r="HV67">
        <f t="shared" si="996"/>
        <v>10</v>
      </c>
      <c r="HW67">
        <f t="shared" si="997"/>
        <v>10</v>
      </c>
      <c r="HX67">
        <f t="shared" si="998"/>
        <v>10</v>
      </c>
      <c r="HY67">
        <f t="shared" si="999"/>
        <v>10</v>
      </c>
      <c r="HZ67">
        <f t="shared" si="1000"/>
        <v>10</v>
      </c>
      <c r="IA67">
        <f t="shared" si="1001"/>
        <v>10</v>
      </c>
      <c r="IB67">
        <f t="shared" si="1002"/>
        <v>10</v>
      </c>
      <c r="IC67">
        <f t="shared" si="1003"/>
        <v>10</v>
      </c>
      <c r="ID67">
        <f t="shared" si="1004"/>
        <v>10</v>
      </c>
      <c r="IE67">
        <f t="shared" si="1005"/>
        <v>10</v>
      </c>
      <c r="IF67">
        <f t="shared" si="1006"/>
        <v>10</v>
      </c>
      <c r="IG67">
        <f t="shared" si="1007"/>
        <v>10</v>
      </c>
      <c r="IH67">
        <f t="shared" si="1008"/>
        <v>10</v>
      </c>
      <c r="II67">
        <f t="shared" si="1009"/>
        <v>10</v>
      </c>
      <c r="IJ67">
        <f t="shared" si="1010"/>
        <v>10</v>
      </c>
      <c r="IK67">
        <f t="shared" si="1011"/>
        <v>10</v>
      </c>
      <c r="IL67">
        <f t="shared" si="1012"/>
        <v>10</v>
      </c>
      <c r="IM67">
        <f t="shared" si="1013"/>
        <v>10</v>
      </c>
      <c r="IN67">
        <f t="shared" si="1014"/>
        <v>10</v>
      </c>
      <c r="IO67">
        <f t="shared" si="1015"/>
        <v>10</v>
      </c>
      <c r="IP67">
        <f t="shared" si="1016"/>
        <v>10</v>
      </c>
      <c r="IQ67">
        <f t="shared" si="1017"/>
        <v>10</v>
      </c>
      <c r="IR67">
        <f t="shared" si="1018"/>
        <v>10</v>
      </c>
      <c r="IS67">
        <f t="shared" si="1019"/>
        <v>10</v>
      </c>
      <c r="IT67">
        <f t="shared" si="1020"/>
        <v>10</v>
      </c>
      <c r="IU67">
        <f t="shared" si="1021"/>
        <v>10</v>
      </c>
      <c r="IV67">
        <f t="shared" si="1022"/>
        <v>10</v>
      </c>
    </row>
    <row r="68" spans="1:256" x14ac:dyDescent="0.2">
      <c r="A68" t="s">
        <v>539</v>
      </c>
      <c r="B68">
        <f t="shared" si="768"/>
        <v>10</v>
      </c>
      <c r="C68">
        <f t="shared" si="769"/>
        <v>10</v>
      </c>
      <c r="D68">
        <f t="shared" si="770"/>
        <v>10</v>
      </c>
      <c r="E68">
        <f t="shared" si="771"/>
        <v>10</v>
      </c>
      <c r="F68">
        <f t="shared" si="772"/>
        <v>10</v>
      </c>
      <c r="G68">
        <f t="shared" si="773"/>
        <v>10</v>
      </c>
      <c r="H68">
        <f t="shared" si="774"/>
        <v>10</v>
      </c>
      <c r="I68">
        <f t="shared" si="775"/>
        <v>10</v>
      </c>
      <c r="J68">
        <f t="shared" si="776"/>
        <v>10</v>
      </c>
      <c r="K68">
        <f t="shared" si="777"/>
        <v>10</v>
      </c>
      <c r="L68">
        <f t="shared" si="778"/>
        <v>10</v>
      </c>
      <c r="M68">
        <f t="shared" si="779"/>
        <v>10</v>
      </c>
      <c r="N68">
        <f t="shared" si="780"/>
        <v>10</v>
      </c>
      <c r="O68">
        <f t="shared" si="781"/>
        <v>10</v>
      </c>
      <c r="P68">
        <f t="shared" si="782"/>
        <v>10</v>
      </c>
      <c r="Q68">
        <f t="shared" si="783"/>
        <v>10</v>
      </c>
      <c r="R68">
        <f t="shared" si="784"/>
        <v>10</v>
      </c>
      <c r="S68">
        <f t="shared" si="785"/>
        <v>10</v>
      </c>
      <c r="T68">
        <f t="shared" si="786"/>
        <v>10</v>
      </c>
      <c r="U68">
        <f t="shared" si="787"/>
        <v>10</v>
      </c>
      <c r="V68">
        <f t="shared" si="788"/>
        <v>10</v>
      </c>
      <c r="W68">
        <f t="shared" si="789"/>
        <v>10</v>
      </c>
      <c r="X68">
        <f t="shared" si="790"/>
        <v>10</v>
      </c>
      <c r="Y68">
        <f t="shared" si="791"/>
        <v>10</v>
      </c>
      <c r="Z68">
        <f t="shared" si="792"/>
        <v>10</v>
      </c>
      <c r="AA68">
        <f t="shared" si="793"/>
        <v>10</v>
      </c>
      <c r="AB68">
        <f t="shared" si="794"/>
        <v>10</v>
      </c>
      <c r="AC68">
        <f t="shared" si="795"/>
        <v>10</v>
      </c>
      <c r="AD68">
        <f t="shared" si="796"/>
        <v>10</v>
      </c>
      <c r="AE68">
        <f t="shared" si="797"/>
        <v>10</v>
      </c>
      <c r="AF68">
        <f t="shared" si="798"/>
        <v>10</v>
      </c>
      <c r="AG68">
        <f t="shared" si="799"/>
        <v>10</v>
      </c>
      <c r="AH68">
        <f t="shared" si="800"/>
        <v>10</v>
      </c>
      <c r="AI68">
        <f t="shared" si="801"/>
        <v>10</v>
      </c>
      <c r="AJ68">
        <f t="shared" si="802"/>
        <v>10</v>
      </c>
      <c r="AK68">
        <f t="shared" si="803"/>
        <v>10</v>
      </c>
      <c r="AL68">
        <f t="shared" si="804"/>
        <v>10</v>
      </c>
      <c r="AM68">
        <f t="shared" si="805"/>
        <v>10</v>
      </c>
      <c r="AN68">
        <f t="shared" si="806"/>
        <v>10</v>
      </c>
      <c r="AO68">
        <f t="shared" si="807"/>
        <v>10</v>
      </c>
      <c r="AP68">
        <f t="shared" si="808"/>
        <v>10</v>
      </c>
      <c r="AQ68">
        <f t="shared" si="809"/>
        <v>10</v>
      </c>
      <c r="AR68">
        <f t="shared" si="810"/>
        <v>10</v>
      </c>
      <c r="AS68">
        <f t="shared" si="811"/>
        <v>10</v>
      </c>
      <c r="AT68">
        <f t="shared" si="812"/>
        <v>10</v>
      </c>
      <c r="AU68">
        <f t="shared" si="813"/>
        <v>10</v>
      </c>
      <c r="AV68">
        <f t="shared" si="814"/>
        <v>10</v>
      </c>
      <c r="AW68">
        <f t="shared" si="815"/>
        <v>10</v>
      </c>
      <c r="AX68">
        <f t="shared" si="816"/>
        <v>10</v>
      </c>
      <c r="AY68">
        <f t="shared" si="817"/>
        <v>10</v>
      </c>
      <c r="AZ68">
        <f t="shared" si="818"/>
        <v>10</v>
      </c>
      <c r="BA68">
        <f t="shared" si="819"/>
        <v>10</v>
      </c>
      <c r="BB68">
        <f t="shared" si="820"/>
        <v>10</v>
      </c>
      <c r="BC68">
        <f t="shared" si="821"/>
        <v>10</v>
      </c>
      <c r="BD68">
        <f t="shared" si="822"/>
        <v>10</v>
      </c>
      <c r="BE68">
        <f t="shared" si="823"/>
        <v>10</v>
      </c>
      <c r="BF68">
        <f t="shared" si="824"/>
        <v>10</v>
      </c>
      <c r="BG68">
        <f t="shared" si="825"/>
        <v>10</v>
      </c>
      <c r="BH68">
        <f t="shared" si="826"/>
        <v>10</v>
      </c>
      <c r="BI68">
        <f t="shared" si="827"/>
        <v>10</v>
      </c>
      <c r="BJ68">
        <f t="shared" si="828"/>
        <v>10</v>
      </c>
      <c r="BK68">
        <f t="shared" si="829"/>
        <v>10</v>
      </c>
      <c r="BL68">
        <f t="shared" si="830"/>
        <v>10</v>
      </c>
      <c r="BM68">
        <f t="shared" si="831"/>
        <v>10</v>
      </c>
      <c r="BN68">
        <f t="shared" si="832"/>
        <v>10</v>
      </c>
      <c r="BO68">
        <f t="shared" si="833"/>
        <v>10</v>
      </c>
      <c r="BP68">
        <f t="shared" si="834"/>
        <v>10</v>
      </c>
      <c r="BQ68">
        <f t="shared" si="835"/>
        <v>10</v>
      </c>
      <c r="BR68">
        <f t="shared" si="836"/>
        <v>10</v>
      </c>
      <c r="BS68">
        <f t="shared" si="837"/>
        <v>10</v>
      </c>
      <c r="BT68">
        <f t="shared" si="838"/>
        <v>10</v>
      </c>
      <c r="BU68">
        <f t="shared" si="839"/>
        <v>10</v>
      </c>
      <c r="BV68">
        <f t="shared" si="840"/>
        <v>10</v>
      </c>
      <c r="BW68">
        <f t="shared" si="841"/>
        <v>10</v>
      </c>
      <c r="BX68">
        <f t="shared" si="842"/>
        <v>10</v>
      </c>
      <c r="BY68">
        <f t="shared" si="843"/>
        <v>10</v>
      </c>
      <c r="BZ68">
        <f t="shared" si="844"/>
        <v>10</v>
      </c>
      <c r="CA68">
        <f t="shared" si="845"/>
        <v>10</v>
      </c>
      <c r="CB68">
        <f t="shared" si="846"/>
        <v>10</v>
      </c>
      <c r="CC68">
        <f t="shared" si="847"/>
        <v>10</v>
      </c>
      <c r="CD68">
        <f t="shared" si="848"/>
        <v>10</v>
      </c>
      <c r="CE68">
        <f t="shared" si="849"/>
        <v>10</v>
      </c>
      <c r="CF68">
        <f t="shared" si="850"/>
        <v>10</v>
      </c>
      <c r="CG68">
        <f t="shared" si="851"/>
        <v>10</v>
      </c>
      <c r="CH68">
        <f t="shared" si="852"/>
        <v>10</v>
      </c>
      <c r="CI68">
        <f t="shared" si="853"/>
        <v>10</v>
      </c>
      <c r="CJ68">
        <f t="shared" si="854"/>
        <v>10</v>
      </c>
      <c r="CK68">
        <f t="shared" si="855"/>
        <v>10</v>
      </c>
      <c r="CL68">
        <f t="shared" si="856"/>
        <v>10</v>
      </c>
      <c r="CM68">
        <f t="shared" si="857"/>
        <v>10</v>
      </c>
      <c r="CN68">
        <f t="shared" si="858"/>
        <v>10</v>
      </c>
      <c r="CO68">
        <f t="shared" si="859"/>
        <v>10</v>
      </c>
      <c r="CP68">
        <f t="shared" si="860"/>
        <v>10</v>
      </c>
      <c r="CQ68">
        <f t="shared" si="861"/>
        <v>10</v>
      </c>
      <c r="CR68">
        <f t="shared" si="862"/>
        <v>10</v>
      </c>
      <c r="CS68">
        <f t="shared" si="863"/>
        <v>10</v>
      </c>
      <c r="CT68">
        <f t="shared" si="864"/>
        <v>10</v>
      </c>
      <c r="CU68">
        <f t="shared" si="865"/>
        <v>10</v>
      </c>
      <c r="CV68">
        <f t="shared" si="866"/>
        <v>10</v>
      </c>
      <c r="CW68">
        <f t="shared" si="867"/>
        <v>10</v>
      </c>
      <c r="CX68">
        <f t="shared" si="868"/>
        <v>10</v>
      </c>
      <c r="CY68">
        <f t="shared" si="869"/>
        <v>10</v>
      </c>
      <c r="CZ68">
        <f t="shared" si="870"/>
        <v>10</v>
      </c>
      <c r="DA68">
        <f t="shared" si="871"/>
        <v>10</v>
      </c>
      <c r="DB68">
        <f t="shared" si="872"/>
        <v>10</v>
      </c>
      <c r="DC68">
        <f t="shared" si="873"/>
        <v>10</v>
      </c>
      <c r="DD68">
        <f t="shared" si="874"/>
        <v>10</v>
      </c>
      <c r="DE68">
        <f t="shared" si="875"/>
        <v>10</v>
      </c>
      <c r="DF68">
        <f t="shared" si="876"/>
        <v>10</v>
      </c>
      <c r="DG68">
        <f t="shared" si="877"/>
        <v>10</v>
      </c>
      <c r="DH68">
        <f t="shared" si="878"/>
        <v>10</v>
      </c>
      <c r="DI68">
        <f t="shared" si="879"/>
        <v>10</v>
      </c>
      <c r="DJ68">
        <f t="shared" si="880"/>
        <v>10</v>
      </c>
      <c r="DK68">
        <f t="shared" si="881"/>
        <v>10</v>
      </c>
      <c r="DL68">
        <f t="shared" si="882"/>
        <v>10</v>
      </c>
      <c r="DM68">
        <f t="shared" si="883"/>
        <v>10</v>
      </c>
      <c r="DN68">
        <f t="shared" si="884"/>
        <v>10</v>
      </c>
      <c r="DO68">
        <f t="shared" si="885"/>
        <v>10</v>
      </c>
      <c r="DP68">
        <f t="shared" si="886"/>
        <v>10</v>
      </c>
      <c r="DQ68">
        <f t="shared" si="887"/>
        <v>10</v>
      </c>
      <c r="DR68">
        <f t="shared" si="888"/>
        <v>10</v>
      </c>
      <c r="DS68">
        <f t="shared" si="889"/>
        <v>10</v>
      </c>
      <c r="DT68">
        <f t="shared" si="890"/>
        <v>10</v>
      </c>
      <c r="DU68">
        <f t="shared" si="891"/>
        <v>10</v>
      </c>
      <c r="DV68">
        <f t="shared" si="892"/>
        <v>10</v>
      </c>
      <c r="DW68">
        <f t="shared" si="893"/>
        <v>10</v>
      </c>
      <c r="DX68">
        <f t="shared" si="894"/>
        <v>10</v>
      </c>
      <c r="DY68">
        <f t="shared" si="895"/>
        <v>10</v>
      </c>
      <c r="DZ68">
        <f t="shared" si="896"/>
        <v>10</v>
      </c>
      <c r="EA68">
        <f t="shared" si="897"/>
        <v>10</v>
      </c>
      <c r="EB68">
        <f t="shared" si="898"/>
        <v>10</v>
      </c>
      <c r="EC68">
        <f t="shared" si="899"/>
        <v>10</v>
      </c>
      <c r="ED68">
        <f t="shared" si="900"/>
        <v>10</v>
      </c>
      <c r="EE68">
        <f t="shared" si="901"/>
        <v>10</v>
      </c>
      <c r="EF68">
        <f t="shared" si="902"/>
        <v>10</v>
      </c>
      <c r="EG68">
        <f t="shared" si="903"/>
        <v>10</v>
      </c>
      <c r="EH68">
        <f t="shared" si="904"/>
        <v>10</v>
      </c>
      <c r="EI68">
        <f t="shared" si="905"/>
        <v>10</v>
      </c>
      <c r="EJ68">
        <f t="shared" si="906"/>
        <v>10</v>
      </c>
      <c r="EK68">
        <f t="shared" si="907"/>
        <v>10</v>
      </c>
      <c r="EL68">
        <f t="shared" si="908"/>
        <v>10</v>
      </c>
      <c r="EM68">
        <f t="shared" si="909"/>
        <v>10</v>
      </c>
      <c r="EN68">
        <f t="shared" si="910"/>
        <v>10</v>
      </c>
      <c r="EO68">
        <f t="shared" si="911"/>
        <v>10</v>
      </c>
      <c r="EP68">
        <f t="shared" si="912"/>
        <v>10</v>
      </c>
      <c r="EQ68">
        <f t="shared" si="913"/>
        <v>10</v>
      </c>
      <c r="ER68">
        <f t="shared" si="914"/>
        <v>10</v>
      </c>
      <c r="ES68">
        <f t="shared" si="915"/>
        <v>10</v>
      </c>
      <c r="ET68">
        <f t="shared" si="916"/>
        <v>10</v>
      </c>
      <c r="EU68">
        <f t="shared" si="917"/>
        <v>10</v>
      </c>
      <c r="EV68">
        <f t="shared" si="918"/>
        <v>10</v>
      </c>
      <c r="EW68">
        <f t="shared" si="919"/>
        <v>10</v>
      </c>
      <c r="EX68">
        <f t="shared" si="920"/>
        <v>10</v>
      </c>
      <c r="EY68">
        <f t="shared" si="921"/>
        <v>10</v>
      </c>
      <c r="EZ68">
        <f t="shared" si="922"/>
        <v>10</v>
      </c>
      <c r="FA68">
        <f t="shared" si="923"/>
        <v>10</v>
      </c>
      <c r="FB68">
        <f t="shared" si="924"/>
        <v>10</v>
      </c>
      <c r="FC68">
        <f t="shared" si="925"/>
        <v>10</v>
      </c>
      <c r="FD68">
        <f t="shared" si="926"/>
        <v>10</v>
      </c>
      <c r="FE68">
        <f t="shared" si="927"/>
        <v>10</v>
      </c>
      <c r="FF68">
        <f t="shared" si="928"/>
        <v>10</v>
      </c>
      <c r="FG68">
        <f t="shared" si="929"/>
        <v>10</v>
      </c>
      <c r="FH68">
        <f t="shared" si="930"/>
        <v>10</v>
      </c>
      <c r="FI68">
        <f t="shared" si="931"/>
        <v>10</v>
      </c>
      <c r="FJ68">
        <f t="shared" si="932"/>
        <v>10</v>
      </c>
      <c r="FK68">
        <f t="shared" si="933"/>
        <v>10</v>
      </c>
      <c r="FL68">
        <f t="shared" si="934"/>
        <v>10</v>
      </c>
      <c r="FM68">
        <f t="shared" si="935"/>
        <v>10</v>
      </c>
      <c r="FN68">
        <f t="shared" si="936"/>
        <v>10</v>
      </c>
      <c r="FO68">
        <f t="shared" si="937"/>
        <v>10</v>
      </c>
      <c r="FP68">
        <f t="shared" si="938"/>
        <v>10</v>
      </c>
      <c r="FQ68">
        <f t="shared" si="939"/>
        <v>10</v>
      </c>
      <c r="FR68">
        <f t="shared" si="940"/>
        <v>10</v>
      </c>
      <c r="FS68">
        <f t="shared" si="941"/>
        <v>10</v>
      </c>
      <c r="FT68">
        <f t="shared" si="942"/>
        <v>10</v>
      </c>
      <c r="FU68">
        <f t="shared" si="943"/>
        <v>10</v>
      </c>
      <c r="FV68">
        <f t="shared" si="944"/>
        <v>10</v>
      </c>
      <c r="FW68">
        <f t="shared" si="945"/>
        <v>10</v>
      </c>
      <c r="FX68">
        <f t="shared" si="946"/>
        <v>10</v>
      </c>
      <c r="FY68">
        <f t="shared" si="947"/>
        <v>10</v>
      </c>
      <c r="FZ68">
        <f t="shared" si="948"/>
        <v>10</v>
      </c>
      <c r="GA68">
        <f t="shared" si="949"/>
        <v>10</v>
      </c>
      <c r="GB68">
        <f t="shared" si="950"/>
        <v>10</v>
      </c>
      <c r="GC68">
        <f t="shared" si="951"/>
        <v>10</v>
      </c>
      <c r="GD68">
        <f t="shared" si="952"/>
        <v>10</v>
      </c>
      <c r="GE68">
        <f t="shared" si="953"/>
        <v>10</v>
      </c>
      <c r="GF68">
        <f t="shared" si="954"/>
        <v>10</v>
      </c>
      <c r="GG68">
        <f t="shared" si="955"/>
        <v>10</v>
      </c>
      <c r="GH68">
        <f t="shared" si="956"/>
        <v>10</v>
      </c>
      <c r="GI68">
        <f t="shared" si="957"/>
        <v>10</v>
      </c>
      <c r="GJ68">
        <f t="shared" si="958"/>
        <v>10</v>
      </c>
      <c r="GK68">
        <f t="shared" si="959"/>
        <v>10</v>
      </c>
      <c r="GL68">
        <f t="shared" si="960"/>
        <v>10</v>
      </c>
      <c r="GM68">
        <f t="shared" si="961"/>
        <v>10</v>
      </c>
      <c r="GN68">
        <f t="shared" si="962"/>
        <v>10</v>
      </c>
      <c r="GO68">
        <f t="shared" si="963"/>
        <v>10</v>
      </c>
      <c r="GP68">
        <f t="shared" si="964"/>
        <v>10</v>
      </c>
      <c r="GQ68">
        <f t="shared" si="965"/>
        <v>10</v>
      </c>
      <c r="GR68">
        <f t="shared" si="966"/>
        <v>10</v>
      </c>
      <c r="GS68">
        <f t="shared" si="967"/>
        <v>10</v>
      </c>
      <c r="GT68">
        <f t="shared" si="968"/>
        <v>10</v>
      </c>
      <c r="GU68">
        <f t="shared" si="969"/>
        <v>10</v>
      </c>
      <c r="GV68">
        <f t="shared" si="970"/>
        <v>10</v>
      </c>
      <c r="GW68">
        <f t="shared" si="971"/>
        <v>10</v>
      </c>
      <c r="GX68">
        <f t="shared" si="972"/>
        <v>10</v>
      </c>
      <c r="GY68">
        <f t="shared" si="973"/>
        <v>10</v>
      </c>
      <c r="GZ68">
        <f t="shared" si="974"/>
        <v>10</v>
      </c>
      <c r="HA68">
        <f t="shared" si="975"/>
        <v>10</v>
      </c>
      <c r="HB68">
        <f t="shared" si="976"/>
        <v>10</v>
      </c>
      <c r="HC68">
        <f t="shared" si="977"/>
        <v>10</v>
      </c>
      <c r="HD68">
        <f t="shared" si="978"/>
        <v>10</v>
      </c>
      <c r="HE68">
        <f t="shared" si="979"/>
        <v>10</v>
      </c>
      <c r="HF68">
        <f t="shared" si="980"/>
        <v>10</v>
      </c>
      <c r="HG68">
        <f t="shared" si="981"/>
        <v>10</v>
      </c>
      <c r="HH68">
        <f t="shared" si="982"/>
        <v>10</v>
      </c>
      <c r="HI68">
        <f t="shared" si="983"/>
        <v>10</v>
      </c>
      <c r="HJ68">
        <f t="shared" si="984"/>
        <v>10</v>
      </c>
      <c r="HK68">
        <f t="shared" si="985"/>
        <v>10</v>
      </c>
      <c r="HL68">
        <f t="shared" si="986"/>
        <v>10</v>
      </c>
      <c r="HM68">
        <f t="shared" si="987"/>
        <v>10</v>
      </c>
      <c r="HN68">
        <f t="shared" si="988"/>
        <v>10</v>
      </c>
      <c r="HO68">
        <f t="shared" si="989"/>
        <v>10</v>
      </c>
      <c r="HP68">
        <f t="shared" si="990"/>
        <v>10</v>
      </c>
      <c r="HQ68">
        <f t="shared" si="991"/>
        <v>10</v>
      </c>
      <c r="HR68">
        <f t="shared" si="992"/>
        <v>10</v>
      </c>
      <c r="HS68">
        <f t="shared" si="993"/>
        <v>10</v>
      </c>
      <c r="HT68">
        <f t="shared" si="994"/>
        <v>10</v>
      </c>
      <c r="HU68">
        <f t="shared" si="995"/>
        <v>10</v>
      </c>
      <c r="HV68">
        <f t="shared" si="996"/>
        <v>10</v>
      </c>
      <c r="HW68">
        <f t="shared" si="997"/>
        <v>10</v>
      </c>
      <c r="HX68">
        <f t="shared" si="998"/>
        <v>10</v>
      </c>
      <c r="HY68">
        <f t="shared" si="999"/>
        <v>10</v>
      </c>
      <c r="HZ68">
        <f t="shared" si="1000"/>
        <v>10</v>
      </c>
      <c r="IA68">
        <f t="shared" si="1001"/>
        <v>10</v>
      </c>
      <c r="IB68">
        <f t="shared" si="1002"/>
        <v>10</v>
      </c>
      <c r="IC68">
        <f t="shared" si="1003"/>
        <v>10</v>
      </c>
      <c r="ID68">
        <f t="shared" si="1004"/>
        <v>10</v>
      </c>
      <c r="IE68">
        <f t="shared" si="1005"/>
        <v>10</v>
      </c>
      <c r="IF68">
        <f t="shared" si="1006"/>
        <v>10</v>
      </c>
      <c r="IG68">
        <f t="shared" si="1007"/>
        <v>10</v>
      </c>
      <c r="IH68">
        <f t="shared" si="1008"/>
        <v>10</v>
      </c>
      <c r="II68">
        <f t="shared" si="1009"/>
        <v>10</v>
      </c>
      <c r="IJ68">
        <f t="shared" si="1010"/>
        <v>10</v>
      </c>
      <c r="IK68">
        <f t="shared" si="1011"/>
        <v>10</v>
      </c>
      <c r="IL68">
        <f t="shared" si="1012"/>
        <v>10</v>
      </c>
      <c r="IM68">
        <f t="shared" si="1013"/>
        <v>10</v>
      </c>
      <c r="IN68">
        <f t="shared" si="1014"/>
        <v>10</v>
      </c>
      <c r="IO68">
        <f t="shared" si="1015"/>
        <v>10</v>
      </c>
      <c r="IP68">
        <f t="shared" si="1016"/>
        <v>10</v>
      </c>
      <c r="IQ68">
        <f t="shared" si="1017"/>
        <v>10</v>
      </c>
      <c r="IR68">
        <f t="shared" si="1018"/>
        <v>10</v>
      </c>
      <c r="IS68">
        <f t="shared" si="1019"/>
        <v>10</v>
      </c>
      <c r="IT68">
        <f t="shared" si="1020"/>
        <v>10</v>
      </c>
      <c r="IU68">
        <f t="shared" si="1021"/>
        <v>10</v>
      </c>
      <c r="IV68">
        <f t="shared" si="1022"/>
        <v>10</v>
      </c>
    </row>
    <row r="69" spans="1:256" x14ac:dyDescent="0.2">
      <c r="A69" t="s">
        <v>540</v>
      </c>
      <c r="B69">
        <f t="shared" si="768"/>
        <v>10</v>
      </c>
      <c r="C69">
        <f t="shared" si="769"/>
        <v>10</v>
      </c>
      <c r="D69">
        <f t="shared" si="770"/>
        <v>10</v>
      </c>
      <c r="E69">
        <f t="shared" si="771"/>
        <v>10</v>
      </c>
      <c r="F69">
        <f t="shared" si="772"/>
        <v>10</v>
      </c>
      <c r="G69">
        <f t="shared" si="773"/>
        <v>10</v>
      </c>
      <c r="H69">
        <f t="shared" si="774"/>
        <v>10</v>
      </c>
      <c r="I69">
        <f t="shared" si="775"/>
        <v>10</v>
      </c>
      <c r="J69">
        <f t="shared" si="776"/>
        <v>10</v>
      </c>
      <c r="K69">
        <f t="shared" si="777"/>
        <v>10</v>
      </c>
      <c r="L69">
        <f t="shared" si="778"/>
        <v>10</v>
      </c>
      <c r="M69">
        <f t="shared" si="779"/>
        <v>10</v>
      </c>
      <c r="N69">
        <f t="shared" si="780"/>
        <v>10</v>
      </c>
      <c r="O69">
        <f t="shared" si="781"/>
        <v>10</v>
      </c>
      <c r="P69">
        <f t="shared" si="782"/>
        <v>10</v>
      </c>
      <c r="Q69">
        <f t="shared" si="783"/>
        <v>10</v>
      </c>
      <c r="R69">
        <f t="shared" si="784"/>
        <v>10</v>
      </c>
      <c r="S69">
        <f t="shared" si="785"/>
        <v>10</v>
      </c>
      <c r="T69">
        <f t="shared" si="786"/>
        <v>10</v>
      </c>
      <c r="U69">
        <f t="shared" si="787"/>
        <v>10</v>
      </c>
      <c r="V69">
        <f t="shared" si="788"/>
        <v>10</v>
      </c>
      <c r="W69">
        <f t="shared" si="789"/>
        <v>10</v>
      </c>
      <c r="X69">
        <f t="shared" si="790"/>
        <v>10</v>
      </c>
      <c r="Y69">
        <f t="shared" si="791"/>
        <v>10</v>
      </c>
      <c r="Z69">
        <f t="shared" si="792"/>
        <v>10</v>
      </c>
      <c r="AA69">
        <f t="shared" si="793"/>
        <v>10</v>
      </c>
      <c r="AB69">
        <f t="shared" si="794"/>
        <v>10</v>
      </c>
      <c r="AC69">
        <f t="shared" si="795"/>
        <v>10</v>
      </c>
      <c r="AD69">
        <f t="shared" si="796"/>
        <v>10</v>
      </c>
      <c r="AE69">
        <f t="shared" si="797"/>
        <v>10</v>
      </c>
      <c r="AF69">
        <f t="shared" si="798"/>
        <v>10</v>
      </c>
      <c r="AG69">
        <f t="shared" si="799"/>
        <v>10</v>
      </c>
      <c r="AH69">
        <f t="shared" si="800"/>
        <v>10</v>
      </c>
      <c r="AI69">
        <f t="shared" si="801"/>
        <v>10</v>
      </c>
      <c r="AJ69">
        <f t="shared" si="802"/>
        <v>10</v>
      </c>
      <c r="AK69">
        <f t="shared" si="803"/>
        <v>10</v>
      </c>
      <c r="AL69">
        <f t="shared" si="804"/>
        <v>10</v>
      </c>
      <c r="AM69">
        <f t="shared" si="805"/>
        <v>10</v>
      </c>
      <c r="AN69">
        <f t="shared" si="806"/>
        <v>10</v>
      </c>
      <c r="AO69">
        <f t="shared" si="807"/>
        <v>10</v>
      </c>
      <c r="AP69">
        <f t="shared" si="808"/>
        <v>10</v>
      </c>
      <c r="AQ69">
        <f t="shared" si="809"/>
        <v>10</v>
      </c>
      <c r="AR69">
        <f t="shared" si="810"/>
        <v>10</v>
      </c>
      <c r="AS69">
        <f t="shared" si="811"/>
        <v>10</v>
      </c>
      <c r="AT69">
        <f t="shared" si="812"/>
        <v>10</v>
      </c>
      <c r="AU69">
        <f t="shared" si="813"/>
        <v>10</v>
      </c>
      <c r="AV69">
        <f t="shared" si="814"/>
        <v>10</v>
      </c>
      <c r="AW69">
        <f t="shared" si="815"/>
        <v>10</v>
      </c>
      <c r="AX69">
        <f t="shared" si="816"/>
        <v>10</v>
      </c>
      <c r="AY69">
        <f t="shared" si="817"/>
        <v>10</v>
      </c>
      <c r="AZ69">
        <f t="shared" si="818"/>
        <v>10</v>
      </c>
      <c r="BA69">
        <f t="shared" si="819"/>
        <v>10</v>
      </c>
      <c r="BB69">
        <f t="shared" si="820"/>
        <v>10</v>
      </c>
      <c r="BC69">
        <f t="shared" si="821"/>
        <v>10</v>
      </c>
      <c r="BD69">
        <f t="shared" si="822"/>
        <v>10</v>
      </c>
      <c r="BE69">
        <f t="shared" si="823"/>
        <v>10</v>
      </c>
      <c r="BF69">
        <f t="shared" si="824"/>
        <v>10</v>
      </c>
      <c r="BG69">
        <f t="shared" si="825"/>
        <v>10</v>
      </c>
      <c r="BH69">
        <f t="shared" si="826"/>
        <v>10</v>
      </c>
      <c r="BI69">
        <f t="shared" si="827"/>
        <v>10</v>
      </c>
      <c r="BJ69">
        <f t="shared" si="828"/>
        <v>10</v>
      </c>
      <c r="BK69">
        <f t="shared" si="829"/>
        <v>10</v>
      </c>
      <c r="BL69">
        <f t="shared" si="830"/>
        <v>10</v>
      </c>
      <c r="BM69">
        <f t="shared" si="831"/>
        <v>10</v>
      </c>
      <c r="BN69">
        <f t="shared" si="832"/>
        <v>10</v>
      </c>
      <c r="BO69">
        <f t="shared" si="833"/>
        <v>10</v>
      </c>
      <c r="BP69">
        <f t="shared" si="834"/>
        <v>10</v>
      </c>
      <c r="BQ69">
        <f t="shared" si="835"/>
        <v>10</v>
      </c>
      <c r="BR69">
        <f t="shared" si="836"/>
        <v>10</v>
      </c>
      <c r="BS69">
        <f t="shared" si="837"/>
        <v>10</v>
      </c>
      <c r="BT69">
        <f t="shared" si="838"/>
        <v>10</v>
      </c>
      <c r="BU69">
        <f t="shared" si="839"/>
        <v>10</v>
      </c>
      <c r="BV69">
        <f t="shared" si="840"/>
        <v>10</v>
      </c>
      <c r="BW69">
        <f t="shared" si="841"/>
        <v>10</v>
      </c>
      <c r="BX69">
        <f t="shared" si="842"/>
        <v>10</v>
      </c>
      <c r="BY69">
        <f t="shared" si="843"/>
        <v>10</v>
      </c>
      <c r="BZ69">
        <f t="shared" si="844"/>
        <v>10</v>
      </c>
      <c r="CA69">
        <f t="shared" si="845"/>
        <v>10</v>
      </c>
      <c r="CB69">
        <f t="shared" si="846"/>
        <v>10</v>
      </c>
      <c r="CC69">
        <f t="shared" si="847"/>
        <v>10</v>
      </c>
      <c r="CD69">
        <f t="shared" si="848"/>
        <v>10</v>
      </c>
      <c r="CE69">
        <f t="shared" si="849"/>
        <v>10</v>
      </c>
      <c r="CF69">
        <f t="shared" si="850"/>
        <v>10</v>
      </c>
      <c r="CG69">
        <f t="shared" si="851"/>
        <v>10</v>
      </c>
      <c r="CH69">
        <f t="shared" si="852"/>
        <v>10</v>
      </c>
      <c r="CI69">
        <f t="shared" si="853"/>
        <v>10</v>
      </c>
      <c r="CJ69">
        <f t="shared" si="854"/>
        <v>10</v>
      </c>
      <c r="CK69">
        <f t="shared" si="855"/>
        <v>10</v>
      </c>
      <c r="CL69">
        <f t="shared" si="856"/>
        <v>10</v>
      </c>
      <c r="CM69">
        <f t="shared" si="857"/>
        <v>10</v>
      </c>
      <c r="CN69">
        <f t="shared" si="858"/>
        <v>10</v>
      </c>
      <c r="CO69">
        <f t="shared" si="859"/>
        <v>10</v>
      </c>
      <c r="CP69">
        <f t="shared" si="860"/>
        <v>10</v>
      </c>
      <c r="CQ69">
        <f t="shared" si="861"/>
        <v>10</v>
      </c>
      <c r="CR69">
        <f t="shared" si="862"/>
        <v>10</v>
      </c>
      <c r="CS69">
        <f t="shared" si="863"/>
        <v>10</v>
      </c>
      <c r="CT69">
        <f t="shared" si="864"/>
        <v>10</v>
      </c>
      <c r="CU69">
        <f t="shared" si="865"/>
        <v>10</v>
      </c>
      <c r="CV69">
        <f t="shared" si="866"/>
        <v>10</v>
      </c>
      <c r="CW69">
        <f t="shared" si="867"/>
        <v>10</v>
      </c>
      <c r="CX69">
        <f t="shared" si="868"/>
        <v>10</v>
      </c>
      <c r="CY69">
        <f t="shared" si="869"/>
        <v>10</v>
      </c>
      <c r="CZ69">
        <f t="shared" si="870"/>
        <v>10</v>
      </c>
      <c r="DA69">
        <f t="shared" si="871"/>
        <v>10</v>
      </c>
      <c r="DB69">
        <f t="shared" si="872"/>
        <v>10</v>
      </c>
      <c r="DC69">
        <f t="shared" si="873"/>
        <v>10</v>
      </c>
      <c r="DD69">
        <f t="shared" si="874"/>
        <v>10</v>
      </c>
      <c r="DE69">
        <f t="shared" si="875"/>
        <v>10</v>
      </c>
      <c r="DF69">
        <f t="shared" si="876"/>
        <v>10</v>
      </c>
      <c r="DG69">
        <f t="shared" si="877"/>
        <v>10</v>
      </c>
      <c r="DH69">
        <f t="shared" si="878"/>
        <v>10</v>
      </c>
      <c r="DI69">
        <f t="shared" si="879"/>
        <v>10</v>
      </c>
      <c r="DJ69">
        <f t="shared" si="880"/>
        <v>10</v>
      </c>
      <c r="DK69">
        <f t="shared" si="881"/>
        <v>10</v>
      </c>
      <c r="DL69">
        <f t="shared" si="882"/>
        <v>10</v>
      </c>
      <c r="DM69">
        <f t="shared" si="883"/>
        <v>10</v>
      </c>
      <c r="DN69">
        <f t="shared" si="884"/>
        <v>10</v>
      </c>
      <c r="DO69">
        <f t="shared" si="885"/>
        <v>10</v>
      </c>
      <c r="DP69">
        <f t="shared" si="886"/>
        <v>10</v>
      </c>
      <c r="DQ69">
        <f t="shared" si="887"/>
        <v>10</v>
      </c>
      <c r="DR69">
        <f t="shared" si="888"/>
        <v>10</v>
      </c>
      <c r="DS69">
        <f t="shared" si="889"/>
        <v>10</v>
      </c>
      <c r="DT69">
        <f t="shared" si="890"/>
        <v>10</v>
      </c>
      <c r="DU69">
        <f t="shared" si="891"/>
        <v>10</v>
      </c>
      <c r="DV69">
        <f t="shared" si="892"/>
        <v>10</v>
      </c>
      <c r="DW69">
        <f t="shared" si="893"/>
        <v>10</v>
      </c>
      <c r="DX69">
        <f t="shared" si="894"/>
        <v>10</v>
      </c>
      <c r="DY69">
        <f t="shared" si="895"/>
        <v>10</v>
      </c>
      <c r="DZ69">
        <f t="shared" si="896"/>
        <v>10</v>
      </c>
      <c r="EA69">
        <f t="shared" si="897"/>
        <v>10</v>
      </c>
      <c r="EB69">
        <f t="shared" si="898"/>
        <v>10</v>
      </c>
      <c r="EC69">
        <f t="shared" si="899"/>
        <v>10</v>
      </c>
      <c r="ED69">
        <f t="shared" si="900"/>
        <v>10</v>
      </c>
      <c r="EE69">
        <f t="shared" si="901"/>
        <v>10</v>
      </c>
      <c r="EF69">
        <f t="shared" si="902"/>
        <v>10</v>
      </c>
      <c r="EG69">
        <f t="shared" si="903"/>
        <v>10</v>
      </c>
      <c r="EH69">
        <f t="shared" si="904"/>
        <v>10</v>
      </c>
      <c r="EI69">
        <f t="shared" si="905"/>
        <v>10</v>
      </c>
      <c r="EJ69">
        <f t="shared" si="906"/>
        <v>10</v>
      </c>
      <c r="EK69">
        <f t="shared" si="907"/>
        <v>10</v>
      </c>
      <c r="EL69">
        <f t="shared" si="908"/>
        <v>10</v>
      </c>
      <c r="EM69">
        <f t="shared" si="909"/>
        <v>10</v>
      </c>
      <c r="EN69">
        <f t="shared" si="910"/>
        <v>10</v>
      </c>
      <c r="EO69">
        <f t="shared" si="911"/>
        <v>10</v>
      </c>
      <c r="EP69">
        <f t="shared" si="912"/>
        <v>10</v>
      </c>
      <c r="EQ69">
        <f t="shared" si="913"/>
        <v>10</v>
      </c>
      <c r="ER69">
        <f t="shared" si="914"/>
        <v>10</v>
      </c>
      <c r="ES69">
        <f t="shared" si="915"/>
        <v>10</v>
      </c>
      <c r="ET69">
        <f t="shared" si="916"/>
        <v>10</v>
      </c>
      <c r="EU69">
        <f t="shared" si="917"/>
        <v>10</v>
      </c>
      <c r="EV69">
        <f t="shared" si="918"/>
        <v>10</v>
      </c>
      <c r="EW69">
        <f t="shared" si="919"/>
        <v>10</v>
      </c>
      <c r="EX69">
        <f t="shared" si="920"/>
        <v>10</v>
      </c>
      <c r="EY69">
        <f t="shared" si="921"/>
        <v>10</v>
      </c>
      <c r="EZ69">
        <f t="shared" si="922"/>
        <v>10</v>
      </c>
      <c r="FA69">
        <f t="shared" si="923"/>
        <v>10</v>
      </c>
      <c r="FB69">
        <f t="shared" si="924"/>
        <v>10</v>
      </c>
      <c r="FC69">
        <f t="shared" si="925"/>
        <v>10</v>
      </c>
      <c r="FD69">
        <f t="shared" si="926"/>
        <v>10</v>
      </c>
      <c r="FE69">
        <f t="shared" si="927"/>
        <v>10</v>
      </c>
      <c r="FF69">
        <f t="shared" si="928"/>
        <v>10</v>
      </c>
      <c r="FG69">
        <f t="shared" si="929"/>
        <v>10</v>
      </c>
      <c r="FH69">
        <f t="shared" si="930"/>
        <v>10</v>
      </c>
      <c r="FI69">
        <f t="shared" si="931"/>
        <v>10</v>
      </c>
      <c r="FJ69">
        <f t="shared" si="932"/>
        <v>10</v>
      </c>
      <c r="FK69">
        <f t="shared" si="933"/>
        <v>10</v>
      </c>
      <c r="FL69">
        <f t="shared" si="934"/>
        <v>10</v>
      </c>
      <c r="FM69">
        <f t="shared" si="935"/>
        <v>10</v>
      </c>
      <c r="FN69">
        <f t="shared" si="936"/>
        <v>10</v>
      </c>
      <c r="FO69">
        <f t="shared" si="937"/>
        <v>10</v>
      </c>
      <c r="FP69">
        <f t="shared" si="938"/>
        <v>10</v>
      </c>
      <c r="FQ69">
        <f t="shared" si="939"/>
        <v>10</v>
      </c>
      <c r="FR69">
        <f t="shared" si="940"/>
        <v>10</v>
      </c>
      <c r="FS69">
        <f t="shared" si="941"/>
        <v>10</v>
      </c>
      <c r="FT69">
        <f t="shared" si="942"/>
        <v>10</v>
      </c>
      <c r="FU69">
        <f t="shared" si="943"/>
        <v>10</v>
      </c>
      <c r="FV69">
        <f t="shared" si="944"/>
        <v>10</v>
      </c>
      <c r="FW69">
        <f t="shared" si="945"/>
        <v>10</v>
      </c>
      <c r="FX69">
        <f t="shared" si="946"/>
        <v>10</v>
      </c>
      <c r="FY69">
        <f t="shared" si="947"/>
        <v>10</v>
      </c>
      <c r="FZ69">
        <f t="shared" si="948"/>
        <v>10</v>
      </c>
      <c r="GA69">
        <f t="shared" si="949"/>
        <v>10</v>
      </c>
      <c r="GB69">
        <f t="shared" si="950"/>
        <v>10</v>
      </c>
      <c r="GC69">
        <f t="shared" si="951"/>
        <v>10</v>
      </c>
      <c r="GD69">
        <f t="shared" si="952"/>
        <v>10</v>
      </c>
      <c r="GE69">
        <f t="shared" si="953"/>
        <v>10</v>
      </c>
      <c r="GF69">
        <f t="shared" si="954"/>
        <v>10</v>
      </c>
      <c r="GG69">
        <f t="shared" si="955"/>
        <v>10</v>
      </c>
      <c r="GH69">
        <f t="shared" si="956"/>
        <v>10</v>
      </c>
      <c r="GI69">
        <f t="shared" si="957"/>
        <v>10</v>
      </c>
      <c r="GJ69">
        <f t="shared" si="958"/>
        <v>10</v>
      </c>
      <c r="GK69">
        <f t="shared" si="959"/>
        <v>10</v>
      </c>
      <c r="GL69">
        <f t="shared" si="960"/>
        <v>10</v>
      </c>
      <c r="GM69">
        <f t="shared" si="961"/>
        <v>10</v>
      </c>
      <c r="GN69">
        <f t="shared" si="962"/>
        <v>10</v>
      </c>
      <c r="GO69">
        <f t="shared" si="963"/>
        <v>10</v>
      </c>
      <c r="GP69">
        <f t="shared" si="964"/>
        <v>10</v>
      </c>
      <c r="GQ69">
        <f t="shared" si="965"/>
        <v>10</v>
      </c>
      <c r="GR69">
        <f t="shared" si="966"/>
        <v>10</v>
      </c>
      <c r="GS69">
        <f t="shared" si="967"/>
        <v>10</v>
      </c>
      <c r="GT69">
        <f t="shared" si="968"/>
        <v>10</v>
      </c>
      <c r="GU69">
        <f t="shared" si="969"/>
        <v>10</v>
      </c>
      <c r="GV69">
        <f t="shared" si="970"/>
        <v>10</v>
      </c>
      <c r="GW69">
        <f t="shared" si="971"/>
        <v>10</v>
      </c>
      <c r="GX69">
        <f t="shared" si="972"/>
        <v>10</v>
      </c>
      <c r="GY69">
        <f t="shared" si="973"/>
        <v>10</v>
      </c>
      <c r="GZ69">
        <f t="shared" si="974"/>
        <v>10</v>
      </c>
      <c r="HA69">
        <f t="shared" si="975"/>
        <v>10</v>
      </c>
      <c r="HB69">
        <f t="shared" si="976"/>
        <v>10</v>
      </c>
      <c r="HC69">
        <f t="shared" si="977"/>
        <v>10</v>
      </c>
      <c r="HD69">
        <f t="shared" si="978"/>
        <v>10</v>
      </c>
      <c r="HE69">
        <f t="shared" si="979"/>
        <v>10</v>
      </c>
      <c r="HF69">
        <f t="shared" si="980"/>
        <v>10</v>
      </c>
      <c r="HG69">
        <f t="shared" si="981"/>
        <v>10</v>
      </c>
      <c r="HH69">
        <f t="shared" si="982"/>
        <v>10</v>
      </c>
      <c r="HI69">
        <f t="shared" si="983"/>
        <v>10</v>
      </c>
      <c r="HJ69">
        <f t="shared" si="984"/>
        <v>10</v>
      </c>
      <c r="HK69">
        <f t="shared" si="985"/>
        <v>10</v>
      </c>
      <c r="HL69">
        <f t="shared" si="986"/>
        <v>10</v>
      </c>
      <c r="HM69">
        <f t="shared" si="987"/>
        <v>10</v>
      </c>
      <c r="HN69">
        <f t="shared" si="988"/>
        <v>10</v>
      </c>
      <c r="HO69">
        <f t="shared" si="989"/>
        <v>10</v>
      </c>
      <c r="HP69">
        <f t="shared" si="990"/>
        <v>10</v>
      </c>
      <c r="HQ69">
        <f t="shared" si="991"/>
        <v>10</v>
      </c>
      <c r="HR69">
        <f t="shared" si="992"/>
        <v>10</v>
      </c>
      <c r="HS69">
        <f t="shared" si="993"/>
        <v>10</v>
      </c>
      <c r="HT69">
        <f t="shared" si="994"/>
        <v>10</v>
      </c>
      <c r="HU69">
        <f t="shared" si="995"/>
        <v>10</v>
      </c>
      <c r="HV69">
        <f t="shared" si="996"/>
        <v>10</v>
      </c>
      <c r="HW69">
        <f t="shared" si="997"/>
        <v>10</v>
      </c>
      <c r="HX69">
        <f t="shared" si="998"/>
        <v>10</v>
      </c>
      <c r="HY69">
        <f t="shared" si="999"/>
        <v>10</v>
      </c>
      <c r="HZ69">
        <f t="shared" si="1000"/>
        <v>10</v>
      </c>
      <c r="IA69">
        <f t="shared" si="1001"/>
        <v>10</v>
      </c>
      <c r="IB69">
        <f t="shared" si="1002"/>
        <v>10</v>
      </c>
      <c r="IC69">
        <f t="shared" si="1003"/>
        <v>10</v>
      </c>
      <c r="ID69">
        <f t="shared" si="1004"/>
        <v>10</v>
      </c>
      <c r="IE69">
        <f t="shared" si="1005"/>
        <v>10</v>
      </c>
      <c r="IF69">
        <f t="shared" si="1006"/>
        <v>10</v>
      </c>
      <c r="IG69">
        <f t="shared" si="1007"/>
        <v>10</v>
      </c>
      <c r="IH69">
        <f t="shared" si="1008"/>
        <v>10</v>
      </c>
      <c r="II69">
        <f t="shared" si="1009"/>
        <v>10</v>
      </c>
      <c r="IJ69">
        <f t="shared" si="1010"/>
        <v>10</v>
      </c>
      <c r="IK69">
        <f t="shared" si="1011"/>
        <v>10</v>
      </c>
      <c r="IL69">
        <f t="shared" si="1012"/>
        <v>10</v>
      </c>
      <c r="IM69">
        <f t="shared" si="1013"/>
        <v>10</v>
      </c>
      <c r="IN69">
        <f t="shared" si="1014"/>
        <v>10</v>
      </c>
      <c r="IO69">
        <f t="shared" si="1015"/>
        <v>10</v>
      </c>
      <c r="IP69">
        <f t="shared" si="1016"/>
        <v>10</v>
      </c>
      <c r="IQ69">
        <f t="shared" si="1017"/>
        <v>10</v>
      </c>
      <c r="IR69">
        <f t="shared" si="1018"/>
        <v>10</v>
      </c>
      <c r="IS69">
        <f t="shared" si="1019"/>
        <v>10</v>
      </c>
      <c r="IT69">
        <f t="shared" si="1020"/>
        <v>10</v>
      </c>
      <c r="IU69">
        <f t="shared" si="1021"/>
        <v>10</v>
      </c>
      <c r="IV69">
        <f t="shared" si="1022"/>
        <v>10</v>
      </c>
    </row>
    <row r="70" spans="1:256" x14ac:dyDescent="0.2">
      <c r="A70" t="s">
        <v>541</v>
      </c>
      <c r="B70">
        <f t="shared" si="768"/>
        <v>10</v>
      </c>
      <c r="C70">
        <f t="shared" si="769"/>
        <v>10</v>
      </c>
      <c r="D70">
        <f t="shared" si="770"/>
        <v>10</v>
      </c>
      <c r="E70">
        <f t="shared" si="771"/>
        <v>10</v>
      </c>
      <c r="F70">
        <f t="shared" si="772"/>
        <v>10</v>
      </c>
      <c r="G70">
        <f t="shared" si="773"/>
        <v>10</v>
      </c>
      <c r="H70">
        <f t="shared" si="774"/>
        <v>10</v>
      </c>
      <c r="I70">
        <f t="shared" si="775"/>
        <v>10</v>
      </c>
      <c r="J70">
        <f t="shared" si="776"/>
        <v>10</v>
      </c>
      <c r="K70">
        <f t="shared" si="777"/>
        <v>10</v>
      </c>
      <c r="L70">
        <f t="shared" si="778"/>
        <v>10</v>
      </c>
      <c r="M70">
        <f t="shared" si="779"/>
        <v>10</v>
      </c>
      <c r="N70">
        <f t="shared" si="780"/>
        <v>10</v>
      </c>
      <c r="O70">
        <f t="shared" si="781"/>
        <v>10</v>
      </c>
      <c r="P70">
        <f t="shared" si="782"/>
        <v>10</v>
      </c>
      <c r="Q70">
        <f t="shared" si="783"/>
        <v>10</v>
      </c>
      <c r="R70">
        <f t="shared" si="784"/>
        <v>10</v>
      </c>
      <c r="S70">
        <f t="shared" si="785"/>
        <v>10</v>
      </c>
      <c r="T70">
        <f t="shared" si="786"/>
        <v>10</v>
      </c>
      <c r="U70">
        <f t="shared" si="787"/>
        <v>10</v>
      </c>
      <c r="V70">
        <f t="shared" si="788"/>
        <v>10</v>
      </c>
      <c r="W70">
        <f t="shared" si="789"/>
        <v>10</v>
      </c>
      <c r="X70">
        <f t="shared" si="790"/>
        <v>10</v>
      </c>
      <c r="Y70">
        <f t="shared" si="791"/>
        <v>10</v>
      </c>
      <c r="Z70">
        <f t="shared" si="792"/>
        <v>10</v>
      </c>
      <c r="AA70">
        <f t="shared" si="793"/>
        <v>10</v>
      </c>
      <c r="AB70">
        <f t="shared" si="794"/>
        <v>10</v>
      </c>
      <c r="AC70">
        <f t="shared" si="795"/>
        <v>10</v>
      </c>
      <c r="AD70">
        <f t="shared" si="796"/>
        <v>10</v>
      </c>
      <c r="AE70">
        <f t="shared" si="797"/>
        <v>10</v>
      </c>
      <c r="AF70">
        <f t="shared" si="798"/>
        <v>10</v>
      </c>
      <c r="AG70">
        <f t="shared" si="799"/>
        <v>10</v>
      </c>
      <c r="AH70">
        <f t="shared" si="800"/>
        <v>10</v>
      </c>
      <c r="AI70">
        <f t="shared" si="801"/>
        <v>10</v>
      </c>
      <c r="AJ70">
        <f t="shared" si="802"/>
        <v>10</v>
      </c>
      <c r="AK70">
        <f t="shared" si="803"/>
        <v>10</v>
      </c>
      <c r="AL70">
        <f t="shared" si="804"/>
        <v>10</v>
      </c>
      <c r="AM70">
        <f t="shared" si="805"/>
        <v>10</v>
      </c>
      <c r="AN70">
        <f t="shared" si="806"/>
        <v>10</v>
      </c>
      <c r="AO70">
        <f t="shared" si="807"/>
        <v>10</v>
      </c>
      <c r="AP70">
        <f t="shared" si="808"/>
        <v>10</v>
      </c>
      <c r="AQ70">
        <f t="shared" si="809"/>
        <v>10</v>
      </c>
      <c r="AR70">
        <f t="shared" si="810"/>
        <v>10</v>
      </c>
      <c r="AS70">
        <f t="shared" si="811"/>
        <v>10</v>
      </c>
      <c r="AT70">
        <f t="shared" si="812"/>
        <v>10</v>
      </c>
      <c r="AU70">
        <f t="shared" si="813"/>
        <v>10</v>
      </c>
      <c r="AV70">
        <f t="shared" si="814"/>
        <v>10</v>
      </c>
      <c r="AW70">
        <f t="shared" si="815"/>
        <v>10</v>
      </c>
      <c r="AX70">
        <f t="shared" si="816"/>
        <v>10</v>
      </c>
      <c r="AY70">
        <f t="shared" si="817"/>
        <v>10</v>
      </c>
      <c r="AZ70">
        <f t="shared" si="818"/>
        <v>10</v>
      </c>
      <c r="BA70">
        <f t="shared" si="819"/>
        <v>10</v>
      </c>
      <c r="BB70">
        <f t="shared" si="820"/>
        <v>10</v>
      </c>
      <c r="BC70">
        <f t="shared" si="821"/>
        <v>10</v>
      </c>
      <c r="BD70">
        <f t="shared" si="822"/>
        <v>10</v>
      </c>
      <c r="BE70">
        <f t="shared" si="823"/>
        <v>10</v>
      </c>
      <c r="BF70">
        <f t="shared" si="824"/>
        <v>10</v>
      </c>
      <c r="BG70">
        <f t="shared" si="825"/>
        <v>10</v>
      </c>
      <c r="BH70">
        <f t="shared" si="826"/>
        <v>10</v>
      </c>
      <c r="BI70">
        <f t="shared" si="827"/>
        <v>10</v>
      </c>
      <c r="BJ70">
        <f t="shared" si="828"/>
        <v>10</v>
      </c>
      <c r="BK70">
        <f t="shared" si="829"/>
        <v>10</v>
      </c>
      <c r="BL70">
        <f t="shared" si="830"/>
        <v>10</v>
      </c>
      <c r="BM70">
        <f t="shared" si="831"/>
        <v>10</v>
      </c>
      <c r="BN70">
        <f t="shared" si="832"/>
        <v>10</v>
      </c>
      <c r="BO70">
        <f t="shared" si="833"/>
        <v>10</v>
      </c>
      <c r="BP70">
        <f t="shared" si="834"/>
        <v>10</v>
      </c>
      <c r="BQ70">
        <f t="shared" si="835"/>
        <v>10</v>
      </c>
      <c r="BR70">
        <f t="shared" si="836"/>
        <v>10</v>
      </c>
      <c r="BS70">
        <f t="shared" si="837"/>
        <v>10</v>
      </c>
      <c r="BT70">
        <f t="shared" si="838"/>
        <v>10</v>
      </c>
      <c r="BU70">
        <f t="shared" si="839"/>
        <v>10</v>
      </c>
      <c r="BV70">
        <f t="shared" si="840"/>
        <v>10</v>
      </c>
      <c r="BW70">
        <f t="shared" si="841"/>
        <v>10</v>
      </c>
      <c r="BX70">
        <f t="shared" si="842"/>
        <v>10</v>
      </c>
      <c r="BY70">
        <f t="shared" si="843"/>
        <v>10</v>
      </c>
      <c r="BZ70">
        <f t="shared" si="844"/>
        <v>10</v>
      </c>
      <c r="CA70">
        <f t="shared" si="845"/>
        <v>10</v>
      </c>
      <c r="CB70">
        <f t="shared" si="846"/>
        <v>10</v>
      </c>
      <c r="CC70">
        <f t="shared" si="847"/>
        <v>10</v>
      </c>
      <c r="CD70">
        <f t="shared" si="848"/>
        <v>10</v>
      </c>
      <c r="CE70">
        <f t="shared" si="849"/>
        <v>10</v>
      </c>
      <c r="CF70">
        <f t="shared" si="850"/>
        <v>10</v>
      </c>
      <c r="CG70">
        <f t="shared" si="851"/>
        <v>10</v>
      </c>
      <c r="CH70">
        <f t="shared" si="852"/>
        <v>10</v>
      </c>
      <c r="CI70">
        <f t="shared" si="853"/>
        <v>10</v>
      </c>
      <c r="CJ70">
        <f t="shared" si="854"/>
        <v>10</v>
      </c>
      <c r="CK70">
        <f t="shared" si="855"/>
        <v>10</v>
      </c>
      <c r="CL70">
        <f t="shared" si="856"/>
        <v>10</v>
      </c>
      <c r="CM70">
        <f t="shared" si="857"/>
        <v>10</v>
      </c>
      <c r="CN70">
        <f t="shared" si="858"/>
        <v>10</v>
      </c>
      <c r="CO70">
        <f t="shared" si="859"/>
        <v>10</v>
      </c>
      <c r="CP70">
        <f t="shared" si="860"/>
        <v>10</v>
      </c>
      <c r="CQ70">
        <f t="shared" si="861"/>
        <v>10</v>
      </c>
      <c r="CR70">
        <f t="shared" si="862"/>
        <v>10</v>
      </c>
      <c r="CS70">
        <f t="shared" si="863"/>
        <v>10</v>
      </c>
      <c r="CT70">
        <f t="shared" si="864"/>
        <v>10</v>
      </c>
      <c r="CU70">
        <f t="shared" si="865"/>
        <v>10</v>
      </c>
      <c r="CV70">
        <f t="shared" si="866"/>
        <v>10</v>
      </c>
      <c r="CW70">
        <f t="shared" si="867"/>
        <v>10</v>
      </c>
      <c r="CX70">
        <f t="shared" si="868"/>
        <v>10</v>
      </c>
      <c r="CY70">
        <f t="shared" si="869"/>
        <v>10</v>
      </c>
      <c r="CZ70">
        <f t="shared" si="870"/>
        <v>10</v>
      </c>
      <c r="DA70">
        <f t="shared" si="871"/>
        <v>10</v>
      </c>
      <c r="DB70">
        <f t="shared" si="872"/>
        <v>10</v>
      </c>
      <c r="DC70">
        <f t="shared" si="873"/>
        <v>10</v>
      </c>
      <c r="DD70">
        <f t="shared" si="874"/>
        <v>10</v>
      </c>
      <c r="DE70">
        <f t="shared" si="875"/>
        <v>10</v>
      </c>
      <c r="DF70">
        <f t="shared" si="876"/>
        <v>10</v>
      </c>
      <c r="DG70">
        <f t="shared" si="877"/>
        <v>10</v>
      </c>
      <c r="DH70">
        <f t="shared" si="878"/>
        <v>10</v>
      </c>
      <c r="DI70">
        <f t="shared" si="879"/>
        <v>10</v>
      </c>
      <c r="DJ70">
        <f t="shared" si="880"/>
        <v>10</v>
      </c>
      <c r="DK70">
        <f t="shared" si="881"/>
        <v>10</v>
      </c>
      <c r="DL70">
        <f t="shared" si="882"/>
        <v>10</v>
      </c>
      <c r="DM70">
        <f t="shared" si="883"/>
        <v>10</v>
      </c>
      <c r="DN70">
        <f t="shared" si="884"/>
        <v>10</v>
      </c>
      <c r="DO70">
        <f t="shared" si="885"/>
        <v>10</v>
      </c>
      <c r="DP70">
        <f t="shared" si="886"/>
        <v>10</v>
      </c>
      <c r="DQ70">
        <f t="shared" si="887"/>
        <v>10</v>
      </c>
      <c r="DR70">
        <f t="shared" si="888"/>
        <v>10</v>
      </c>
      <c r="DS70">
        <f t="shared" si="889"/>
        <v>10</v>
      </c>
      <c r="DT70">
        <f t="shared" si="890"/>
        <v>10</v>
      </c>
      <c r="DU70">
        <f t="shared" si="891"/>
        <v>10</v>
      </c>
      <c r="DV70">
        <f t="shared" si="892"/>
        <v>10</v>
      </c>
      <c r="DW70">
        <f t="shared" si="893"/>
        <v>10</v>
      </c>
      <c r="DX70">
        <f t="shared" si="894"/>
        <v>10</v>
      </c>
      <c r="DY70">
        <f t="shared" si="895"/>
        <v>10</v>
      </c>
      <c r="DZ70">
        <f t="shared" si="896"/>
        <v>10</v>
      </c>
      <c r="EA70">
        <f t="shared" si="897"/>
        <v>10</v>
      </c>
      <c r="EB70">
        <f t="shared" si="898"/>
        <v>10</v>
      </c>
      <c r="EC70">
        <f t="shared" si="899"/>
        <v>10</v>
      </c>
      <c r="ED70">
        <f t="shared" si="900"/>
        <v>10</v>
      </c>
      <c r="EE70">
        <f t="shared" si="901"/>
        <v>10</v>
      </c>
      <c r="EF70">
        <f t="shared" si="902"/>
        <v>10</v>
      </c>
      <c r="EG70">
        <f t="shared" si="903"/>
        <v>10</v>
      </c>
      <c r="EH70">
        <f t="shared" si="904"/>
        <v>10</v>
      </c>
      <c r="EI70">
        <f t="shared" si="905"/>
        <v>10</v>
      </c>
      <c r="EJ70">
        <f t="shared" si="906"/>
        <v>10</v>
      </c>
      <c r="EK70">
        <f t="shared" si="907"/>
        <v>10</v>
      </c>
      <c r="EL70">
        <f t="shared" si="908"/>
        <v>10</v>
      </c>
      <c r="EM70">
        <f t="shared" si="909"/>
        <v>10</v>
      </c>
      <c r="EN70">
        <f t="shared" si="910"/>
        <v>10</v>
      </c>
      <c r="EO70">
        <f t="shared" si="911"/>
        <v>10</v>
      </c>
      <c r="EP70">
        <f t="shared" si="912"/>
        <v>10</v>
      </c>
      <c r="EQ70">
        <f t="shared" si="913"/>
        <v>10</v>
      </c>
      <c r="ER70">
        <f t="shared" si="914"/>
        <v>10</v>
      </c>
      <c r="ES70">
        <f t="shared" si="915"/>
        <v>10</v>
      </c>
      <c r="ET70">
        <f t="shared" si="916"/>
        <v>10</v>
      </c>
      <c r="EU70">
        <f t="shared" si="917"/>
        <v>10</v>
      </c>
      <c r="EV70">
        <f t="shared" si="918"/>
        <v>10</v>
      </c>
      <c r="EW70">
        <f t="shared" si="919"/>
        <v>10</v>
      </c>
      <c r="EX70">
        <f t="shared" si="920"/>
        <v>10</v>
      </c>
      <c r="EY70">
        <f t="shared" si="921"/>
        <v>10</v>
      </c>
      <c r="EZ70">
        <f t="shared" si="922"/>
        <v>10</v>
      </c>
      <c r="FA70">
        <f t="shared" si="923"/>
        <v>10</v>
      </c>
      <c r="FB70">
        <f t="shared" si="924"/>
        <v>10</v>
      </c>
      <c r="FC70">
        <f t="shared" si="925"/>
        <v>10</v>
      </c>
      <c r="FD70">
        <f t="shared" si="926"/>
        <v>10</v>
      </c>
      <c r="FE70">
        <f t="shared" si="927"/>
        <v>10</v>
      </c>
      <c r="FF70">
        <f t="shared" si="928"/>
        <v>10</v>
      </c>
      <c r="FG70">
        <f t="shared" si="929"/>
        <v>10</v>
      </c>
      <c r="FH70">
        <f t="shared" si="930"/>
        <v>10</v>
      </c>
      <c r="FI70">
        <f t="shared" si="931"/>
        <v>10</v>
      </c>
      <c r="FJ70">
        <f t="shared" si="932"/>
        <v>10</v>
      </c>
      <c r="FK70">
        <f t="shared" si="933"/>
        <v>10</v>
      </c>
      <c r="FL70">
        <f t="shared" si="934"/>
        <v>10</v>
      </c>
      <c r="FM70">
        <f t="shared" si="935"/>
        <v>10</v>
      </c>
      <c r="FN70">
        <f t="shared" si="936"/>
        <v>10</v>
      </c>
      <c r="FO70">
        <f t="shared" si="937"/>
        <v>10</v>
      </c>
      <c r="FP70">
        <f t="shared" si="938"/>
        <v>10</v>
      </c>
      <c r="FQ70">
        <f t="shared" si="939"/>
        <v>10</v>
      </c>
      <c r="FR70">
        <f t="shared" si="940"/>
        <v>10</v>
      </c>
      <c r="FS70">
        <f t="shared" si="941"/>
        <v>10</v>
      </c>
      <c r="FT70">
        <f t="shared" si="942"/>
        <v>10</v>
      </c>
      <c r="FU70">
        <f t="shared" si="943"/>
        <v>10</v>
      </c>
      <c r="FV70">
        <f t="shared" si="944"/>
        <v>10</v>
      </c>
      <c r="FW70">
        <f t="shared" si="945"/>
        <v>10</v>
      </c>
      <c r="FX70">
        <f t="shared" si="946"/>
        <v>10</v>
      </c>
      <c r="FY70">
        <f t="shared" si="947"/>
        <v>10</v>
      </c>
      <c r="FZ70">
        <f t="shared" si="948"/>
        <v>10</v>
      </c>
      <c r="GA70">
        <f t="shared" si="949"/>
        <v>10</v>
      </c>
      <c r="GB70">
        <f t="shared" si="950"/>
        <v>10</v>
      </c>
      <c r="GC70">
        <f t="shared" si="951"/>
        <v>10</v>
      </c>
      <c r="GD70">
        <f t="shared" si="952"/>
        <v>10</v>
      </c>
      <c r="GE70">
        <f t="shared" si="953"/>
        <v>10</v>
      </c>
      <c r="GF70">
        <f t="shared" si="954"/>
        <v>10</v>
      </c>
      <c r="GG70">
        <f t="shared" si="955"/>
        <v>10</v>
      </c>
      <c r="GH70">
        <f t="shared" si="956"/>
        <v>10</v>
      </c>
      <c r="GI70">
        <f t="shared" si="957"/>
        <v>10</v>
      </c>
      <c r="GJ70">
        <f t="shared" si="958"/>
        <v>10</v>
      </c>
      <c r="GK70">
        <f t="shared" si="959"/>
        <v>10</v>
      </c>
      <c r="GL70">
        <f t="shared" si="960"/>
        <v>10</v>
      </c>
      <c r="GM70">
        <f t="shared" si="961"/>
        <v>10</v>
      </c>
      <c r="GN70">
        <f t="shared" si="962"/>
        <v>10</v>
      </c>
      <c r="GO70">
        <f t="shared" si="963"/>
        <v>10</v>
      </c>
      <c r="GP70">
        <f t="shared" si="964"/>
        <v>10</v>
      </c>
      <c r="GQ70">
        <f t="shared" si="965"/>
        <v>10</v>
      </c>
      <c r="GR70">
        <f t="shared" si="966"/>
        <v>10</v>
      </c>
      <c r="GS70">
        <f t="shared" si="967"/>
        <v>10</v>
      </c>
      <c r="GT70">
        <f t="shared" si="968"/>
        <v>10</v>
      </c>
      <c r="GU70">
        <f t="shared" si="969"/>
        <v>10</v>
      </c>
      <c r="GV70">
        <f t="shared" si="970"/>
        <v>10</v>
      </c>
      <c r="GW70">
        <f t="shared" si="971"/>
        <v>10</v>
      </c>
      <c r="GX70">
        <f t="shared" si="972"/>
        <v>10</v>
      </c>
      <c r="GY70">
        <f t="shared" si="973"/>
        <v>10</v>
      </c>
      <c r="GZ70">
        <f t="shared" si="974"/>
        <v>10</v>
      </c>
      <c r="HA70">
        <f t="shared" si="975"/>
        <v>10</v>
      </c>
      <c r="HB70">
        <f t="shared" si="976"/>
        <v>10</v>
      </c>
      <c r="HC70">
        <f t="shared" si="977"/>
        <v>10</v>
      </c>
      <c r="HD70">
        <f t="shared" si="978"/>
        <v>10</v>
      </c>
      <c r="HE70">
        <f t="shared" si="979"/>
        <v>10</v>
      </c>
      <c r="HF70">
        <f t="shared" si="980"/>
        <v>10</v>
      </c>
      <c r="HG70">
        <f t="shared" si="981"/>
        <v>10</v>
      </c>
      <c r="HH70">
        <f t="shared" si="982"/>
        <v>10</v>
      </c>
      <c r="HI70">
        <f t="shared" si="983"/>
        <v>10</v>
      </c>
      <c r="HJ70">
        <f t="shared" si="984"/>
        <v>10</v>
      </c>
      <c r="HK70">
        <f t="shared" si="985"/>
        <v>10</v>
      </c>
      <c r="HL70">
        <f t="shared" si="986"/>
        <v>10</v>
      </c>
      <c r="HM70">
        <f t="shared" si="987"/>
        <v>10</v>
      </c>
      <c r="HN70">
        <f t="shared" si="988"/>
        <v>10</v>
      </c>
      <c r="HO70">
        <f t="shared" si="989"/>
        <v>10</v>
      </c>
      <c r="HP70">
        <f t="shared" si="990"/>
        <v>10</v>
      </c>
      <c r="HQ70">
        <f t="shared" si="991"/>
        <v>10</v>
      </c>
      <c r="HR70">
        <f t="shared" si="992"/>
        <v>10</v>
      </c>
      <c r="HS70">
        <f t="shared" si="993"/>
        <v>10</v>
      </c>
      <c r="HT70">
        <f t="shared" si="994"/>
        <v>10</v>
      </c>
      <c r="HU70">
        <f t="shared" si="995"/>
        <v>10</v>
      </c>
      <c r="HV70">
        <f t="shared" si="996"/>
        <v>10</v>
      </c>
      <c r="HW70">
        <f t="shared" si="997"/>
        <v>10</v>
      </c>
      <c r="HX70">
        <f t="shared" si="998"/>
        <v>10</v>
      </c>
      <c r="HY70">
        <f t="shared" si="999"/>
        <v>10</v>
      </c>
      <c r="HZ70">
        <f t="shared" si="1000"/>
        <v>10</v>
      </c>
      <c r="IA70">
        <f t="shared" si="1001"/>
        <v>10</v>
      </c>
      <c r="IB70">
        <f t="shared" si="1002"/>
        <v>10</v>
      </c>
      <c r="IC70">
        <f t="shared" si="1003"/>
        <v>10</v>
      </c>
      <c r="ID70">
        <f t="shared" si="1004"/>
        <v>10</v>
      </c>
      <c r="IE70">
        <f t="shared" si="1005"/>
        <v>10</v>
      </c>
      <c r="IF70">
        <f t="shared" si="1006"/>
        <v>10</v>
      </c>
      <c r="IG70">
        <f t="shared" si="1007"/>
        <v>10</v>
      </c>
      <c r="IH70">
        <f t="shared" si="1008"/>
        <v>10</v>
      </c>
      <c r="II70">
        <f t="shared" si="1009"/>
        <v>10</v>
      </c>
      <c r="IJ70">
        <f t="shared" si="1010"/>
        <v>10</v>
      </c>
      <c r="IK70">
        <f t="shared" si="1011"/>
        <v>10</v>
      </c>
      <c r="IL70">
        <f t="shared" si="1012"/>
        <v>10</v>
      </c>
      <c r="IM70">
        <f t="shared" si="1013"/>
        <v>10</v>
      </c>
      <c r="IN70">
        <f t="shared" si="1014"/>
        <v>10</v>
      </c>
      <c r="IO70">
        <f t="shared" si="1015"/>
        <v>10</v>
      </c>
      <c r="IP70">
        <f t="shared" si="1016"/>
        <v>10</v>
      </c>
      <c r="IQ70">
        <f t="shared" si="1017"/>
        <v>10</v>
      </c>
      <c r="IR70">
        <f t="shared" si="1018"/>
        <v>10</v>
      </c>
      <c r="IS70">
        <f t="shared" si="1019"/>
        <v>10</v>
      </c>
      <c r="IT70">
        <f t="shared" si="1020"/>
        <v>10</v>
      </c>
      <c r="IU70">
        <f t="shared" si="1021"/>
        <v>10</v>
      </c>
      <c r="IV70">
        <f t="shared" si="1022"/>
        <v>10</v>
      </c>
    </row>
    <row r="71" spans="1:256" x14ac:dyDescent="0.2">
      <c r="A71" t="s">
        <v>542</v>
      </c>
      <c r="B71">
        <f>MIN(1,B37*B89*B90*B93*B94*B97*B98)</f>
        <v>2.1500306596771043E-2</v>
      </c>
      <c r="C71">
        <f>MIN(1,C37*C89*C90*C93*C94*C97*C98)</f>
        <v>1</v>
      </c>
      <c r="D71">
        <f t="shared" ref="D71:BO71" si="1023">MIN(1,D37*D89*D90*D93*D94*D97*D98)</f>
        <v>1</v>
      </c>
      <c r="E71">
        <f t="shared" si="1023"/>
        <v>1</v>
      </c>
      <c r="F71">
        <f t="shared" si="1023"/>
        <v>1</v>
      </c>
      <c r="G71">
        <f t="shared" si="1023"/>
        <v>1</v>
      </c>
      <c r="H71">
        <f t="shared" si="1023"/>
        <v>1</v>
      </c>
      <c r="I71">
        <f t="shared" si="1023"/>
        <v>1</v>
      </c>
      <c r="J71">
        <f t="shared" si="1023"/>
        <v>1</v>
      </c>
      <c r="K71">
        <f t="shared" si="1023"/>
        <v>1</v>
      </c>
      <c r="L71">
        <f t="shared" si="1023"/>
        <v>1</v>
      </c>
      <c r="M71">
        <f t="shared" si="1023"/>
        <v>1</v>
      </c>
      <c r="N71">
        <f t="shared" si="1023"/>
        <v>1</v>
      </c>
      <c r="O71">
        <f t="shared" si="1023"/>
        <v>1</v>
      </c>
      <c r="P71">
        <f t="shared" si="1023"/>
        <v>1</v>
      </c>
      <c r="Q71">
        <f t="shared" si="1023"/>
        <v>1</v>
      </c>
      <c r="R71">
        <f t="shared" si="1023"/>
        <v>1</v>
      </c>
      <c r="S71">
        <f t="shared" si="1023"/>
        <v>1</v>
      </c>
      <c r="T71">
        <f t="shared" si="1023"/>
        <v>1</v>
      </c>
      <c r="U71">
        <f t="shared" si="1023"/>
        <v>1</v>
      </c>
      <c r="V71">
        <f t="shared" si="1023"/>
        <v>1</v>
      </c>
      <c r="W71">
        <f t="shared" si="1023"/>
        <v>1</v>
      </c>
      <c r="X71">
        <f t="shared" si="1023"/>
        <v>1</v>
      </c>
      <c r="Y71">
        <f t="shared" si="1023"/>
        <v>1</v>
      </c>
      <c r="Z71">
        <f t="shared" si="1023"/>
        <v>0.12877407075641742</v>
      </c>
      <c r="AA71">
        <f t="shared" si="1023"/>
        <v>0.13059468379424335</v>
      </c>
      <c r="AB71">
        <f t="shared" si="1023"/>
        <v>0.13235400710558554</v>
      </c>
      <c r="AC71">
        <f t="shared" si="1023"/>
        <v>0.13405303728760343</v>
      </c>
      <c r="AD71">
        <f t="shared" si="1023"/>
        <v>0.13569276036141961</v>
      </c>
      <c r="AE71">
        <f t="shared" si="1023"/>
        <v>0.13727415118201905</v>
      </c>
      <c r="AF71">
        <f t="shared" si="1023"/>
        <v>0.13879817325257293</v>
      </c>
      <c r="AG71">
        <f t="shared" si="1023"/>
        <v>0.14026577885134903</v>
      </c>
      <c r="AH71">
        <f t="shared" si="1023"/>
        <v>1</v>
      </c>
      <c r="AI71">
        <f t="shared" si="1023"/>
        <v>1</v>
      </c>
      <c r="AJ71">
        <f t="shared" si="1023"/>
        <v>1</v>
      </c>
      <c r="AK71">
        <f t="shared" si="1023"/>
        <v>1</v>
      </c>
      <c r="AL71">
        <f t="shared" si="1023"/>
        <v>1</v>
      </c>
      <c r="AM71">
        <f t="shared" si="1023"/>
        <v>1</v>
      </c>
      <c r="AN71">
        <f t="shared" si="1023"/>
        <v>1</v>
      </c>
      <c r="AO71">
        <f t="shared" si="1023"/>
        <v>1</v>
      </c>
      <c r="AP71">
        <f t="shared" si="1023"/>
        <v>1</v>
      </c>
      <c r="AQ71">
        <f t="shared" si="1023"/>
        <v>1</v>
      </c>
      <c r="AR71">
        <f t="shared" si="1023"/>
        <v>1</v>
      </c>
      <c r="AS71">
        <f t="shared" si="1023"/>
        <v>1</v>
      </c>
      <c r="AT71">
        <f t="shared" si="1023"/>
        <v>1</v>
      </c>
      <c r="AU71">
        <f t="shared" si="1023"/>
        <v>1</v>
      </c>
      <c r="AV71">
        <f t="shared" si="1023"/>
        <v>1</v>
      </c>
      <c r="AW71">
        <f t="shared" si="1023"/>
        <v>1</v>
      </c>
      <c r="AX71">
        <f t="shared" si="1023"/>
        <v>0.74654348249598368</v>
      </c>
      <c r="AY71">
        <f t="shared" si="1023"/>
        <v>0.7590924685386411</v>
      </c>
      <c r="AZ71">
        <f t="shared" si="1023"/>
        <v>0.77232351424971135</v>
      </c>
      <c r="BA71">
        <f t="shared" si="1023"/>
        <v>0.78628124555922241</v>
      </c>
      <c r="BB71">
        <f t="shared" si="1023"/>
        <v>0.80101349461415905</v>
      </c>
      <c r="BC71">
        <f t="shared" si="1023"/>
        <v>0.81657162456899002</v>
      </c>
      <c r="BD71">
        <f t="shared" si="1023"/>
        <v>0.83301088933158307</v>
      </c>
      <c r="BE71">
        <f t="shared" si="1023"/>
        <v>0.85039083291216544</v>
      </c>
      <c r="BF71">
        <f t="shared" si="1023"/>
        <v>0.8687757337120583</v>
      </c>
      <c r="BG71">
        <f t="shared" si="1023"/>
        <v>0.8882350998955999</v>
      </c>
      <c r="BH71">
        <f t="shared" si="1023"/>
        <v>0.9088442229350665</v>
      </c>
      <c r="BI71">
        <f t="shared" si="1023"/>
        <v>0.93050565339411517</v>
      </c>
      <c r="BJ71">
        <f t="shared" si="1023"/>
        <v>0.95290388168946172</v>
      </c>
      <c r="BK71">
        <f t="shared" si="1023"/>
        <v>0.97607387228367182</v>
      </c>
      <c r="BL71">
        <f t="shared" si="1023"/>
        <v>1</v>
      </c>
      <c r="BM71">
        <f t="shared" si="1023"/>
        <v>1</v>
      </c>
      <c r="BN71">
        <f t="shared" si="1023"/>
        <v>1</v>
      </c>
      <c r="BO71">
        <f t="shared" si="1023"/>
        <v>1</v>
      </c>
      <c r="BP71">
        <f t="shared" ref="BP71:EA71" si="1024">MIN(1,BP37*BP89*BP90*BP93*BP94*BP97*BP98)</f>
        <v>1</v>
      </c>
      <c r="BQ71">
        <f t="shared" si="1024"/>
        <v>1</v>
      </c>
      <c r="BR71">
        <f t="shared" si="1024"/>
        <v>1</v>
      </c>
      <c r="BS71">
        <f t="shared" si="1024"/>
        <v>1</v>
      </c>
      <c r="BT71">
        <f t="shared" si="1024"/>
        <v>1</v>
      </c>
      <c r="BU71">
        <f t="shared" si="1024"/>
        <v>1</v>
      </c>
      <c r="BV71">
        <f t="shared" si="1024"/>
        <v>1</v>
      </c>
      <c r="BW71">
        <f t="shared" si="1024"/>
        <v>1</v>
      </c>
      <c r="BX71">
        <f t="shared" si="1024"/>
        <v>1</v>
      </c>
      <c r="BY71">
        <f t="shared" si="1024"/>
        <v>1</v>
      </c>
      <c r="BZ71">
        <f t="shared" si="1024"/>
        <v>1</v>
      </c>
      <c r="CA71">
        <f t="shared" si="1024"/>
        <v>1</v>
      </c>
      <c r="CB71">
        <f t="shared" si="1024"/>
        <v>1</v>
      </c>
      <c r="CC71">
        <f t="shared" si="1024"/>
        <v>1</v>
      </c>
      <c r="CD71">
        <f t="shared" si="1024"/>
        <v>1</v>
      </c>
      <c r="CE71">
        <f t="shared" si="1024"/>
        <v>1</v>
      </c>
      <c r="CF71">
        <f t="shared" si="1024"/>
        <v>1</v>
      </c>
      <c r="CG71">
        <f t="shared" si="1024"/>
        <v>1</v>
      </c>
      <c r="CH71">
        <f t="shared" si="1024"/>
        <v>1</v>
      </c>
      <c r="CI71">
        <f t="shared" si="1024"/>
        <v>1</v>
      </c>
      <c r="CJ71">
        <f t="shared" si="1024"/>
        <v>1</v>
      </c>
      <c r="CK71">
        <f t="shared" si="1024"/>
        <v>1</v>
      </c>
      <c r="CL71">
        <f t="shared" si="1024"/>
        <v>1</v>
      </c>
      <c r="CM71">
        <f t="shared" si="1024"/>
        <v>1</v>
      </c>
      <c r="CN71">
        <f t="shared" si="1024"/>
        <v>1</v>
      </c>
      <c r="CO71">
        <f t="shared" si="1024"/>
        <v>1</v>
      </c>
      <c r="CP71">
        <f t="shared" si="1024"/>
        <v>1</v>
      </c>
      <c r="CQ71">
        <f t="shared" si="1024"/>
        <v>1</v>
      </c>
      <c r="CR71">
        <f t="shared" si="1024"/>
        <v>1</v>
      </c>
      <c r="CS71">
        <f t="shared" si="1024"/>
        <v>1</v>
      </c>
      <c r="CT71">
        <f t="shared" si="1024"/>
        <v>1</v>
      </c>
      <c r="CU71">
        <f t="shared" si="1024"/>
        <v>1</v>
      </c>
      <c r="CV71">
        <f t="shared" si="1024"/>
        <v>1</v>
      </c>
      <c r="CW71">
        <f t="shared" si="1024"/>
        <v>1</v>
      </c>
      <c r="CX71">
        <f t="shared" si="1024"/>
        <v>1</v>
      </c>
      <c r="CY71">
        <f t="shared" si="1024"/>
        <v>1</v>
      </c>
      <c r="CZ71">
        <f t="shared" si="1024"/>
        <v>1</v>
      </c>
      <c r="DA71">
        <f t="shared" si="1024"/>
        <v>1</v>
      </c>
      <c r="DB71">
        <f t="shared" si="1024"/>
        <v>1</v>
      </c>
      <c r="DC71">
        <f t="shared" si="1024"/>
        <v>1</v>
      </c>
      <c r="DD71">
        <f t="shared" si="1024"/>
        <v>1</v>
      </c>
      <c r="DE71">
        <f t="shared" si="1024"/>
        <v>1</v>
      </c>
      <c r="DF71">
        <f t="shared" si="1024"/>
        <v>1</v>
      </c>
      <c r="DG71">
        <f t="shared" si="1024"/>
        <v>1</v>
      </c>
      <c r="DH71">
        <f t="shared" si="1024"/>
        <v>1</v>
      </c>
      <c r="DI71">
        <f t="shared" si="1024"/>
        <v>1</v>
      </c>
      <c r="DJ71">
        <f t="shared" si="1024"/>
        <v>1</v>
      </c>
      <c r="DK71">
        <f t="shared" si="1024"/>
        <v>1</v>
      </c>
      <c r="DL71">
        <f t="shared" si="1024"/>
        <v>1</v>
      </c>
      <c r="DM71">
        <f t="shared" si="1024"/>
        <v>1</v>
      </c>
      <c r="DN71">
        <f t="shared" si="1024"/>
        <v>1</v>
      </c>
      <c r="DO71">
        <f t="shared" si="1024"/>
        <v>1</v>
      </c>
      <c r="DP71">
        <f t="shared" si="1024"/>
        <v>1</v>
      </c>
      <c r="DQ71">
        <f t="shared" si="1024"/>
        <v>1</v>
      </c>
      <c r="DR71">
        <f t="shared" si="1024"/>
        <v>1</v>
      </c>
      <c r="DS71">
        <f t="shared" si="1024"/>
        <v>1</v>
      </c>
      <c r="DT71">
        <f t="shared" si="1024"/>
        <v>1</v>
      </c>
      <c r="DU71">
        <f t="shared" si="1024"/>
        <v>1</v>
      </c>
      <c r="DV71">
        <f t="shared" si="1024"/>
        <v>1</v>
      </c>
      <c r="DW71">
        <f t="shared" si="1024"/>
        <v>1</v>
      </c>
      <c r="DX71">
        <f t="shared" si="1024"/>
        <v>1</v>
      </c>
      <c r="DY71">
        <f t="shared" si="1024"/>
        <v>1</v>
      </c>
      <c r="DZ71">
        <f t="shared" si="1024"/>
        <v>1</v>
      </c>
      <c r="EA71">
        <f t="shared" si="1024"/>
        <v>1</v>
      </c>
      <c r="EB71">
        <f t="shared" ref="EB71:GM71" si="1025">MIN(1,EB37*EB89*EB90*EB93*EB94*EB97*EB98)</f>
        <v>1</v>
      </c>
      <c r="EC71">
        <f t="shared" si="1025"/>
        <v>1</v>
      </c>
      <c r="ED71">
        <f t="shared" si="1025"/>
        <v>1</v>
      </c>
      <c r="EE71">
        <f t="shared" si="1025"/>
        <v>1</v>
      </c>
      <c r="EF71">
        <f t="shared" si="1025"/>
        <v>1</v>
      </c>
      <c r="EG71">
        <f t="shared" si="1025"/>
        <v>1</v>
      </c>
      <c r="EH71">
        <f t="shared" si="1025"/>
        <v>1</v>
      </c>
      <c r="EI71">
        <f t="shared" si="1025"/>
        <v>1</v>
      </c>
      <c r="EJ71">
        <f t="shared" si="1025"/>
        <v>1</v>
      </c>
      <c r="EK71">
        <f t="shared" si="1025"/>
        <v>1</v>
      </c>
      <c r="EL71">
        <f t="shared" si="1025"/>
        <v>1</v>
      </c>
      <c r="EM71">
        <f t="shared" si="1025"/>
        <v>1</v>
      </c>
      <c r="EN71">
        <f t="shared" si="1025"/>
        <v>1</v>
      </c>
      <c r="EO71">
        <f t="shared" si="1025"/>
        <v>1</v>
      </c>
      <c r="EP71">
        <f t="shared" si="1025"/>
        <v>1</v>
      </c>
      <c r="EQ71">
        <f t="shared" si="1025"/>
        <v>1</v>
      </c>
      <c r="ER71">
        <f t="shared" si="1025"/>
        <v>1</v>
      </c>
      <c r="ES71">
        <f t="shared" si="1025"/>
        <v>1</v>
      </c>
      <c r="ET71">
        <f t="shared" si="1025"/>
        <v>1</v>
      </c>
      <c r="EU71">
        <f t="shared" si="1025"/>
        <v>1</v>
      </c>
      <c r="EV71">
        <f t="shared" si="1025"/>
        <v>1</v>
      </c>
      <c r="EW71">
        <f t="shared" si="1025"/>
        <v>1</v>
      </c>
      <c r="EX71">
        <f t="shared" si="1025"/>
        <v>1</v>
      </c>
      <c r="EY71">
        <f t="shared" si="1025"/>
        <v>1</v>
      </c>
      <c r="EZ71">
        <f t="shared" si="1025"/>
        <v>1</v>
      </c>
      <c r="FA71">
        <f t="shared" si="1025"/>
        <v>1</v>
      </c>
      <c r="FB71">
        <f t="shared" si="1025"/>
        <v>1</v>
      </c>
      <c r="FC71">
        <f t="shared" si="1025"/>
        <v>1</v>
      </c>
      <c r="FD71">
        <f t="shared" si="1025"/>
        <v>1</v>
      </c>
      <c r="FE71">
        <f t="shared" si="1025"/>
        <v>1</v>
      </c>
      <c r="FF71">
        <f t="shared" si="1025"/>
        <v>1</v>
      </c>
      <c r="FG71">
        <f t="shared" si="1025"/>
        <v>1</v>
      </c>
      <c r="FH71">
        <f t="shared" si="1025"/>
        <v>1</v>
      </c>
      <c r="FI71">
        <f t="shared" si="1025"/>
        <v>1</v>
      </c>
      <c r="FJ71">
        <f t="shared" si="1025"/>
        <v>1</v>
      </c>
      <c r="FK71">
        <f t="shared" si="1025"/>
        <v>1</v>
      </c>
      <c r="FL71">
        <f t="shared" si="1025"/>
        <v>1</v>
      </c>
      <c r="FM71">
        <f t="shared" si="1025"/>
        <v>1</v>
      </c>
      <c r="FN71">
        <f t="shared" si="1025"/>
        <v>1</v>
      </c>
      <c r="FO71">
        <f t="shared" si="1025"/>
        <v>1</v>
      </c>
      <c r="FP71">
        <f t="shared" si="1025"/>
        <v>1</v>
      </c>
      <c r="FQ71">
        <f t="shared" si="1025"/>
        <v>1</v>
      </c>
      <c r="FR71">
        <f t="shared" si="1025"/>
        <v>1</v>
      </c>
      <c r="FS71">
        <f t="shared" si="1025"/>
        <v>1</v>
      </c>
      <c r="FT71">
        <f t="shared" si="1025"/>
        <v>1</v>
      </c>
      <c r="FU71">
        <f t="shared" si="1025"/>
        <v>1</v>
      </c>
      <c r="FV71">
        <f t="shared" si="1025"/>
        <v>1</v>
      </c>
      <c r="FW71">
        <f t="shared" si="1025"/>
        <v>1</v>
      </c>
      <c r="FX71">
        <f t="shared" si="1025"/>
        <v>1</v>
      </c>
      <c r="FY71">
        <f t="shared" si="1025"/>
        <v>1</v>
      </c>
      <c r="FZ71">
        <f t="shared" si="1025"/>
        <v>1</v>
      </c>
      <c r="GA71">
        <f t="shared" si="1025"/>
        <v>1</v>
      </c>
      <c r="GB71">
        <f t="shared" si="1025"/>
        <v>1</v>
      </c>
      <c r="GC71">
        <f t="shared" si="1025"/>
        <v>1</v>
      </c>
      <c r="GD71">
        <f t="shared" si="1025"/>
        <v>1</v>
      </c>
      <c r="GE71">
        <f t="shared" si="1025"/>
        <v>1</v>
      </c>
      <c r="GF71">
        <f t="shared" si="1025"/>
        <v>1</v>
      </c>
      <c r="GG71">
        <f t="shared" si="1025"/>
        <v>1</v>
      </c>
      <c r="GH71">
        <f t="shared" si="1025"/>
        <v>1</v>
      </c>
      <c r="GI71">
        <f t="shared" si="1025"/>
        <v>1</v>
      </c>
      <c r="GJ71">
        <f t="shared" si="1025"/>
        <v>1</v>
      </c>
      <c r="GK71">
        <f t="shared" si="1025"/>
        <v>1</v>
      </c>
      <c r="GL71">
        <f t="shared" si="1025"/>
        <v>1</v>
      </c>
      <c r="GM71">
        <f t="shared" si="1025"/>
        <v>1</v>
      </c>
      <c r="GN71">
        <f t="shared" ref="GN71:IV71" si="1026">MIN(1,GN37*GN89*GN90*GN93*GN94*GN97*GN98)</f>
        <v>1</v>
      </c>
      <c r="GO71">
        <f t="shared" si="1026"/>
        <v>1</v>
      </c>
      <c r="GP71">
        <f t="shared" si="1026"/>
        <v>1</v>
      </c>
      <c r="GQ71">
        <f t="shared" si="1026"/>
        <v>1</v>
      </c>
      <c r="GR71">
        <f t="shared" si="1026"/>
        <v>1</v>
      </c>
      <c r="GS71">
        <f t="shared" si="1026"/>
        <v>1</v>
      </c>
      <c r="GT71">
        <f t="shared" si="1026"/>
        <v>1</v>
      </c>
      <c r="GU71">
        <f t="shared" si="1026"/>
        <v>1</v>
      </c>
      <c r="GV71">
        <f t="shared" si="1026"/>
        <v>1</v>
      </c>
      <c r="GW71">
        <f t="shared" si="1026"/>
        <v>1</v>
      </c>
      <c r="GX71">
        <f t="shared" si="1026"/>
        <v>1</v>
      </c>
      <c r="GY71">
        <f t="shared" si="1026"/>
        <v>1</v>
      </c>
      <c r="GZ71">
        <f t="shared" si="1026"/>
        <v>1</v>
      </c>
      <c r="HA71">
        <f t="shared" si="1026"/>
        <v>1</v>
      </c>
      <c r="HB71">
        <f t="shared" si="1026"/>
        <v>1</v>
      </c>
      <c r="HC71">
        <f t="shared" si="1026"/>
        <v>1</v>
      </c>
      <c r="HD71">
        <f t="shared" si="1026"/>
        <v>1</v>
      </c>
      <c r="HE71">
        <f t="shared" si="1026"/>
        <v>1</v>
      </c>
      <c r="HF71">
        <f t="shared" si="1026"/>
        <v>1</v>
      </c>
      <c r="HG71">
        <f t="shared" si="1026"/>
        <v>1</v>
      </c>
      <c r="HH71">
        <f t="shared" si="1026"/>
        <v>1</v>
      </c>
      <c r="HI71">
        <f t="shared" si="1026"/>
        <v>1</v>
      </c>
      <c r="HJ71">
        <f t="shared" si="1026"/>
        <v>1</v>
      </c>
      <c r="HK71">
        <f t="shared" si="1026"/>
        <v>1</v>
      </c>
      <c r="HL71">
        <f t="shared" si="1026"/>
        <v>1</v>
      </c>
      <c r="HM71">
        <f t="shared" si="1026"/>
        <v>1</v>
      </c>
      <c r="HN71">
        <f t="shared" si="1026"/>
        <v>1</v>
      </c>
      <c r="HO71">
        <f t="shared" si="1026"/>
        <v>1</v>
      </c>
      <c r="HP71">
        <f t="shared" si="1026"/>
        <v>1</v>
      </c>
      <c r="HQ71">
        <f t="shared" si="1026"/>
        <v>1</v>
      </c>
      <c r="HR71">
        <f t="shared" si="1026"/>
        <v>1</v>
      </c>
      <c r="HS71">
        <f t="shared" si="1026"/>
        <v>1</v>
      </c>
      <c r="HT71">
        <f t="shared" si="1026"/>
        <v>1</v>
      </c>
      <c r="HU71">
        <f t="shared" si="1026"/>
        <v>1</v>
      </c>
      <c r="HV71">
        <f t="shared" si="1026"/>
        <v>1</v>
      </c>
      <c r="HW71">
        <f t="shared" si="1026"/>
        <v>1</v>
      </c>
      <c r="HX71">
        <f t="shared" si="1026"/>
        <v>1</v>
      </c>
      <c r="HY71">
        <f t="shared" si="1026"/>
        <v>1</v>
      </c>
      <c r="HZ71">
        <f t="shared" si="1026"/>
        <v>1</v>
      </c>
      <c r="IA71">
        <f t="shared" si="1026"/>
        <v>1</v>
      </c>
      <c r="IB71">
        <f t="shared" si="1026"/>
        <v>1</v>
      </c>
      <c r="IC71">
        <f t="shared" si="1026"/>
        <v>1</v>
      </c>
      <c r="ID71">
        <f t="shared" si="1026"/>
        <v>1</v>
      </c>
      <c r="IE71">
        <f t="shared" si="1026"/>
        <v>1</v>
      </c>
      <c r="IF71">
        <f t="shared" si="1026"/>
        <v>1</v>
      </c>
      <c r="IG71">
        <f t="shared" si="1026"/>
        <v>1</v>
      </c>
      <c r="IH71">
        <f t="shared" si="1026"/>
        <v>1</v>
      </c>
      <c r="II71">
        <f t="shared" si="1026"/>
        <v>1</v>
      </c>
      <c r="IJ71">
        <f t="shared" si="1026"/>
        <v>1</v>
      </c>
      <c r="IK71">
        <f t="shared" si="1026"/>
        <v>1</v>
      </c>
      <c r="IL71">
        <f t="shared" si="1026"/>
        <v>1</v>
      </c>
      <c r="IM71">
        <f t="shared" si="1026"/>
        <v>1</v>
      </c>
      <c r="IN71">
        <f t="shared" si="1026"/>
        <v>1</v>
      </c>
      <c r="IO71">
        <f t="shared" si="1026"/>
        <v>1</v>
      </c>
      <c r="IP71">
        <f t="shared" si="1026"/>
        <v>1</v>
      </c>
      <c r="IQ71">
        <f t="shared" si="1026"/>
        <v>1</v>
      </c>
      <c r="IR71">
        <f t="shared" si="1026"/>
        <v>1</v>
      </c>
      <c r="IS71">
        <f t="shared" si="1026"/>
        <v>1</v>
      </c>
      <c r="IT71">
        <f t="shared" si="1026"/>
        <v>1</v>
      </c>
      <c r="IU71">
        <f t="shared" si="1026"/>
        <v>1</v>
      </c>
      <c r="IV71">
        <f t="shared" si="1026"/>
        <v>1</v>
      </c>
    </row>
    <row r="72" spans="1:256" x14ac:dyDescent="0.2">
      <c r="A72" t="s">
        <v>543</v>
      </c>
      <c r="B72">
        <f>MIN(1,B38*B93*1/B99)</f>
        <v>0.58893149964674296</v>
      </c>
      <c r="C72">
        <f>MIN(1,C38*C93*1/C99)</f>
        <v>0.64567841323054487</v>
      </c>
      <c r="D72">
        <f t="shared" ref="D72:BO72" si="1027">MIN(1,D38*D93*1/D99)</f>
        <v>0.64168078329621137</v>
      </c>
      <c r="E72">
        <f t="shared" si="1027"/>
        <v>0.63783590232917142</v>
      </c>
      <c r="F72">
        <f t="shared" si="1027"/>
        <v>0.63413274349180371</v>
      </c>
      <c r="G72">
        <f t="shared" si="1027"/>
        <v>0.63056143829486122</v>
      </c>
      <c r="H72">
        <f t="shared" si="1027"/>
        <v>0.62711313475204677</v>
      </c>
      <c r="I72">
        <f t="shared" si="1027"/>
        <v>0.62377987619865327</v>
      </c>
      <c r="J72">
        <f t="shared" si="1027"/>
        <v>0.8117902874367241</v>
      </c>
      <c r="K72">
        <f t="shared" si="1027"/>
        <v>0.800822754284509</v>
      </c>
      <c r="L72">
        <f t="shared" si="1027"/>
        <v>0.79005287536345037</v>
      </c>
      <c r="M72">
        <f t="shared" si="1027"/>
        <v>0.7794761845654623</v>
      </c>
      <c r="N72">
        <f t="shared" si="1027"/>
        <v>0.76908834455454589</v>
      </c>
      <c r="O72">
        <f t="shared" si="1027"/>
        <v>0.75888514215736647</v>
      </c>
      <c r="P72">
        <f t="shared" si="1027"/>
        <v>0.74886248395086941</v>
      </c>
      <c r="Q72">
        <f t="shared" si="1027"/>
        <v>0.7390163920371744</v>
      </c>
      <c r="R72">
        <f t="shared" si="1027"/>
        <v>0.70624644075811283</v>
      </c>
      <c r="S72">
        <f t="shared" si="1027"/>
        <v>0.69704297314293406</v>
      </c>
      <c r="T72">
        <f t="shared" si="1027"/>
        <v>0.68799955742771113</v>
      </c>
      <c r="U72">
        <f t="shared" si="1027"/>
        <v>0.67911275156414097</v>
      </c>
      <c r="V72">
        <f t="shared" si="1027"/>
        <v>0.67037920733896528</v>
      </c>
      <c r="W72">
        <f t="shared" si="1027"/>
        <v>0.66179566719981298</v>
      </c>
      <c r="X72">
        <f t="shared" si="1027"/>
        <v>0.65335896120939263</v>
      </c>
      <c r="Y72">
        <f t="shared" si="1027"/>
        <v>0.64506600412201431</v>
      </c>
      <c r="Z72">
        <f t="shared" si="1027"/>
        <v>1</v>
      </c>
      <c r="AA72">
        <f t="shared" si="1027"/>
        <v>1</v>
      </c>
      <c r="AB72">
        <f t="shared" si="1027"/>
        <v>1</v>
      </c>
      <c r="AC72">
        <f t="shared" si="1027"/>
        <v>1</v>
      </c>
      <c r="AD72">
        <f t="shared" si="1027"/>
        <v>1</v>
      </c>
      <c r="AE72">
        <f t="shared" si="1027"/>
        <v>1</v>
      </c>
      <c r="AF72">
        <f t="shared" si="1027"/>
        <v>1</v>
      </c>
      <c r="AG72">
        <f t="shared" si="1027"/>
        <v>1</v>
      </c>
      <c r="AH72">
        <f t="shared" si="1027"/>
        <v>0.26189103395580526</v>
      </c>
      <c r="AI72">
        <f t="shared" si="1027"/>
        <v>0.26452210360367084</v>
      </c>
      <c r="AJ72">
        <f t="shared" si="1027"/>
        <v>0.26713619514772313</v>
      </c>
      <c r="AK72">
        <f t="shared" si="1027"/>
        <v>0.26973273793473196</v>
      </c>
      <c r="AL72">
        <f t="shared" si="1027"/>
        <v>0.27231119300925216</v>
      </c>
      <c r="AM72">
        <f t="shared" si="1027"/>
        <v>0.27487105413061447</v>
      </c>
      <c r="AN72">
        <f t="shared" si="1027"/>
        <v>0.27741184869031388</v>
      </c>
      <c r="AO72">
        <f t="shared" si="1027"/>
        <v>0.27993313852673879</v>
      </c>
      <c r="AP72">
        <f t="shared" si="1027"/>
        <v>0.56486904126984772</v>
      </c>
      <c r="AQ72">
        <f t="shared" si="1027"/>
        <v>0.56492883944228955</v>
      </c>
      <c r="AR72">
        <f t="shared" si="1027"/>
        <v>0.56520298376329425</v>
      </c>
      <c r="AS72">
        <f t="shared" si="1027"/>
        <v>0.56567813236640585</v>
      </c>
      <c r="AT72">
        <f t="shared" si="1027"/>
        <v>0.56634228609088322</v>
      </c>
      <c r="AU72">
        <f t="shared" si="1027"/>
        <v>0.56718462810317549</v>
      </c>
      <c r="AV72">
        <f t="shared" si="1027"/>
        <v>0.56819538610881581</v>
      </c>
      <c r="AW72">
        <f t="shared" si="1027"/>
        <v>0.56936571351901544</v>
      </c>
      <c r="AX72">
        <f t="shared" si="1027"/>
        <v>0.66162694480317674</v>
      </c>
      <c r="AY72">
        <f t="shared" si="1027"/>
        <v>0.67550374802682156</v>
      </c>
      <c r="AZ72">
        <f t="shared" si="1027"/>
        <v>0.68955928318618043</v>
      </c>
      <c r="BA72">
        <f t="shared" si="1027"/>
        <v>0.70379584424857589</v>
      </c>
      <c r="BB72">
        <f t="shared" si="1027"/>
        <v>0.71821578167607059</v>
      </c>
      <c r="BC72">
        <f t="shared" si="1027"/>
        <v>0.73282149968163091</v>
      </c>
      <c r="BD72">
        <f t="shared" si="1027"/>
        <v>0.74761545386327932</v>
      </c>
      <c r="BE72">
        <f t="shared" si="1027"/>
        <v>0.7626001491526212</v>
      </c>
      <c r="BF72">
        <f t="shared" si="1027"/>
        <v>0.77777813802613183</v>
      </c>
      <c r="BG72">
        <f t="shared" si="1027"/>
        <v>0.79315201893709297</v>
      </c>
      <c r="BH72">
        <f t="shared" si="1027"/>
        <v>0.80872443493367097</v>
      </c>
      <c r="BI72">
        <f t="shared" si="1027"/>
        <v>0.8244980724347063</v>
      </c>
      <c r="BJ72">
        <f t="shared" si="1027"/>
        <v>0.84047566013969188</v>
      </c>
      <c r="BK72">
        <f t="shared" si="1027"/>
        <v>0.85665996547589085</v>
      </c>
      <c r="BL72">
        <f t="shared" si="1027"/>
        <v>0.87305378830804736</v>
      </c>
      <c r="BM72">
        <f t="shared" si="1027"/>
        <v>0.88965996016526161</v>
      </c>
      <c r="BN72">
        <f t="shared" si="1027"/>
        <v>0.90648134358238708</v>
      </c>
      <c r="BO72">
        <f t="shared" si="1027"/>
        <v>0.92352066895185647</v>
      </c>
      <c r="BP72">
        <f t="shared" ref="BP72:EA72" si="1028">MIN(1,BP38*BP93*1/BP99)</f>
        <v>0.94078049195891944</v>
      </c>
      <c r="BQ72">
        <f t="shared" si="1028"/>
        <v>0.95826341026463413</v>
      </c>
      <c r="BR72">
        <f t="shared" si="1028"/>
        <v>0.97597206672283177</v>
      </c>
      <c r="BS72">
        <f t="shared" si="1028"/>
        <v>0.99390914943817377</v>
      </c>
      <c r="BT72">
        <f t="shared" si="1028"/>
        <v>1</v>
      </c>
      <c r="BU72">
        <f t="shared" si="1028"/>
        <v>1</v>
      </c>
      <c r="BV72">
        <f t="shared" si="1028"/>
        <v>1</v>
      </c>
      <c r="BW72">
        <f t="shared" si="1028"/>
        <v>1</v>
      </c>
      <c r="BX72">
        <f t="shared" si="1028"/>
        <v>1</v>
      </c>
      <c r="BY72">
        <f t="shared" si="1028"/>
        <v>1</v>
      </c>
      <c r="BZ72">
        <f t="shared" si="1028"/>
        <v>1</v>
      </c>
      <c r="CA72">
        <f t="shared" si="1028"/>
        <v>1</v>
      </c>
      <c r="CB72">
        <f t="shared" si="1028"/>
        <v>1</v>
      </c>
      <c r="CC72">
        <f t="shared" si="1028"/>
        <v>1</v>
      </c>
      <c r="CD72">
        <f t="shared" si="1028"/>
        <v>1</v>
      </c>
      <c r="CE72">
        <f t="shared" si="1028"/>
        <v>1</v>
      </c>
      <c r="CF72">
        <f t="shared" si="1028"/>
        <v>1</v>
      </c>
      <c r="CG72">
        <f t="shared" si="1028"/>
        <v>1</v>
      </c>
      <c r="CH72">
        <f t="shared" si="1028"/>
        <v>1</v>
      </c>
      <c r="CI72">
        <f t="shared" si="1028"/>
        <v>1</v>
      </c>
      <c r="CJ72">
        <f t="shared" si="1028"/>
        <v>1</v>
      </c>
      <c r="CK72">
        <f t="shared" si="1028"/>
        <v>1</v>
      </c>
      <c r="CL72">
        <f t="shared" si="1028"/>
        <v>1</v>
      </c>
      <c r="CM72">
        <f t="shared" si="1028"/>
        <v>1</v>
      </c>
      <c r="CN72">
        <f t="shared" si="1028"/>
        <v>1</v>
      </c>
      <c r="CO72">
        <f t="shared" si="1028"/>
        <v>1</v>
      </c>
      <c r="CP72">
        <f t="shared" si="1028"/>
        <v>1</v>
      </c>
      <c r="CQ72">
        <f t="shared" si="1028"/>
        <v>1</v>
      </c>
      <c r="CR72">
        <f t="shared" si="1028"/>
        <v>1</v>
      </c>
      <c r="CS72">
        <f t="shared" si="1028"/>
        <v>1</v>
      </c>
      <c r="CT72">
        <f t="shared" si="1028"/>
        <v>1</v>
      </c>
      <c r="CU72">
        <f t="shared" si="1028"/>
        <v>1</v>
      </c>
      <c r="CV72">
        <f t="shared" si="1028"/>
        <v>1</v>
      </c>
      <c r="CW72">
        <f t="shared" si="1028"/>
        <v>1</v>
      </c>
      <c r="CX72">
        <f t="shared" si="1028"/>
        <v>1</v>
      </c>
      <c r="CY72">
        <f t="shared" si="1028"/>
        <v>1</v>
      </c>
      <c r="CZ72">
        <f t="shared" si="1028"/>
        <v>1</v>
      </c>
      <c r="DA72">
        <f t="shared" si="1028"/>
        <v>1</v>
      </c>
      <c r="DB72">
        <f t="shared" si="1028"/>
        <v>1</v>
      </c>
      <c r="DC72">
        <f t="shared" si="1028"/>
        <v>1</v>
      </c>
      <c r="DD72">
        <f t="shared" si="1028"/>
        <v>1</v>
      </c>
      <c r="DE72">
        <f t="shared" si="1028"/>
        <v>1</v>
      </c>
      <c r="DF72">
        <f t="shared" si="1028"/>
        <v>1</v>
      </c>
      <c r="DG72">
        <f t="shared" si="1028"/>
        <v>1</v>
      </c>
      <c r="DH72">
        <f t="shared" si="1028"/>
        <v>1</v>
      </c>
      <c r="DI72">
        <f t="shared" si="1028"/>
        <v>1</v>
      </c>
      <c r="DJ72">
        <f t="shared" si="1028"/>
        <v>1</v>
      </c>
      <c r="DK72">
        <f t="shared" si="1028"/>
        <v>1</v>
      </c>
      <c r="DL72">
        <f t="shared" si="1028"/>
        <v>1</v>
      </c>
      <c r="DM72">
        <f t="shared" si="1028"/>
        <v>1</v>
      </c>
      <c r="DN72">
        <f t="shared" si="1028"/>
        <v>1</v>
      </c>
      <c r="DO72">
        <f t="shared" si="1028"/>
        <v>1</v>
      </c>
      <c r="DP72">
        <f t="shared" si="1028"/>
        <v>1</v>
      </c>
      <c r="DQ72">
        <f t="shared" si="1028"/>
        <v>1</v>
      </c>
      <c r="DR72">
        <f t="shared" si="1028"/>
        <v>1</v>
      </c>
      <c r="DS72">
        <f t="shared" si="1028"/>
        <v>1</v>
      </c>
      <c r="DT72">
        <f t="shared" si="1028"/>
        <v>1</v>
      </c>
      <c r="DU72">
        <f t="shared" si="1028"/>
        <v>1</v>
      </c>
      <c r="DV72">
        <f t="shared" si="1028"/>
        <v>1</v>
      </c>
      <c r="DW72">
        <f t="shared" si="1028"/>
        <v>1</v>
      </c>
      <c r="DX72">
        <f t="shared" si="1028"/>
        <v>1</v>
      </c>
      <c r="DY72">
        <f t="shared" si="1028"/>
        <v>1</v>
      </c>
      <c r="DZ72">
        <f t="shared" si="1028"/>
        <v>1</v>
      </c>
      <c r="EA72">
        <f t="shared" si="1028"/>
        <v>1</v>
      </c>
      <c r="EB72">
        <f t="shared" ref="EB72:GM72" si="1029">MIN(1,EB38*EB93*1/EB99)</f>
        <v>1</v>
      </c>
      <c r="EC72">
        <f t="shared" si="1029"/>
        <v>1</v>
      </c>
      <c r="ED72">
        <f t="shared" si="1029"/>
        <v>1</v>
      </c>
      <c r="EE72">
        <f t="shared" si="1029"/>
        <v>1</v>
      </c>
      <c r="EF72">
        <f t="shared" si="1029"/>
        <v>1</v>
      </c>
      <c r="EG72">
        <f t="shared" si="1029"/>
        <v>1</v>
      </c>
      <c r="EH72">
        <f t="shared" si="1029"/>
        <v>1</v>
      </c>
      <c r="EI72">
        <f t="shared" si="1029"/>
        <v>1</v>
      </c>
      <c r="EJ72">
        <f t="shared" si="1029"/>
        <v>1</v>
      </c>
      <c r="EK72">
        <f t="shared" si="1029"/>
        <v>1</v>
      </c>
      <c r="EL72">
        <f t="shared" si="1029"/>
        <v>1</v>
      </c>
      <c r="EM72">
        <f t="shared" si="1029"/>
        <v>1</v>
      </c>
      <c r="EN72">
        <f t="shared" si="1029"/>
        <v>1</v>
      </c>
      <c r="EO72">
        <f t="shared" si="1029"/>
        <v>1</v>
      </c>
      <c r="EP72">
        <f t="shared" si="1029"/>
        <v>1</v>
      </c>
      <c r="EQ72">
        <f t="shared" si="1029"/>
        <v>1</v>
      </c>
      <c r="ER72">
        <f t="shared" si="1029"/>
        <v>1</v>
      </c>
      <c r="ES72">
        <f t="shared" si="1029"/>
        <v>1</v>
      </c>
      <c r="ET72">
        <f t="shared" si="1029"/>
        <v>1</v>
      </c>
      <c r="EU72">
        <f t="shared" si="1029"/>
        <v>1</v>
      </c>
      <c r="EV72">
        <f t="shared" si="1029"/>
        <v>1</v>
      </c>
      <c r="EW72">
        <f t="shared" si="1029"/>
        <v>1</v>
      </c>
      <c r="EX72">
        <f t="shared" si="1029"/>
        <v>1</v>
      </c>
      <c r="EY72">
        <f t="shared" si="1029"/>
        <v>1</v>
      </c>
      <c r="EZ72">
        <f t="shared" si="1029"/>
        <v>1</v>
      </c>
      <c r="FA72">
        <f t="shared" si="1029"/>
        <v>1</v>
      </c>
      <c r="FB72">
        <f t="shared" si="1029"/>
        <v>1</v>
      </c>
      <c r="FC72">
        <f t="shared" si="1029"/>
        <v>1</v>
      </c>
      <c r="FD72">
        <f t="shared" si="1029"/>
        <v>1</v>
      </c>
      <c r="FE72">
        <f t="shared" si="1029"/>
        <v>1</v>
      </c>
      <c r="FF72">
        <f t="shared" si="1029"/>
        <v>1</v>
      </c>
      <c r="FG72">
        <f t="shared" si="1029"/>
        <v>1</v>
      </c>
      <c r="FH72">
        <f t="shared" si="1029"/>
        <v>1</v>
      </c>
      <c r="FI72">
        <f t="shared" si="1029"/>
        <v>1</v>
      </c>
      <c r="FJ72">
        <f t="shared" si="1029"/>
        <v>1</v>
      </c>
      <c r="FK72">
        <f t="shared" si="1029"/>
        <v>1</v>
      </c>
      <c r="FL72">
        <f t="shared" si="1029"/>
        <v>1</v>
      </c>
      <c r="FM72">
        <f t="shared" si="1029"/>
        <v>1</v>
      </c>
      <c r="FN72">
        <f t="shared" si="1029"/>
        <v>1</v>
      </c>
      <c r="FO72">
        <f t="shared" si="1029"/>
        <v>1</v>
      </c>
      <c r="FP72">
        <f t="shared" si="1029"/>
        <v>1</v>
      </c>
      <c r="FQ72">
        <f t="shared" si="1029"/>
        <v>1</v>
      </c>
      <c r="FR72">
        <f t="shared" si="1029"/>
        <v>1</v>
      </c>
      <c r="FS72">
        <f t="shared" si="1029"/>
        <v>1</v>
      </c>
      <c r="FT72">
        <f t="shared" si="1029"/>
        <v>1</v>
      </c>
      <c r="FU72">
        <f t="shared" si="1029"/>
        <v>1</v>
      </c>
      <c r="FV72">
        <f t="shared" si="1029"/>
        <v>1</v>
      </c>
      <c r="FW72">
        <f t="shared" si="1029"/>
        <v>1</v>
      </c>
      <c r="FX72">
        <f t="shared" si="1029"/>
        <v>1</v>
      </c>
      <c r="FY72">
        <f t="shared" si="1029"/>
        <v>1</v>
      </c>
      <c r="FZ72">
        <f t="shared" si="1029"/>
        <v>1</v>
      </c>
      <c r="GA72">
        <f t="shared" si="1029"/>
        <v>1</v>
      </c>
      <c r="GB72">
        <f t="shared" si="1029"/>
        <v>1</v>
      </c>
      <c r="GC72">
        <f t="shared" si="1029"/>
        <v>1</v>
      </c>
      <c r="GD72">
        <f t="shared" si="1029"/>
        <v>1</v>
      </c>
      <c r="GE72">
        <f t="shared" si="1029"/>
        <v>1</v>
      </c>
      <c r="GF72">
        <f t="shared" si="1029"/>
        <v>1</v>
      </c>
      <c r="GG72">
        <f t="shared" si="1029"/>
        <v>1</v>
      </c>
      <c r="GH72">
        <f t="shared" si="1029"/>
        <v>1</v>
      </c>
      <c r="GI72">
        <f t="shared" si="1029"/>
        <v>1</v>
      </c>
      <c r="GJ72">
        <f t="shared" si="1029"/>
        <v>1</v>
      </c>
      <c r="GK72">
        <f t="shared" si="1029"/>
        <v>1</v>
      </c>
      <c r="GL72">
        <f t="shared" si="1029"/>
        <v>1</v>
      </c>
      <c r="GM72">
        <f t="shared" si="1029"/>
        <v>1</v>
      </c>
      <c r="GN72">
        <f t="shared" ref="GN72:IV72" si="1030">MIN(1,GN38*GN93*1/GN99)</f>
        <v>1</v>
      </c>
      <c r="GO72">
        <f t="shared" si="1030"/>
        <v>1</v>
      </c>
      <c r="GP72">
        <f t="shared" si="1030"/>
        <v>1</v>
      </c>
      <c r="GQ72">
        <f t="shared" si="1030"/>
        <v>1</v>
      </c>
      <c r="GR72">
        <f t="shared" si="1030"/>
        <v>1</v>
      </c>
      <c r="GS72">
        <f t="shared" si="1030"/>
        <v>1</v>
      </c>
      <c r="GT72">
        <f t="shared" si="1030"/>
        <v>1</v>
      </c>
      <c r="GU72">
        <f t="shared" si="1030"/>
        <v>1</v>
      </c>
      <c r="GV72">
        <f t="shared" si="1030"/>
        <v>1</v>
      </c>
      <c r="GW72">
        <f t="shared" si="1030"/>
        <v>1</v>
      </c>
      <c r="GX72">
        <f t="shared" si="1030"/>
        <v>1</v>
      </c>
      <c r="GY72">
        <f t="shared" si="1030"/>
        <v>1</v>
      </c>
      <c r="GZ72">
        <f t="shared" si="1030"/>
        <v>1</v>
      </c>
      <c r="HA72">
        <f t="shared" si="1030"/>
        <v>1</v>
      </c>
      <c r="HB72">
        <f t="shared" si="1030"/>
        <v>1</v>
      </c>
      <c r="HC72">
        <f t="shared" si="1030"/>
        <v>1</v>
      </c>
      <c r="HD72">
        <f t="shared" si="1030"/>
        <v>1</v>
      </c>
      <c r="HE72">
        <f t="shared" si="1030"/>
        <v>1</v>
      </c>
      <c r="HF72">
        <f t="shared" si="1030"/>
        <v>1</v>
      </c>
      <c r="HG72">
        <f t="shared" si="1030"/>
        <v>1</v>
      </c>
      <c r="HH72">
        <f t="shared" si="1030"/>
        <v>1</v>
      </c>
      <c r="HI72">
        <f t="shared" si="1030"/>
        <v>1</v>
      </c>
      <c r="HJ72">
        <f t="shared" si="1030"/>
        <v>1</v>
      </c>
      <c r="HK72">
        <f t="shared" si="1030"/>
        <v>1</v>
      </c>
      <c r="HL72">
        <f t="shared" si="1030"/>
        <v>1</v>
      </c>
      <c r="HM72">
        <f t="shared" si="1030"/>
        <v>1</v>
      </c>
      <c r="HN72">
        <f t="shared" si="1030"/>
        <v>1</v>
      </c>
      <c r="HO72">
        <f t="shared" si="1030"/>
        <v>1</v>
      </c>
      <c r="HP72">
        <f t="shared" si="1030"/>
        <v>1</v>
      </c>
      <c r="HQ72">
        <f t="shared" si="1030"/>
        <v>1</v>
      </c>
      <c r="HR72">
        <f t="shared" si="1030"/>
        <v>1</v>
      </c>
      <c r="HS72">
        <f t="shared" si="1030"/>
        <v>1</v>
      </c>
      <c r="HT72">
        <f t="shared" si="1030"/>
        <v>1</v>
      </c>
      <c r="HU72">
        <f t="shared" si="1030"/>
        <v>1</v>
      </c>
      <c r="HV72">
        <f t="shared" si="1030"/>
        <v>1</v>
      </c>
      <c r="HW72">
        <f t="shared" si="1030"/>
        <v>1</v>
      </c>
      <c r="HX72">
        <f t="shared" si="1030"/>
        <v>1</v>
      </c>
      <c r="HY72">
        <f t="shared" si="1030"/>
        <v>1</v>
      </c>
      <c r="HZ72">
        <f t="shared" si="1030"/>
        <v>1</v>
      </c>
      <c r="IA72">
        <f t="shared" si="1030"/>
        <v>1</v>
      </c>
      <c r="IB72">
        <f t="shared" si="1030"/>
        <v>1</v>
      </c>
      <c r="IC72">
        <f t="shared" si="1030"/>
        <v>1</v>
      </c>
      <c r="ID72">
        <f t="shared" si="1030"/>
        <v>1</v>
      </c>
      <c r="IE72">
        <f t="shared" si="1030"/>
        <v>1</v>
      </c>
      <c r="IF72">
        <f t="shared" si="1030"/>
        <v>1</v>
      </c>
      <c r="IG72">
        <f t="shared" si="1030"/>
        <v>1</v>
      </c>
      <c r="IH72">
        <f t="shared" si="1030"/>
        <v>1</v>
      </c>
      <c r="II72">
        <f t="shared" si="1030"/>
        <v>1</v>
      </c>
      <c r="IJ72">
        <f t="shared" si="1030"/>
        <v>1</v>
      </c>
      <c r="IK72">
        <f t="shared" si="1030"/>
        <v>1</v>
      </c>
      <c r="IL72">
        <f t="shared" si="1030"/>
        <v>1</v>
      </c>
      <c r="IM72">
        <f t="shared" si="1030"/>
        <v>1</v>
      </c>
      <c r="IN72">
        <f t="shared" si="1030"/>
        <v>1</v>
      </c>
      <c r="IO72">
        <f t="shared" si="1030"/>
        <v>1</v>
      </c>
      <c r="IP72">
        <f t="shared" si="1030"/>
        <v>1</v>
      </c>
      <c r="IQ72">
        <f t="shared" si="1030"/>
        <v>1</v>
      </c>
      <c r="IR72">
        <f t="shared" si="1030"/>
        <v>1</v>
      </c>
      <c r="IS72">
        <f t="shared" si="1030"/>
        <v>1</v>
      </c>
      <c r="IT72">
        <f t="shared" si="1030"/>
        <v>1</v>
      </c>
      <c r="IU72">
        <f t="shared" si="1030"/>
        <v>1</v>
      </c>
      <c r="IV72">
        <f t="shared" si="1030"/>
        <v>1</v>
      </c>
    </row>
    <row r="73" spans="1:256" x14ac:dyDescent="0.2">
      <c r="A73" t="s">
        <v>544</v>
      </c>
      <c r="B73">
        <f>MIN(1,B39*B89*B93*B98*1/B99)</f>
        <v>0.12155192672992057</v>
      </c>
      <c r="C73">
        <f>MIN(1,C39*C89*C93*C98*1/C99)</f>
        <v>1</v>
      </c>
      <c r="D73">
        <f t="shared" ref="D73:BO73" si="1031">MIN(1,D39*D89*D93*D98*1/D99)</f>
        <v>1</v>
      </c>
      <c r="E73">
        <f t="shared" si="1031"/>
        <v>1</v>
      </c>
      <c r="F73">
        <f t="shared" si="1031"/>
        <v>1</v>
      </c>
      <c r="G73">
        <f t="shared" si="1031"/>
        <v>1</v>
      </c>
      <c r="H73">
        <f t="shared" si="1031"/>
        <v>1</v>
      </c>
      <c r="I73">
        <f t="shared" si="1031"/>
        <v>1</v>
      </c>
      <c r="J73">
        <f t="shared" si="1031"/>
        <v>0.56905407411243136</v>
      </c>
      <c r="K73">
        <f t="shared" si="1031"/>
        <v>0.57932607342463982</v>
      </c>
      <c r="L73">
        <f t="shared" si="1031"/>
        <v>0.58909866188572602</v>
      </c>
      <c r="M73">
        <f t="shared" si="1031"/>
        <v>0.59837668323610538</v>
      </c>
      <c r="N73">
        <f t="shared" si="1031"/>
        <v>0.6071658096296354</v>
      </c>
      <c r="O73">
        <f t="shared" si="1031"/>
        <v>0.6154724509709002</v>
      </c>
      <c r="P73">
        <f t="shared" si="1031"/>
        <v>0.6233036712346739</v>
      </c>
      <c r="Q73">
        <f t="shared" si="1031"/>
        <v>0.63066711127429564</v>
      </c>
      <c r="R73">
        <f t="shared" si="1031"/>
        <v>0.28817763143091712</v>
      </c>
      <c r="S73">
        <f t="shared" si="1031"/>
        <v>0.28986200455619865</v>
      </c>
      <c r="T73">
        <f t="shared" si="1031"/>
        <v>0.29126243141382269</v>
      </c>
      <c r="U73">
        <f t="shared" si="1031"/>
        <v>0.29238968541053001</v>
      </c>
      <c r="V73">
        <f t="shared" si="1031"/>
        <v>0.29325449322125352</v>
      </c>
      <c r="W73">
        <f t="shared" si="1031"/>
        <v>0.29386750072384965</v>
      </c>
      <c r="X73">
        <f t="shared" si="1031"/>
        <v>0.29423924336745622</v>
      </c>
      <c r="Y73">
        <f t="shared" si="1031"/>
        <v>0.29438012052304136</v>
      </c>
      <c r="Z73">
        <f t="shared" si="1031"/>
        <v>0.58860074681618613</v>
      </c>
      <c r="AA73">
        <f t="shared" si="1031"/>
        <v>0.59691595598541081</v>
      </c>
      <c r="AB73">
        <f t="shared" si="1031"/>
        <v>0.60491881461802721</v>
      </c>
      <c r="AC73">
        <f t="shared" si="1031"/>
        <v>0.61261501575925548</v>
      </c>
      <c r="AD73">
        <f t="shared" si="1031"/>
        <v>0.62001038312196455</v>
      </c>
      <c r="AE73">
        <f t="shared" si="1031"/>
        <v>0.6271108412167189</v>
      </c>
      <c r="AF73">
        <f t="shared" si="1031"/>
        <v>0.63392238870302542</v>
      </c>
      <c r="AG73">
        <f t="shared" si="1031"/>
        <v>0.64045107466393725</v>
      </c>
      <c r="AH73">
        <f t="shared" si="1031"/>
        <v>0.83081226555974952</v>
      </c>
      <c r="AI73">
        <f t="shared" si="1031"/>
        <v>0.82886863182432002</v>
      </c>
      <c r="AJ73">
        <f t="shared" si="1031"/>
        <v>0.82696737322267533</v>
      </c>
      <c r="AK73">
        <f t="shared" si="1031"/>
        <v>0.82510918090803043</v>
      </c>
      <c r="AL73">
        <f t="shared" si="1031"/>
        <v>0.82329472897074618</v>
      </c>
      <c r="AM73">
        <f t="shared" si="1031"/>
        <v>0.82152467615299507</v>
      </c>
      <c r="AN73">
        <f t="shared" si="1031"/>
        <v>0.81979966745686716</v>
      </c>
      <c r="AO73">
        <f t="shared" si="1031"/>
        <v>0.81812033564926301</v>
      </c>
      <c r="AP73">
        <f t="shared" si="1031"/>
        <v>1</v>
      </c>
      <c r="AQ73">
        <f t="shared" si="1031"/>
        <v>1</v>
      </c>
      <c r="AR73">
        <f t="shared" si="1031"/>
        <v>1</v>
      </c>
      <c r="AS73">
        <f t="shared" si="1031"/>
        <v>1</v>
      </c>
      <c r="AT73">
        <f t="shared" si="1031"/>
        <v>1</v>
      </c>
      <c r="AU73">
        <f t="shared" si="1031"/>
        <v>1</v>
      </c>
      <c r="AV73">
        <f t="shared" si="1031"/>
        <v>1</v>
      </c>
      <c r="AW73">
        <f t="shared" si="1031"/>
        <v>1</v>
      </c>
      <c r="AX73">
        <f t="shared" si="1031"/>
        <v>0.74959406741931023</v>
      </c>
      <c r="AY73">
        <f t="shared" si="1031"/>
        <v>0.77142982543006733</v>
      </c>
      <c r="AZ73">
        <f t="shared" si="1031"/>
        <v>0.79409156011001258</v>
      </c>
      <c r="BA73">
        <f t="shared" si="1031"/>
        <v>0.81761759742999607</v>
      </c>
      <c r="BB73">
        <f t="shared" si="1031"/>
        <v>0.84204823736278145</v>
      </c>
      <c r="BC73">
        <f t="shared" si="1031"/>
        <v>0.86742587293058504</v>
      </c>
      <c r="BD73">
        <f t="shared" si="1031"/>
        <v>0.89379511825069469</v>
      </c>
      <c r="BE73">
        <f t="shared" si="1031"/>
        <v>0.92120294618403642</v>
      </c>
      <c r="BF73">
        <f t="shared" si="1031"/>
        <v>0.94969883625957185</v>
      </c>
      <c r="BG73">
        <f t="shared" si="1031"/>
        <v>0.97933493361771162</v>
      </c>
      <c r="BH73">
        <f t="shared" si="1031"/>
        <v>1</v>
      </c>
      <c r="BI73">
        <f t="shared" si="1031"/>
        <v>1</v>
      </c>
      <c r="BJ73">
        <f t="shared" si="1031"/>
        <v>1</v>
      </c>
      <c r="BK73">
        <f t="shared" si="1031"/>
        <v>1</v>
      </c>
      <c r="BL73">
        <f t="shared" si="1031"/>
        <v>1</v>
      </c>
      <c r="BM73">
        <f t="shared" si="1031"/>
        <v>1</v>
      </c>
      <c r="BN73">
        <f t="shared" si="1031"/>
        <v>1</v>
      </c>
      <c r="BO73">
        <f t="shared" si="1031"/>
        <v>1</v>
      </c>
      <c r="BP73">
        <f t="shared" ref="BP73:EA73" si="1032">MIN(1,BP39*BP89*BP93*BP98*1/BP99)</f>
        <v>1</v>
      </c>
      <c r="BQ73">
        <f t="shared" si="1032"/>
        <v>1</v>
      </c>
      <c r="BR73">
        <f t="shared" si="1032"/>
        <v>1</v>
      </c>
      <c r="BS73">
        <f t="shared" si="1032"/>
        <v>1</v>
      </c>
      <c r="BT73">
        <f t="shared" si="1032"/>
        <v>1</v>
      </c>
      <c r="BU73">
        <f t="shared" si="1032"/>
        <v>1</v>
      </c>
      <c r="BV73">
        <f t="shared" si="1032"/>
        <v>1</v>
      </c>
      <c r="BW73">
        <f t="shared" si="1032"/>
        <v>1</v>
      </c>
      <c r="BX73">
        <f t="shared" si="1032"/>
        <v>1</v>
      </c>
      <c r="BY73">
        <f t="shared" si="1032"/>
        <v>1</v>
      </c>
      <c r="BZ73">
        <f t="shared" si="1032"/>
        <v>1</v>
      </c>
      <c r="CA73">
        <f t="shared" si="1032"/>
        <v>1</v>
      </c>
      <c r="CB73">
        <f t="shared" si="1032"/>
        <v>1</v>
      </c>
      <c r="CC73">
        <f t="shared" si="1032"/>
        <v>1</v>
      </c>
      <c r="CD73">
        <f t="shared" si="1032"/>
        <v>1</v>
      </c>
      <c r="CE73">
        <f t="shared" si="1032"/>
        <v>1</v>
      </c>
      <c r="CF73">
        <f t="shared" si="1032"/>
        <v>1</v>
      </c>
      <c r="CG73">
        <f t="shared" si="1032"/>
        <v>1</v>
      </c>
      <c r="CH73">
        <f t="shared" si="1032"/>
        <v>1</v>
      </c>
      <c r="CI73">
        <f t="shared" si="1032"/>
        <v>1</v>
      </c>
      <c r="CJ73">
        <f t="shared" si="1032"/>
        <v>1</v>
      </c>
      <c r="CK73">
        <f t="shared" si="1032"/>
        <v>1</v>
      </c>
      <c r="CL73">
        <f t="shared" si="1032"/>
        <v>1</v>
      </c>
      <c r="CM73">
        <f t="shared" si="1032"/>
        <v>1</v>
      </c>
      <c r="CN73">
        <f t="shared" si="1032"/>
        <v>1</v>
      </c>
      <c r="CO73">
        <f t="shared" si="1032"/>
        <v>1</v>
      </c>
      <c r="CP73">
        <f t="shared" si="1032"/>
        <v>1</v>
      </c>
      <c r="CQ73">
        <f t="shared" si="1032"/>
        <v>1</v>
      </c>
      <c r="CR73">
        <f t="shared" si="1032"/>
        <v>1</v>
      </c>
      <c r="CS73">
        <f t="shared" si="1032"/>
        <v>1</v>
      </c>
      <c r="CT73">
        <f t="shared" si="1032"/>
        <v>1</v>
      </c>
      <c r="CU73">
        <f t="shared" si="1032"/>
        <v>1</v>
      </c>
      <c r="CV73">
        <f t="shared" si="1032"/>
        <v>1</v>
      </c>
      <c r="CW73">
        <f t="shared" si="1032"/>
        <v>1</v>
      </c>
      <c r="CX73">
        <f t="shared" si="1032"/>
        <v>1</v>
      </c>
      <c r="CY73">
        <f t="shared" si="1032"/>
        <v>1</v>
      </c>
      <c r="CZ73">
        <f t="shared" si="1032"/>
        <v>1</v>
      </c>
      <c r="DA73">
        <f t="shared" si="1032"/>
        <v>1</v>
      </c>
      <c r="DB73">
        <f t="shared" si="1032"/>
        <v>1</v>
      </c>
      <c r="DC73">
        <f t="shared" si="1032"/>
        <v>1</v>
      </c>
      <c r="DD73">
        <f t="shared" si="1032"/>
        <v>1</v>
      </c>
      <c r="DE73">
        <f t="shared" si="1032"/>
        <v>1</v>
      </c>
      <c r="DF73">
        <f t="shared" si="1032"/>
        <v>1</v>
      </c>
      <c r="DG73">
        <f t="shared" si="1032"/>
        <v>1</v>
      </c>
      <c r="DH73">
        <f t="shared" si="1032"/>
        <v>1</v>
      </c>
      <c r="DI73">
        <f t="shared" si="1032"/>
        <v>1</v>
      </c>
      <c r="DJ73">
        <f t="shared" si="1032"/>
        <v>1</v>
      </c>
      <c r="DK73">
        <f t="shared" si="1032"/>
        <v>1</v>
      </c>
      <c r="DL73">
        <f t="shared" si="1032"/>
        <v>1</v>
      </c>
      <c r="DM73">
        <f t="shared" si="1032"/>
        <v>1</v>
      </c>
      <c r="DN73">
        <f t="shared" si="1032"/>
        <v>1</v>
      </c>
      <c r="DO73">
        <f t="shared" si="1032"/>
        <v>1</v>
      </c>
      <c r="DP73">
        <f t="shared" si="1032"/>
        <v>1</v>
      </c>
      <c r="DQ73">
        <f t="shared" si="1032"/>
        <v>1</v>
      </c>
      <c r="DR73">
        <f t="shared" si="1032"/>
        <v>1</v>
      </c>
      <c r="DS73">
        <f t="shared" si="1032"/>
        <v>1</v>
      </c>
      <c r="DT73">
        <f t="shared" si="1032"/>
        <v>1</v>
      </c>
      <c r="DU73">
        <f t="shared" si="1032"/>
        <v>1</v>
      </c>
      <c r="DV73">
        <f t="shared" si="1032"/>
        <v>1</v>
      </c>
      <c r="DW73">
        <f t="shared" si="1032"/>
        <v>1</v>
      </c>
      <c r="DX73">
        <f t="shared" si="1032"/>
        <v>1</v>
      </c>
      <c r="DY73">
        <f t="shared" si="1032"/>
        <v>1</v>
      </c>
      <c r="DZ73">
        <f t="shared" si="1032"/>
        <v>1</v>
      </c>
      <c r="EA73">
        <f t="shared" si="1032"/>
        <v>1</v>
      </c>
      <c r="EB73">
        <f t="shared" ref="EB73:GM73" si="1033">MIN(1,EB39*EB89*EB93*EB98*1/EB99)</f>
        <v>1</v>
      </c>
      <c r="EC73">
        <f t="shared" si="1033"/>
        <v>1</v>
      </c>
      <c r="ED73">
        <f t="shared" si="1033"/>
        <v>1</v>
      </c>
      <c r="EE73">
        <f t="shared" si="1033"/>
        <v>1</v>
      </c>
      <c r="EF73">
        <f t="shared" si="1033"/>
        <v>1</v>
      </c>
      <c r="EG73">
        <f t="shared" si="1033"/>
        <v>1</v>
      </c>
      <c r="EH73">
        <f t="shared" si="1033"/>
        <v>1</v>
      </c>
      <c r="EI73">
        <f t="shared" si="1033"/>
        <v>1</v>
      </c>
      <c r="EJ73">
        <f t="shared" si="1033"/>
        <v>1</v>
      </c>
      <c r="EK73">
        <f t="shared" si="1033"/>
        <v>1</v>
      </c>
      <c r="EL73">
        <f t="shared" si="1033"/>
        <v>1</v>
      </c>
      <c r="EM73">
        <f t="shared" si="1033"/>
        <v>1</v>
      </c>
      <c r="EN73">
        <f t="shared" si="1033"/>
        <v>1</v>
      </c>
      <c r="EO73">
        <f t="shared" si="1033"/>
        <v>1</v>
      </c>
      <c r="EP73">
        <f t="shared" si="1033"/>
        <v>1</v>
      </c>
      <c r="EQ73">
        <f t="shared" si="1033"/>
        <v>1</v>
      </c>
      <c r="ER73">
        <f t="shared" si="1033"/>
        <v>1</v>
      </c>
      <c r="ES73">
        <f t="shared" si="1033"/>
        <v>1</v>
      </c>
      <c r="ET73">
        <f t="shared" si="1033"/>
        <v>1</v>
      </c>
      <c r="EU73">
        <f t="shared" si="1033"/>
        <v>1</v>
      </c>
      <c r="EV73">
        <f t="shared" si="1033"/>
        <v>1</v>
      </c>
      <c r="EW73">
        <f t="shared" si="1033"/>
        <v>1</v>
      </c>
      <c r="EX73">
        <f t="shared" si="1033"/>
        <v>1</v>
      </c>
      <c r="EY73">
        <f t="shared" si="1033"/>
        <v>1</v>
      </c>
      <c r="EZ73">
        <f t="shared" si="1033"/>
        <v>1</v>
      </c>
      <c r="FA73">
        <f t="shared" si="1033"/>
        <v>1</v>
      </c>
      <c r="FB73">
        <f t="shared" si="1033"/>
        <v>1</v>
      </c>
      <c r="FC73">
        <f t="shared" si="1033"/>
        <v>1</v>
      </c>
      <c r="FD73">
        <f t="shared" si="1033"/>
        <v>1</v>
      </c>
      <c r="FE73">
        <f t="shared" si="1033"/>
        <v>1</v>
      </c>
      <c r="FF73">
        <f t="shared" si="1033"/>
        <v>1</v>
      </c>
      <c r="FG73">
        <f t="shared" si="1033"/>
        <v>1</v>
      </c>
      <c r="FH73">
        <f t="shared" si="1033"/>
        <v>1</v>
      </c>
      <c r="FI73">
        <f t="shared" si="1033"/>
        <v>1</v>
      </c>
      <c r="FJ73">
        <f t="shared" si="1033"/>
        <v>1</v>
      </c>
      <c r="FK73">
        <f t="shared" si="1033"/>
        <v>1</v>
      </c>
      <c r="FL73">
        <f t="shared" si="1033"/>
        <v>1</v>
      </c>
      <c r="FM73">
        <f t="shared" si="1033"/>
        <v>1</v>
      </c>
      <c r="FN73">
        <f t="shared" si="1033"/>
        <v>1</v>
      </c>
      <c r="FO73">
        <f t="shared" si="1033"/>
        <v>1</v>
      </c>
      <c r="FP73">
        <f t="shared" si="1033"/>
        <v>1</v>
      </c>
      <c r="FQ73">
        <f t="shared" si="1033"/>
        <v>1</v>
      </c>
      <c r="FR73">
        <f t="shared" si="1033"/>
        <v>1</v>
      </c>
      <c r="FS73">
        <f t="shared" si="1033"/>
        <v>1</v>
      </c>
      <c r="FT73">
        <f t="shared" si="1033"/>
        <v>1</v>
      </c>
      <c r="FU73">
        <f t="shared" si="1033"/>
        <v>1</v>
      </c>
      <c r="FV73">
        <f t="shared" si="1033"/>
        <v>1</v>
      </c>
      <c r="FW73">
        <f t="shared" si="1033"/>
        <v>1</v>
      </c>
      <c r="FX73">
        <f t="shared" si="1033"/>
        <v>1</v>
      </c>
      <c r="FY73">
        <f t="shared" si="1033"/>
        <v>1</v>
      </c>
      <c r="FZ73">
        <f t="shared" si="1033"/>
        <v>1</v>
      </c>
      <c r="GA73">
        <f t="shared" si="1033"/>
        <v>1</v>
      </c>
      <c r="GB73">
        <f t="shared" si="1033"/>
        <v>1</v>
      </c>
      <c r="GC73">
        <f t="shared" si="1033"/>
        <v>1</v>
      </c>
      <c r="GD73">
        <f t="shared" si="1033"/>
        <v>1</v>
      </c>
      <c r="GE73">
        <f t="shared" si="1033"/>
        <v>1</v>
      </c>
      <c r="GF73">
        <f t="shared" si="1033"/>
        <v>1</v>
      </c>
      <c r="GG73">
        <f t="shared" si="1033"/>
        <v>1</v>
      </c>
      <c r="GH73">
        <f t="shared" si="1033"/>
        <v>1</v>
      </c>
      <c r="GI73">
        <f t="shared" si="1033"/>
        <v>1</v>
      </c>
      <c r="GJ73">
        <f t="shared" si="1033"/>
        <v>1</v>
      </c>
      <c r="GK73">
        <f t="shared" si="1033"/>
        <v>1</v>
      </c>
      <c r="GL73">
        <f t="shared" si="1033"/>
        <v>1</v>
      </c>
      <c r="GM73">
        <f t="shared" si="1033"/>
        <v>1</v>
      </c>
      <c r="GN73">
        <f t="shared" ref="GN73:IV73" si="1034">MIN(1,GN39*GN89*GN93*GN98*1/GN99)</f>
        <v>1</v>
      </c>
      <c r="GO73">
        <f t="shared" si="1034"/>
        <v>1</v>
      </c>
      <c r="GP73">
        <f t="shared" si="1034"/>
        <v>1</v>
      </c>
      <c r="GQ73">
        <f t="shared" si="1034"/>
        <v>1</v>
      </c>
      <c r="GR73">
        <f t="shared" si="1034"/>
        <v>1</v>
      </c>
      <c r="GS73">
        <f t="shared" si="1034"/>
        <v>1</v>
      </c>
      <c r="GT73">
        <f t="shared" si="1034"/>
        <v>1</v>
      </c>
      <c r="GU73">
        <f t="shared" si="1034"/>
        <v>1</v>
      </c>
      <c r="GV73">
        <f t="shared" si="1034"/>
        <v>1</v>
      </c>
      <c r="GW73">
        <f t="shared" si="1034"/>
        <v>1</v>
      </c>
      <c r="GX73">
        <f t="shared" si="1034"/>
        <v>1</v>
      </c>
      <c r="GY73">
        <f t="shared" si="1034"/>
        <v>1</v>
      </c>
      <c r="GZ73">
        <f t="shared" si="1034"/>
        <v>1</v>
      </c>
      <c r="HA73">
        <f t="shared" si="1034"/>
        <v>1</v>
      </c>
      <c r="HB73">
        <f t="shared" si="1034"/>
        <v>1</v>
      </c>
      <c r="HC73">
        <f t="shared" si="1034"/>
        <v>1</v>
      </c>
      <c r="HD73">
        <f t="shared" si="1034"/>
        <v>1</v>
      </c>
      <c r="HE73">
        <f t="shared" si="1034"/>
        <v>1</v>
      </c>
      <c r="HF73">
        <f t="shared" si="1034"/>
        <v>1</v>
      </c>
      <c r="HG73">
        <f t="shared" si="1034"/>
        <v>1</v>
      </c>
      <c r="HH73">
        <f t="shared" si="1034"/>
        <v>1</v>
      </c>
      <c r="HI73">
        <f t="shared" si="1034"/>
        <v>1</v>
      </c>
      <c r="HJ73">
        <f t="shared" si="1034"/>
        <v>1</v>
      </c>
      <c r="HK73">
        <f t="shared" si="1034"/>
        <v>1</v>
      </c>
      <c r="HL73">
        <f t="shared" si="1034"/>
        <v>1</v>
      </c>
      <c r="HM73">
        <f t="shared" si="1034"/>
        <v>1</v>
      </c>
      <c r="HN73">
        <f t="shared" si="1034"/>
        <v>1</v>
      </c>
      <c r="HO73">
        <f t="shared" si="1034"/>
        <v>1</v>
      </c>
      <c r="HP73">
        <f t="shared" si="1034"/>
        <v>1</v>
      </c>
      <c r="HQ73">
        <f t="shared" si="1034"/>
        <v>1</v>
      </c>
      <c r="HR73">
        <f t="shared" si="1034"/>
        <v>1</v>
      </c>
      <c r="HS73">
        <f t="shared" si="1034"/>
        <v>1</v>
      </c>
      <c r="HT73">
        <f t="shared" si="1034"/>
        <v>1</v>
      </c>
      <c r="HU73">
        <f t="shared" si="1034"/>
        <v>1</v>
      </c>
      <c r="HV73">
        <f t="shared" si="1034"/>
        <v>1</v>
      </c>
      <c r="HW73">
        <f t="shared" si="1034"/>
        <v>1</v>
      </c>
      <c r="HX73">
        <f t="shared" si="1034"/>
        <v>1</v>
      </c>
      <c r="HY73">
        <f t="shared" si="1034"/>
        <v>1</v>
      </c>
      <c r="HZ73">
        <f t="shared" si="1034"/>
        <v>1</v>
      </c>
      <c r="IA73">
        <f t="shared" si="1034"/>
        <v>1</v>
      </c>
      <c r="IB73">
        <f t="shared" si="1034"/>
        <v>1</v>
      </c>
      <c r="IC73">
        <f t="shared" si="1034"/>
        <v>1</v>
      </c>
      <c r="ID73">
        <f t="shared" si="1034"/>
        <v>1</v>
      </c>
      <c r="IE73">
        <f t="shared" si="1034"/>
        <v>1</v>
      </c>
      <c r="IF73">
        <f t="shared" si="1034"/>
        <v>1</v>
      </c>
      <c r="IG73">
        <f t="shared" si="1034"/>
        <v>1</v>
      </c>
      <c r="IH73">
        <f t="shared" si="1034"/>
        <v>1</v>
      </c>
      <c r="II73">
        <f t="shared" si="1034"/>
        <v>1</v>
      </c>
      <c r="IJ73">
        <f t="shared" si="1034"/>
        <v>1</v>
      </c>
      <c r="IK73">
        <f t="shared" si="1034"/>
        <v>1</v>
      </c>
      <c r="IL73">
        <f t="shared" si="1034"/>
        <v>1</v>
      </c>
      <c r="IM73">
        <f t="shared" si="1034"/>
        <v>1</v>
      </c>
      <c r="IN73">
        <f t="shared" si="1034"/>
        <v>1</v>
      </c>
      <c r="IO73">
        <f t="shared" si="1034"/>
        <v>1</v>
      </c>
      <c r="IP73">
        <f t="shared" si="1034"/>
        <v>1</v>
      </c>
      <c r="IQ73">
        <f t="shared" si="1034"/>
        <v>1</v>
      </c>
      <c r="IR73">
        <f t="shared" si="1034"/>
        <v>1</v>
      </c>
      <c r="IS73">
        <f t="shared" si="1034"/>
        <v>1</v>
      </c>
      <c r="IT73">
        <f t="shared" si="1034"/>
        <v>1</v>
      </c>
      <c r="IU73">
        <f t="shared" si="1034"/>
        <v>1</v>
      </c>
      <c r="IV73">
        <f t="shared" si="1034"/>
        <v>1</v>
      </c>
    </row>
    <row r="74" spans="1:256" x14ac:dyDescent="0.2">
      <c r="A74" t="s">
        <v>545</v>
      </c>
      <c r="B74">
        <f>MIN(1,B40*B90*B92*1/B99)</f>
        <v>0.14070475028073529</v>
      </c>
      <c r="C74">
        <f>MIN(1,C40*C90*C92*1/C99)</f>
        <v>0.61012790466936118</v>
      </c>
      <c r="D74">
        <f t="shared" ref="D74:BO74" si="1035">MIN(1,D40*D90*D92*1/D99)</f>
        <v>0.62526618101188325</v>
      </c>
      <c r="E74">
        <f t="shared" si="1035"/>
        <v>0.64072511692449441</v>
      </c>
      <c r="F74">
        <f t="shared" si="1035"/>
        <v>0.65650218897362234</v>
      </c>
      <c r="G74">
        <f t="shared" si="1035"/>
        <v>0.67259543038073211</v>
      </c>
      <c r="H74">
        <f t="shared" si="1035"/>
        <v>0.68900340419660766</v>
      </c>
      <c r="I74">
        <f t="shared" si="1035"/>
        <v>0.7057251817504413</v>
      </c>
      <c r="J74">
        <f t="shared" si="1035"/>
        <v>1</v>
      </c>
      <c r="K74">
        <f t="shared" si="1035"/>
        <v>1</v>
      </c>
      <c r="L74">
        <f t="shared" si="1035"/>
        <v>1</v>
      </c>
      <c r="M74">
        <f t="shared" si="1035"/>
        <v>1</v>
      </c>
      <c r="N74">
        <f t="shared" si="1035"/>
        <v>1</v>
      </c>
      <c r="O74">
        <f t="shared" si="1035"/>
        <v>1</v>
      </c>
      <c r="P74">
        <f t="shared" si="1035"/>
        <v>1</v>
      </c>
      <c r="Q74">
        <f t="shared" si="1035"/>
        <v>1</v>
      </c>
      <c r="R74">
        <f t="shared" si="1035"/>
        <v>1</v>
      </c>
      <c r="S74">
        <f t="shared" si="1035"/>
        <v>1</v>
      </c>
      <c r="T74">
        <f t="shared" si="1035"/>
        <v>1</v>
      </c>
      <c r="U74">
        <f t="shared" si="1035"/>
        <v>1</v>
      </c>
      <c r="V74">
        <f t="shared" si="1035"/>
        <v>1</v>
      </c>
      <c r="W74">
        <f t="shared" si="1035"/>
        <v>1</v>
      </c>
      <c r="X74">
        <f t="shared" si="1035"/>
        <v>1</v>
      </c>
      <c r="Y74">
        <f t="shared" si="1035"/>
        <v>1</v>
      </c>
      <c r="Z74">
        <f t="shared" si="1035"/>
        <v>1</v>
      </c>
      <c r="AA74">
        <f t="shared" si="1035"/>
        <v>1</v>
      </c>
      <c r="AB74">
        <f t="shared" si="1035"/>
        <v>1</v>
      </c>
      <c r="AC74">
        <f t="shared" si="1035"/>
        <v>1</v>
      </c>
      <c r="AD74">
        <f t="shared" si="1035"/>
        <v>1</v>
      </c>
      <c r="AE74">
        <f t="shared" si="1035"/>
        <v>1</v>
      </c>
      <c r="AF74">
        <f t="shared" si="1035"/>
        <v>1</v>
      </c>
      <c r="AG74">
        <f t="shared" si="1035"/>
        <v>1</v>
      </c>
      <c r="AH74">
        <f t="shared" si="1035"/>
        <v>0.58356671374036317</v>
      </c>
      <c r="AI74">
        <f t="shared" si="1035"/>
        <v>0.59191493328152867</v>
      </c>
      <c r="AJ74">
        <f t="shared" si="1035"/>
        <v>0.60024320862710245</v>
      </c>
      <c r="AK74">
        <f t="shared" si="1035"/>
        <v>0.60855056143486241</v>
      </c>
      <c r="AL74">
        <f t="shared" si="1035"/>
        <v>0.61683615372626721</v>
      </c>
      <c r="AM74">
        <f t="shared" si="1035"/>
        <v>0.62509929059408764</v>
      </c>
      <c r="AN74">
        <f t="shared" si="1035"/>
        <v>0.63333942255784759</v>
      </c>
      <c r="AO74">
        <f t="shared" si="1035"/>
        <v>0.6415561475726469</v>
      </c>
      <c r="AP74">
        <f t="shared" si="1035"/>
        <v>1</v>
      </c>
      <c r="AQ74">
        <f t="shared" si="1035"/>
        <v>1</v>
      </c>
      <c r="AR74">
        <f t="shared" si="1035"/>
        <v>1</v>
      </c>
      <c r="AS74">
        <f t="shared" si="1035"/>
        <v>1</v>
      </c>
      <c r="AT74">
        <f t="shared" si="1035"/>
        <v>1</v>
      </c>
      <c r="AU74">
        <f t="shared" si="1035"/>
        <v>1</v>
      </c>
      <c r="AV74">
        <f t="shared" si="1035"/>
        <v>1</v>
      </c>
      <c r="AW74">
        <f t="shared" si="1035"/>
        <v>1</v>
      </c>
      <c r="AX74">
        <f t="shared" si="1035"/>
        <v>0.65555950254112993</v>
      </c>
      <c r="AY74">
        <f t="shared" si="1035"/>
        <v>0.67181395423877521</v>
      </c>
      <c r="AZ74">
        <f t="shared" si="1035"/>
        <v>0.68879018474329978</v>
      </c>
      <c r="BA74">
        <f t="shared" si="1035"/>
        <v>0.70654217639238082</v>
      </c>
      <c r="BB74">
        <f t="shared" si="1035"/>
        <v>0.72512823967697349</v>
      </c>
      <c r="BC74">
        <f t="shared" si="1035"/>
        <v>0.74461145010741292</v>
      </c>
      <c r="BD74">
        <f t="shared" si="1035"/>
        <v>0.76506013826161223</v>
      </c>
      <c r="BE74">
        <f t="shared" si="1035"/>
        <v>0.78654844022036308</v>
      </c>
      <c r="BF74">
        <f t="shared" si="1035"/>
        <v>0.80915691675696255</v>
      </c>
      <c r="BG74">
        <f t="shared" si="1035"/>
        <v>0.83297325101055519</v>
      </c>
      <c r="BH74">
        <f t="shared" si="1035"/>
        <v>0.85809303597501774</v>
      </c>
      <c r="BI74">
        <f t="shared" si="1035"/>
        <v>0.8844503876070775</v>
      </c>
      <c r="BJ74">
        <f t="shared" si="1035"/>
        <v>0.91176899031540348</v>
      </c>
      <c r="BK74">
        <f t="shared" si="1035"/>
        <v>0.94010263400833927</v>
      </c>
      <c r="BL74">
        <f t="shared" si="1035"/>
        <v>0.96950904732147825</v>
      </c>
      <c r="BM74">
        <f t="shared" si="1035"/>
        <v>1</v>
      </c>
      <c r="BN74">
        <f t="shared" si="1035"/>
        <v>1</v>
      </c>
      <c r="BO74">
        <f t="shared" si="1035"/>
        <v>1</v>
      </c>
      <c r="BP74">
        <f t="shared" ref="BP74:EA74" si="1036">MIN(1,BP40*BP90*BP92*1/BP99)</f>
        <v>1</v>
      </c>
      <c r="BQ74">
        <f t="shared" si="1036"/>
        <v>1</v>
      </c>
      <c r="BR74">
        <f t="shared" si="1036"/>
        <v>1</v>
      </c>
      <c r="BS74">
        <f t="shared" si="1036"/>
        <v>1</v>
      </c>
      <c r="BT74">
        <f t="shared" si="1036"/>
        <v>1</v>
      </c>
      <c r="BU74">
        <f t="shared" si="1036"/>
        <v>1</v>
      </c>
      <c r="BV74">
        <f t="shared" si="1036"/>
        <v>1</v>
      </c>
      <c r="BW74">
        <f t="shared" si="1036"/>
        <v>1</v>
      </c>
      <c r="BX74">
        <f t="shared" si="1036"/>
        <v>1</v>
      </c>
      <c r="BY74">
        <f t="shared" si="1036"/>
        <v>1</v>
      </c>
      <c r="BZ74">
        <f t="shared" si="1036"/>
        <v>1</v>
      </c>
      <c r="CA74">
        <f t="shared" si="1036"/>
        <v>1</v>
      </c>
      <c r="CB74">
        <f t="shared" si="1036"/>
        <v>1</v>
      </c>
      <c r="CC74">
        <f t="shared" si="1036"/>
        <v>1</v>
      </c>
      <c r="CD74">
        <f t="shared" si="1036"/>
        <v>1</v>
      </c>
      <c r="CE74">
        <f t="shared" si="1036"/>
        <v>1</v>
      </c>
      <c r="CF74">
        <f t="shared" si="1036"/>
        <v>1</v>
      </c>
      <c r="CG74">
        <f t="shared" si="1036"/>
        <v>1</v>
      </c>
      <c r="CH74">
        <f t="shared" si="1036"/>
        <v>1</v>
      </c>
      <c r="CI74">
        <f t="shared" si="1036"/>
        <v>1</v>
      </c>
      <c r="CJ74">
        <f t="shared" si="1036"/>
        <v>1</v>
      </c>
      <c r="CK74">
        <f t="shared" si="1036"/>
        <v>1</v>
      </c>
      <c r="CL74">
        <f t="shared" si="1036"/>
        <v>1</v>
      </c>
      <c r="CM74">
        <f t="shared" si="1036"/>
        <v>1</v>
      </c>
      <c r="CN74">
        <f t="shared" si="1036"/>
        <v>1</v>
      </c>
      <c r="CO74">
        <f t="shared" si="1036"/>
        <v>1</v>
      </c>
      <c r="CP74">
        <f t="shared" si="1036"/>
        <v>1</v>
      </c>
      <c r="CQ74">
        <f t="shared" si="1036"/>
        <v>1</v>
      </c>
      <c r="CR74">
        <f t="shared" si="1036"/>
        <v>1</v>
      </c>
      <c r="CS74">
        <f t="shared" si="1036"/>
        <v>1</v>
      </c>
      <c r="CT74">
        <f t="shared" si="1036"/>
        <v>1</v>
      </c>
      <c r="CU74">
        <f t="shared" si="1036"/>
        <v>1</v>
      </c>
      <c r="CV74">
        <f t="shared" si="1036"/>
        <v>1</v>
      </c>
      <c r="CW74">
        <f t="shared" si="1036"/>
        <v>1</v>
      </c>
      <c r="CX74">
        <f t="shared" si="1036"/>
        <v>1</v>
      </c>
      <c r="CY74">
        <f t="shared" si="1036"/>
        <v>1</v>
      </c>
      <c r="CZ74">
        <f t="shared" si="1036"/>
        <v>1</v>
      </c>
      <c r="DA74">
        <f t="shared" si="1036"/>
        <v>1</v>
      </c>
      <c r="DB74">
        <f t="shared" si="1036"/>
        <v>1</v>
      </c>
      <c r="DC74">
        <f t="shared" si="1036"/>
        <v>1</v>
      </c>
      <c r="DD74">
        <f t="shared" si="1036"/>
        <v>1</v>
      </c>
      <c r="DE74">
        <f t="shared" si="1036"/>
        <v>1</v>
      </c>
      <c r="DF74">
        <f t="shared" si="1036"/>
        <v>1</v>
      </c>
      <c r="DG74">
        <f t="shared" si="1036"/>
        <v>1</v>
      </c>
      <c r="DH74">
        <f t="shared" si="1036"/>
        <v>1</v>
      </c>
      <c r="DI74">
        <f t="shared" si="1036"/>
        <v>1</v>
      </c>
      <c r="DJ74">
        <f t="shared" si="1036"/>
        <v>1</v>
      </c>
      <c r="DK74">
        <f t="shared" si="1036"/>
        <v>1</v>
      </c>
      <c r="DL74">
        <f t="shared" si="1036"/>
        <v>1</v>
      </c>
      <c r="DM74">
        <f t="shared" si="1036"/>
        <v>1</v>
      </c>
      <c r="DN74">
        <f t="shared" si="1036"/>
        <v>1</v>
      </c>
      <c r="DO74">
        <f t="shared" si="1036"/>
        <v>1</v>
      </c>
      <c r="DP74">
        <f t="shared" si="1036"/>
        <v>1</v>
      </c>
      <c r="DQ74">
        <f t="shared" si="1036"/>
        <v>1</v>
      </c>
      <c r="DR74">
        <f t="shared" si="1036"/>
        <v>1</v>
      </c>
      <c r="DS74">
        <f t="shared" si="1036"/>
        <v>1</v>
      </c>
      <c r="DT74">
        <f t="shared" si="1036"/>
        <v>1</v>
      </c>
      <c r="DU74">
        <f t="shared" si="1036"/>
        <v>1</v>
      </c>
      <c r="DV74">
        <f t="shared" si="1036"/>
        <v>1</v>
      </c>
      <c r="DW74">
        <f t="shared" si="1036"/>
        <v>1</v>
      </c>
      <c r="DX74">
        <f t="shared" si="1036"/>
        <v>1</v>
      </c>
      <c r="DY74">
        <f t="shared" si="1036"/>
        <v>1</v>
      </c>
      <c r="DZ74">
        <f t="shared" si="1036"/>
        <v>1</v>
      </c>
      <c r="EA74">
        <f t="shared" si="1036"/>
        <v>1</v>
      </c>
      <c r="EB74">
        <f t="shared" ref="EB74:GM74" si="1037">MIN(1,EB40*EB90*EB92*1/EB99)</f>
        <v>1</v>
      </c>
      <c r="EC74">
        <f t="shared" si="1037"/>
        <v>1</v>
      </c>
      <c r="ED74">
        <f t="shared" si="1037"/>
        <v>1</v>
      </c>
      <c r="EE74">
        <f t="shared" si="1037"/>
        <v>1</v>
      </c>
      <c r="EF74">
        <f t="shared" si="1037"/>
        <v>1</v>
      </c>
      <c r="EG74">
        <f t="shared" si="1037"/>
        <v>1</v>
      </c>
      <c r="EH74">
        <f t="shared" si="1037"/>
        <v>1</v>
      </c>
      <c r="EI74">
        <f t="shared" si="1037"/>
        <v>1</v>
      </c>
      <c r="EJ74">
        <f t="shared" si="1037"/>
        <v>1</v>
      </c>
      <c r="EK74">
        <f t="shared" si="1037"/>
        <v>1</v>
      </c>
      <c r="EL74">
        <f t="shared" si="1037"/>
        <v>1</v>
      </c>
      <c r="EM74">
        <f t="shared" si="1037"/>
        <v>1</v>
      </c>
      <c r="EN74">
        <f t="shared" si="1037"/>
        <v>1</v>
      </c>
      <c r="EO74">
        <f t="shared" si="1037"/>
        <v>1</v>
      </c>
      <c r="EP74">
        <f t="shared" si="1037"/>
        <v>1</v>
      </c>
      <c r="EQ74">
        <f t="shared" si="1037"/>
        <v>1</v>
      </c>
      <c r="ER74">
        <f t="shared" si="1037"/>
        <v>1</v>
      </c>
      <c r="ES74">
        <f t="shared" si="1037"/>
        <v>1</v>
      </c>
      <c r="ET74">
        <f t="shared" si="1037"/>
        <v>1</v>
      </c>
      <c r="EU74">
        <f t="shared" si="1037"/>
        <v>1</v>
      </c>
      <c r="EV74">
        <f t="shared" si="1037"/>
        <v>1</v>
      </c>
      <c r="EW74">
        <f t="shared" si="1037"/>
        <v>1</v>
      </c>
      <c r="EX74">
        <f t="shared" si="1037"/>
        <v>1</v>
      </c>
      <c r="EY74">
        <f t="shared" si="1037"/>
        <v>1</v>
      </c>
      <c r="EZ74">
        <f t="shared" si="1037"/>
        <v>1</v>
      </c>
      <c r="FA74">
        <f t="shared" si="1037"/>
        <v>1</v>
      </c>
      <c r="FB74">
        <f t="shared" si="1037"/>
        <v>1</v>
      </c>
      <c r="FC74">
        <f t="shared" si="1037"/>
        <v>1</v>
      </c>
      <c r="FD74">
        <f t="shared" si="1037"/>
        <v>1</v>
      </c>
      <c r="FE74">
        <f t="shared" si="1037"/>
        <v>1</v>
      </c>
      <c r="FF74">
        <f t="shared" si="1037"/>
        <v>1</v>
      </c>
      <c r="FG74">
        <f t="shared" si="1037"/>
        <v>1</v>
      </c>
      <c r="FH74">
        <f t="shared" si="1037"/>
        <v>1</v>
      </c>
      <c r="FI74">
        <f t="shared" si="1037"/>
        <v>1</v>
      </c>
      <c r="FJ74">
        <f t="shared" si="1037"/>
        <v>1</v>
      </c>
      <c r="FK74">
        <f t="shared" si="1037"/>
        <v>1</v>
      </c>
      <c r="FL74">
        <f t="shared" si="1037"/>
        <v>1</v>
      </c>
      <c r="FM74">
        <f t="shared" si="1037"/>
        <v>1</v>
      </c>
      <c r="FN74">
        <f t="shared" si="1037"/>
        <v>1</v>
      </c>
      <c r="FO74">
        <f t="shared" si="1037"/>
        <v>1</v>
      </c>
      <c r="FP74">
        <f t="shared" si="1037"/>
        <v>1</v>
      </c>
      <c r="FQ74">
        <f t="shared" si="1037"/>
        <v>1</v>
      </c>
      <c r="FR74">
        <f t="shared" si="1037"/>
        <v>1</v>
      </c>
      <c r="FS74">
        <f t="shared" si="1037"/>
        <v>1</v>
      </c>
      <c r="FT74">
        <f t="shared" si="1037"/>
        <v>1</v>
      </c>
      <c r="FU74">
        <f t="shared" si="1037"/>
        <v>1</v>
      </c>
      <c r="FV74">
        <f t="shared" si="1037"/>
        <v>1</v>
      </c>
      <c r="FW74">
        <f t="shared" si="1037"/>
        <v>1</v>
      </c>
      <c r="FX74">
        <f t="shared" si="1037"/>
        <v>1</v>
      </c>
      <c r="FY74">
        <f t="shared" si="1037"/>
        <v>1</v>
      </c>
      <c r="FZ74">
        <f t="shared" si="1037"/>
        <v>1</v>
      </c>
      <c r="GA74">
        <f t="shared" si="1037"/>
        <v>1</v>
      </c>
      <c r="GB74">
        <f t="shared" si="1037"/>
        <v>1</v>
      </c>
      <c r="GC74">
        <f t="shared" si="1037"/>
        <v>1</v>
      </c>
      <c r="GD74">
        <f t="shared" si="1037"/>
        <v>1</v>
      </c>
      <c r="GE74">
        <f t="shared" si="1037"/>
        <v>1</v>
      </c>
      <c r="GF74">
        <f t="shared" si="1037"/>
        <v>1</v>
      </c>
      <c r="GG74">
        <f t="shared" si="1037"/>
        <v>1</v>
      </c>
      <c r="GH74">
        <f t="shared" si="1037"/>
        <v>1</v>
      </c>
      <c r="GI74">
        <f t="shared" si="1037"/>
        <v>1</v>
      </c>
      <c r="GJ74">
        <f t="shared" si="1037"/>
        <v>1</v>
      </c>
      <c r="GK74">
        <f t="shared" si="1037"/>
        <v>1</v>
      </c>
      <c r="GL74">
        <f t="shared" si="1037"/>
        <v>1</v>
      </c>
      <c r="GM74">
        <f t="shared" si="1037"/>
        <v>1</v>
      </c>
      <c r="GN74">
        <f t="shared" ref="GN74:IV74" si="1038">MIN(1,GN40*GN90*GN92*1/GN99)</f>
        <v>1</v>
      </c>
      <c r="GO74">
        <f t="shared" si="1038"/>
        <v>1</v>
      </c>
      <c r="GP74">
        <f t="shared" si="1038"/>
        <v>1</v>
      </c>
      <c r="GQ74">
        <f t="shared" si="1038"/>
        <v>1</v>
      </c>
      <c r="GR74">
        <f t="shared" si="1038"/>
        <v>1</v>
      </c>
      <c r="GS74">
        <f t="shared" si="1038"/>
        <v>1</v>
      </c>
      <c r="GT74">
        <f t="shared" si="1038"/>
        <v>1</v>
      </c>
      <c r="GU74">
        <f t="shared" si="1038"/>
        <v>1</v>
      </c>
      <c r="GV74">
        <f t="shared" si="1038"/>
        <v>1</v>
      </c>
      <c r="GW74">
        <f t="shared" si="1038"/>
        <v>1</v>
      </c>
      <c r="GX74">
        <f t="shared" si="1038"/>
        <v>1</v>
      </c>
      <c r="GY74">
        <f t="shared" si="1038"/>
        <v>1</v>
      </c>
      <c r="GZ74">
        <f t="shared" si="1038"/>
        <v>1</v>
      </c>
      <c r="HA74">
        <f t="shared" si="1038"/>
        <v>1</v>
      </c>
      <c r="HB74">
        <f t="shared" si="1038"/>
        <v>1</v>
      </c>
      <c r="HC74">
        <f t="shared" si="1038"/>
        <v>1</v>
      </c>
      <c r="HD74">
        <f t="shared" si="1038"/>
        <v>1</v>
      </c>
      <c r="HE74">
        <f t="shared" si="1038"/>
        <v>1</v>
      </c>
      <c r="HF74">
        <f t="shared" si="1038"/>
        <v>1</v>
      </c>
      <c r="HG74">
        <f t="shared" si="1038"/>
        <v>1</v>
      </c>
      <c r="HH74">
        <f t="shared" si="1038"/>
        <v>1</v>
      </c>
      <c r="HI74">
        <f t="shared" si="1038"/>
        <v>1</v>
      </c>
      <c r="HJ74">
        <f t="shared" si="1038"/>
        <v>1</v>
      </c>
      <c r="HK74">
        <f t="shared" si="1038"/>
        <v>1</v>
      </c>
      <c r="HL74">
        <f t="shared" si="1038"/>
        <v>1</v>
      </c>
      <c r="HM74">
        <f t="shared" si="1038"/>
        <v>1</v>
      </c>
      <c r="HN74">
        <f t="shared" si="1038"/>
        <v>1</v>
      </c>
      <c r="HO74">
        <f t="shared" si="1038"/>
        <v>1</v>
      </c>
      <c r="HP74">
        <f t="shared" si="1038"/>
        <v>1</v>
      </c>
      <c r="HQ74">
        <f t="shared" si="1038"/>
        <v>1</v>
      </c>
      <c r="HR74">
        <f t="shared" si="1038"/>
        <v>1</v>
      </c>
      <c r="HS74">
        <f t="shared" si="1038"/>
        <v>1</v>
      </c>
      <c r="HT74">
        <f t="shared" si="1038"/>
        <v>1</v>
      </c>
      <c r="HU74">
        <f t="shared" si="1038"/>
        <v>1</v>
      </c>
      <c r="HV74">
        <f t="shared" si="1038"/>
        <v>1</v>
      </c>
      <c r="HW74">
        <f t="shared" si="1038"/>
        <v>1</v>
      </c>
      <c r="HX74">
        <f t="shared" si="1038"/>
        <v>1</v>
      </c>
      <c r="HY74">
        <f t="shared" si="1038"/>
        <v>1</v>
      </c>
      <c r="HZ74">
        <f t="shared" si="1038"/>
        <v>1</v>
      </c>
      <c r="IA74">
        <f t="shared" si="1038"/>
        <v>1</v>
      </c>
      <c r="IB74">
        <f t="shared" si="1038"/>
        <v>1</v>
      </c>
      <c r="IC74">
        <f t="shared" si="1038"/>
        <v>1</v>
      </c>
      <c r="ID74">
        <f t="shared" si="1038"/>
        <v>1</v>
      </c>
      <c r="IE74">
        <f t="shared" si="1038"/>
        <v>1</v>
      </c>
      <c r="IF74">
        <f t="shared" si="1038"/>
        <v>1</v>
      </c>
      <c r="IG74">
        <f t="shared" si="1038"/>
        <v>1</v>
      </c>
      <c r="IH74">
        <f t="shared" si="1038"/>
        <v>1</v>
      </c>
      <c r="II74">
        <f t="shared" si="1038"/>
        <v>1</v>
      </c>
      <c r="IJ74">
        <f t="shared" si="1038"/>
        <v>1</v>
      </c>
      <c r="IK74">
        <f t="shared" si="1038"/>
        <v>1</v>
      </c>
      <c r="IL74">
        <f t="shared" si="1038"/>
        <v>1</v>
      </c>
      <c r="IM74">
        <f t="shared" si="1038"/>
        <v>1</v>
      </c>
      <c r="IN74">
        <f t="shared" si="1038"/>
        <v>1</v>
      </c>
      <c r="IO74">
        <f t="shared" si="1038"/>
        <v>1</v>
      </c>
      <c r="IP74">
        <f t="shared" si="1038"/>
        <v>1</v>
      </c>
      <c r="IQ74">
        <f t="shared" si="1038"/>
        <v>1</v>
      </c>
      <c r="IR74">
        <f t="shared" si="1038"/>
        <v>1</v>
      </c>
      <c r="IS74">
        <f t="shared" si="1038"/>
        <v>1</v>
      </c>
      <c r="IT74">
        <f t="shared" si="1038"/>
        <v>1</v>
      </c>
      <c r="IU74">
        <f t="shared" si="1038"/>
        <v>1</v>
      </c>
      <c r="IV74">
        <f t="shared" si="1038"/>
        <v>1</v>
      </c>
    </row>
    <row r="75" spans="1:256" x14ac:dyDescent="0.2">
      <c r="A75" t="s">
        <v>546</v>
      </c>
      <c r="B75">
        <f>MIN(1,B41*B88*B89*B90*B91*B93)</f>
        <v>6.6665499736285813E-2</v>
      </c>
      <c r="C75">
        <f>MIN(1,C41*C88*C89*C90*C91*C93)</f>
        <v>0.70678005283271084</v>
      </c>
      <c r="D75">
        <f t="shared" ref="D75:BO75" si="1039">MIN(1,D41*D88*D89*D90*D91*D93)</f>
        <v>0.71648390813599194</v>
      </c>
      <c r="E75">
        <f t="shared" si="1039"/>
        <v>0.72615049173047119</v>
      </c>
      <c r="F75">
        <f t="shared" si="1039"/>
        <v>0.73579421666550537</v>
      </c>
      <c r="G75">
        <f t="shared" si="1039"/>
        <v>0.74542908861569368</v>
      </c>
      <c r="H75">
        <f t="shared" si="1039"/>
        <v>0.7550687204654144</v>
      </c>
      <c r="I75">
        <f t="shared" si="1039"/>
        <v>0.76472634608711587</v>
      </c>
      <c r="J75">
        <f t="shared" si="1039"/>
        <v>0.10625215950749213</v>
      </c>
      <c r="K75">
        <f t="shared" si="1039"/>
        <v>0.10730095529927365</v>
      </c>
      <c r="L75">
        <f t="shared" si="1039"/>
        <v>0.10829807340470582</v>
      </c>
      <c r="M75">
        <f t="shared" si="1039"/>
        <v>0.10924466584561641</v>
      </c>
      <c r="N75">
        <f t="shared" si="1039"/>
        <v>0.11014176632776151</v>
      </c>
      <c r="O75">
        <f t="shared" si="1039"/>
        <v>0.1109903035328334</v>
      </c>
      <c r="P75">
        <f t="shared" si="1039"/>
        <v>0.11179111366395375</v>
      </c>
      <c r="Q75">
        <f t="shared" si="1039"/>
        <v>0.11254495223181102</v>
      </c>
      <c r="R75">
        <f t="shared" si="1039"/>
        <v>0.11325250507687588</v>
      </c>
      <c r="S75">
        <f t="shared" si="1039"/>
        <v>0.11299191318474816</v>
      </c>
      <c r="T75">
        <f t="shared" si="1039"/>
        <v>0.11268159352253511</v>
      </c>
      <c r="U75">
        <f t="shared" si="1039"/>
        <v>0.11232365745631899</v>
      </c>
      <c r="V75">
        <f t="shared" si="1039"/>
        <v>0.11192014047091108</v>
      </c>
      <c r="W75">
        <f t="shared" si="1039"/>
        <v>0.11147300729736299</v>
      </c>
      <c r="X75">
        <f t="shared" si="1039"/>
        <v>0.1109841566001407</v>
      </c>
      <c r="Y75">
        <f t="shared" si="1039"/>
        <v>0.11045542524889686</v>
      </c>
      <c r="Z75">
        <f t="shared" si="1039"/>
        <v>0.21977718440018862</v>
      </c>
      <c r="AA75">
        <f t="shared" si="1039"/>
        <v>0.22011232741299191</v>
      </c>
      <c r="AB75">
        <f t="shared" si="1039"/>
        <v>0.22039607504617642</v>
      </c>
      <c r="AC75">
        <f t="shared" si="1039"/>
        <v>0.22063016104630775</v>
      </c>
      <c r="AD75">
        <f t="shared" si="1039"/>
        <v>0.2208161772032641</v>
      </c>
      <c r="AE75">
        <f t="shared" si="1039"/>
        <v>0.22095558842866417</v>
      </c>
      <c r="AF75">
        <f t="shared" si="1039"/>
        <v>0.22104974656067725</v>
      </c>
      <c r="AG75">
        <f t="shared" si="1039"/>
        <v>0.22109990297472185</v>
      </c>
      <c r="AH75">
        <f t="shared" si="1039"/>
        <v>0.368151694528013</v>
      </c>
      <c r="AI75">
        <f t="shared" si="1039"/>
        <v>0.36935922261463261</v>
      </c>
      <c r="AJ75">
        <f t="shared" si="1039"/>
        <v>0.3705807653198922</v>
      </c>
      <c r="AK75">
        <f t="shared" si="1039"/>
        <v>0.37181837226479575</v>
      </c>
      <c r="AL75">
        <f t="shared" si="1039"/>
        <v>0.37307399549595799</v>
      </c>
      <c r="AM75">
        <f t="shared" si="1039"/>
        <v>0.37434949367367759</v>
      </c>
      <c r="AN75">
        <f t="shared" si="1039"/>
        <v>0.37564663628558187</v>
      </c>
      <c r="AO75">
        <f t="shared" si="1039"/>
        <v>0.37696710787428928</v>
      </c>
      <c r="AP75">
        <f t="shared" si="1039"/>
        <v>0.75662502453700786</v>
      </c>
      <c r="AQ75">
        <f t="shared" si="1039"/>
        <v>0.77156424387360589</v>
      </c>
      <c r="AR75">
        <f t="shared" si="1039"/>
        <v>0.78652282067643142</v>
      </c>
      <c r="AS75">
        <f t="shared" si="1039"/>
        <v>0.8015017714924576</v>
      </c>
      <c r="AT75">
        <f t="shared" si="1039"/>
        <v>0.81650213430656604</v>
      </c>
      <c r="AU75">
        <f t="shared" si="1039"/>
        <v>0.83152497296424743</v>
      </c>
      <c r="AV75">
        <f t="shared" si="1039"/>
        <v>0.84657138070633053</v>
      </c>
      <c r="AW75">
        <f t="shared" si="1039"/>
        <v>0.86164248295697998</v>
      </c>
      <c r="AX75">
        <f t="shared" si="1039"/>
        <v>0.66038718691865006</v>
      </c>
      <c r="AY75">
        <f t="shared" si="1039"/>
        <v>0.668379935092421</v>
      </c>
      <c r="AZ75">
        <f t="shared" si="1039"/>
        <v>0.67712697965505841</v>
      </c>
      <c r="BA75">
        <f t="shared" si="1039"/>
        <v>0.68667464682605972</v>
      </c>
      <c r="BB75">
        <f t="shared" si="1039"/>
        <v>0.6970735515665667</v>
      </c>
      <c r="BC75">
        <f t="shared" si="1039"/>
        <v>0.70837908527215532</v>
      </c>
      <c r="BD75">
        <f t="shared" si="1039"/>
        <v>0.72065196341782101</v>
      </c>
      <c r="BE75">
        <f t="shared" si="1039"/>
        <v>0.73395884223453567</v>
      </c>
      <c r="BF75">
        <f t="shared" si="1039"/>
        <v>0.74837301497987863</v>
      </c>
      <c r="BG75">
        <f t="shared" si="1039"/>
        <v>0.76397520012684994</v>
      </c>
      <c r="BH75">
        <f t="shared" si="1039"/>
        <v>0.7808544358919578</v>
      </c>
      <c r="BI75">
        <f t="shared" si="1039"/>
        <v>0.79895528041744324</v>
      </c>
      <c r="BJ75">
        <f t="shared" si="1039"/>
        <v>0.81803879653750677</v>
      </c>
      <c r="BK75">
        <f t="shared" si="1039"/>
        <v>0.83816900003236317</v>
      </c>
      <c r="BL75">
        <f t="shared" si="1039"/>
        <v>0.8594146318247432</v>
      </c>
      <c r="BM75">
        <f t="shared" si="1039"/>
        <v>0.88184895009461661</v>
      </c>
      <c r="BN75">
        <f t="shared" si="1039"/>
        <v>0.90523447788000899</v>
      </c>
      <c r="BO75">
        <f t="shared" si="1039"/>
        <v>0.92914584570108194</v>
      </c>
      <c r="BP75">
        <f t="shared" ref="BP75:EA75" si="1040">MIN(1,BP41*BP88*BP89*BP90*BP91*BP93)</f>
        <v>0.95359472995641037</v>
      </c>
      <c r="BQ75">
        <f t="shared" si="1040"/>
        <v>0.97859289631858393</v>
      </c>
      <c r="BR75">
        <f t="shared" si="1040"/>
        <v>1</v>
      </c>
      <c r="BS75">
        <f t="shared" si="1040"/>
        <v>1</v>
      </c>
      <c r="BT75">
        <f t="shared" si="1040"/>
        <v>1</v>
      </c>
      <c r="BU75">
        <f t="shared" si="1040"/>
        <v>1</v>
      </c>
      <c r="BV75">
        <f t="shared" si="1040"/>
        <v>1</v>
      </c>
      <c r="BW75">
        <f t="shared" si="1040"/>
        <v>1</v>
      </c>
      <c r="BX75">
        <f t="shared" si="1040"/>
        <v>1</v>
      </c>
      <c r="BY75">
        <f t="shared" si="1040"/>
        <v>1</v>
      </c>
      <c r="BZ75">
        <f t="shared" si="1040"/>
        <v>1</v>
      </c>
      <c r="CA75">
        <f t="shared" si="1040"/>
        <v>1</v>
      </c>
      <c r="CB75">
        <f t="shared" si="1040"/>
        <v>1</v>
      </c>
      <c r="CC75">
        <f t="shared" si="1040"/>
        <v>1</v>
      </c>
      <c r="CD75">
        <f t="shared" si="1040"/>
        <v>1</v>
      </c>
      <c r="CE75">
        <f t="shared" si="1040"/>
        <v>1</v>
      </c>
      <c r="CF75">
        <f t="shared" si="1040"/>
        <v>1</v>
      </c>
      <c r="CG75">
        <f t="shared" si="1040"/>
        <v>1</v>
      </c>
      <c r="CH75">
        <f t="shared" si="1040"/>
        <v>1</v>
      </c>
      <c r="CI75">
        <f t="shared" si="1040"/>
        <v>1</v>
      </c>
      <c r="CJ75">
        <f t="shared" si="1040"/>
        <v>1</v>
      </c>
      <c r="CK75">
        <f t="shared" si="1040"/>
        <v>1</v>
      </c>
      <c r="CL75">
        <f t="shared" si="1040"/>
        <v>1</v>
      </c>
      <c r="CM75">
        <f t="shared" si="1040"/>
        <v>1</v>
      </c>
      <c r="CN75">
        <f t="shared" si="1040"/>
        <v>1</v>
      </c>
      <c r="CO75">
        <f t="shared" si="1040"/>
        <v>1</v>
      </c>
      <c r="CP75">
        <f t="shared" si="1040"/>
        <v>1</v>
      </c>
      <c r="CQ75">
        <f t="shared" si="1040"/>
        <v>1</v>
      </c>
      <c r="CR75">
        <f t="shared" si="1040"/>
        <v>1</v>
      </c>
      <c r="CS75">
        <f t="shared" si="1040"/>
        <v>1</v>
      </c>
      <c r="CT75">
        <f t="shared" si="1040"/>
        <v>1</v>
      </c>
      <c r="CU75">
        <f t="shared" si="1040"/>
        <v>1</v>
      </c>
      <c r="CV75">
        <f t="shared" si="1040"/>
        <v>1</v>
      </c>
      <c r="CW75">
        <f t="shared" si="1040"/>
        <v>1</v>
      </c>
      <c r="CX75">
        <f t="shared" si="1040"/>
        <v>1</v>
      </c>
      <c r="CY75">
        <f t="shared" si="1040"/>
        <v>1</v>
      </c>
      <c r="CZ75">
        <f t="shared" si="1040"/>
        <v>1</v>
      </c>
      <c r="DA75">
        <f t="shared" si="1040"/>
        <v>1</v>
      </c>
      <c r="DB75">
        <f t="shared" si="1040"/>
        <v>1</v>
      </c>
      <c r="DC75">
        <f t="shared" si="1040"/>
        <v>1</v>
      </c>
      <c r="DD75">
        <f t="shared" si="1040"/>
        <v>1</v>
      </c>
      <c r="DE75">
        <f t="shared" si="1040"/>
        <v>1</v>
      </c>
      <c r="DF75">
        <f t="shared" si="1040"/>
        <v>1</v>
      </c>
      <c r="DG75">
        <f t="shared" si="1040"/>
        <v>1</v>
      </c>
      <c r="DH75">
        <f t="shared" si="1040"/>
        <v>1</v>
      </c>
      <c r="DI75">
        <f t="shared" si="1040"/>
        <v>1</v>
      </c>
      <c r="DJ75">
        <f t="shared" si="1040"/>
        <v>1</v>
      </c>
      <c r="DK75">
        <f t="shared" si="1040"/>
        <v>1</v>
      </c>
      <c r="DL75">
        <f t="shared" si="1040"/>
        <v>1</v>
      </c>
      <c r="DM75">
        <f t="shared" si="1040"/>
        <v>1</v>
      </c>
      <c r="DN75">
        <f t="shared" si="1040"/>
        <v>1</v>
      </c>
      <c r="DO75">
        <f t="shared" si="1040"/>
        <v>1</v>
      </c>
      <c r="DP75">
        <f t="shared" si="1040"/>
        <v>1</v>
      </c>
      <c r="DQ75">
        <f t="shared" si="1040"/>
        <v>1</v>
      </c>
      <c r="DR75">
        <f t="shared" si="1040"/>
        <v>1</v>
      </c>
      <c r="DS75">
        <f t="shared" si="1040"/>
        <v>1</v>
      </c>
      <c r="DT75">
        <f t="shared" si="1040"/>
        <v>1</v>
      </c>
      <c r="DU75">
        <f t="shared" si="1040"/>
        <v>1</v>
      </c>
      <c r="DV75">
        <f t="shared" si="1040"/>
        <v>1</v>
      </c>
      <c r="DW75">
        <f t="shared" si="1040"/>
        <v>1</v>
      </c>
      <c r="DX75">
        <f t="shared" si="1040"/>
        <v>1</v>
      </c>
      <c r="DY75">
        <f t="shared" si="1040"/>
        <v>1</v>
      </c>
      <c r="DZ75">
        <f t="shared" si="1040"/>
        <v>1</v>
      </c>
      <c r="EA75">
        <f t="shared" si="1040"/>
        <v>1</v>
      </c>
      <c r="EB75">
        <f t="shared" ref="EB75:GM75" si="1041">MIN(1,EB41*EB88*EB89*EB90*EB91*EB93)</f>
        <v>1</v>
      </c>
      <c r="EC75">
        <f t="shared" si="1041"/>
        <v>1</v>
      </c>
      <c r="ED75">
        <f t="shared" si="1041"/>
        <v>1</v>
      </c>
      <c r="EE75">
        <f t="shared" si="1041"/>
        <v>1</v>
      </c>
      <c r="EF75">
        <f t="shared" si="1041"/>
        <v>1</v>
      </c>
      <c r="EG75">
        <f t="shared" si="1041"/>
        <v>1</v>
      </c>
      <c r="EH75">
        <f t="shared" si="1041"/>
        <v>1</v>
      </c>
      <c r="EI75">
        <f t="shared" si="1041"/>
        <v>1</v>
      </c>
      <c r="EJ75">
        <f t="shared" si="1041"/>
        <v>1</v>
      </c>
      <c r="EK75">
        <f t="shared" si="1041"/>
        <v>1</v>
      </c>
      <c r="EL75">
        <f t="shared" si="1041"/>
        <v>1</v>
      </c>
      <c r="EM75">
        <f t="shared" si="1041"/>
        <v>1</v>
      </c>
      <c r="EN75">
        <f t="shared" si="1041"/>
        <v>1</v>
      </c>
      <c r="EO75">
        <f t="shared" si="1041"/>
        <v>1</v>
      </c>
      <c r="EP75">
        <f t="shared" si="1041"/>
        <v>1</v>
      </c>
      <c r="EQ75">
        <f t="shared" si="1041"/>
        <v>1</v>
      </c>
      <c r="ER75">
        <f t="shared" si="1041"/>
        <v>1</v>
      </c>
      <c r="ES75">
        <f t="shared" si="1041"/>
        <v>1</v>
      </c>
      <c r="ET75">
        <f t="shared" si="1041"/>
        <v>1</v>
      </c>
      <c r="EU75">
        <f t="shared" si="1041"/>
        <v>1</v>
      </c>
      <c r="EV75">
        <f t="shared" si="1041"/>
        <v>1</v>
      </c>
      <c r="EW75">
        <f t="shared" si="1041"/>
        <v>1</v>
      </c>
      <c r="EX75">
        <f t="shared" si="1041"/>
        <v>1</v>
      </c>
      <c r="EY75">
        <f t="shared" si="1041"/>
        <v>1</v>
      </c>
      <c r="EZ75">
        <f t="shared" si="1041"/>
        <v>1</v>
      </c>
      <c r="FA75">
        <f t="shared" si="1041"/>
        <v>1</v>
      </c>
      <c r="FB75">
        <f t="shared" si="1041"/>
        <v>1</v>
      </c>
      <c r="FC75">
        <f t="shared" si="1041"/>
        <v>1</v>
      </c>
      <c r="FD75">
        <f t="shared" si="1041"/>
        <v>1</v>
      </c>
      <c r="FE75">
        <f t="shared" si="1041"/>
        <v>1</v>
      </c>
      <c r="FF75">
        <f t="shared" si="1041"/>
        <v>1</v>
      </c>
      <c r="FG75">
        <f t="shared" si="1041"/>
        <v>1</v>
      </c>
      <c r="FH75">
        <f t="shared" si="1041"/>
        <v>1</v>
      </c>
      <c r="FI75">
        <f t="shared" si="1041"/>
        <v>1</v>
      </c>
      <c r="FJ75">
        <f t="shared" si="1041"/>
        <v>1</v>
      </c>
      <c r="FK75">
        <f t="shared" si="1041"/>
        <v>1</v>
      </c>
      <c r="FL75">
        <f t="shared" si="1041"/>
        <v>1</v>
      </c>
      <c r="FM75">
        <f t="shared" si="1041"/>
        <v>1</v>
      </c>
      <c r="FN75">
        <f t="shared" si="1041"/>
        <v>1</v>
      </c>
      <c r="FO75">
        <f t="shared" si="1041"/>
        <v>1</v>
      </c>
      <c r="FP75">
        <f t="shared" si="1041"/>
        <v>1</v>
      </c>
      <c r="FQ75">
        <f t="shared" si="1041"/>
        <v>1</v>
      </c>
      <c r="FR75">
        <f t="shared" si="1041"/>
        <v>1</v>
      </c>
      <c r="FS75">
        <f t="shared" si="1041"/>
        <v>1</v>
      </c>
      <c r="FT75">
        <f t="shared" si="1041"/>
        <v>1</v>
      </c>
      <c r="FU75">
        <f t="shared" si="1041"/>
        <v>1</v>
      </c>
      <c r="FV75">
        <f t="shared" si="1041"/>
        <v>1</v>
      </c>
      <c r="FW75">
        <f t="shared" si="1041"/>
        <v>1</v>
      </c>
      <c r="FX75">
        <f t="shared" si="1041"/>
        <v>1</v>
      </c>
      <c r="FY75">
        <f t="shared" si="1041"/>
        <v>1</v>
      </c>
      <c r="FZ75">
        <f t="shared" si="1041"/>
        <v>1</v>
      </c>
      <c r="GA75">
        <f t="shared" si="1041"/>
        <v>1</v>
      </c>
      <c r="GB75">
        <f t="shared" si="1041"/>
        <v>1</v>
      </c>
      <c r="GC75">
        <f t="shared" si="1041"/>
        <v>1</v>
      </c>
      <c r="GD75">
        <f t="shared" si="1041"/>
        <v>1</v>
      </c>
      <c r="GE75">
        <f t="shared" si="1041"/>
        <v>1</v>
      </c>
      <c r="GF75">
        <f t="shared" si="1041"/>
        <v>1</v>
      </c>
      <c r="GG75">
        <f t="shared" si="1041"/>
        <v>1</v>
      </c>
      <c r="GH75">
        <f t="shared" si="1041"/>
        <v>1</v>
      </c>
      <c r="GI75">
        <f t="shared" si="1041"/>
        <v>1</v>
      </c>
      <c r="GJ75">
        <f t="shared" si="1041"/>
        <v>1</v>
      </c>
      <c r="GK75">
        <f t="shared" si="1041"/>
        <v>1</v>
      </c>
      <c r="GL75">
        <f t="shared" si="1041"/>
        <v>1</v>
      </c>
      <c r="GM75">
        <f t="shared" si="1041"/>
        <v>1</v>
      </c>
      <c r="GN75">
        <f t="shared" ref="GN75:IV75" si="1042">MIN(1,GN41*GN88*GN89*GN90*GN91*GN93)</f>
        <v>1</v>
      </c>
      <c r="GO75">
        <f t="shared" si="1042"/>
        <v>1</v>
      </c>
      <c r="GP75">
        <f t="shared" si="1042"/>
        <v>1</v>
      </c>
      <c r="GQ75">
        <f t="shared" si="1042"/>
        <v>1</v>
      </c>
      <c r="GR75">
        <f t="shared" si="1042"/>
        <v>1</v>
      </c>
      <c r="GS75">
        <f t="shared" si="1042"/>
        <v>1</v>
      </c>
      <c r="GT75">
        <f t="shared" si="1042"/>
        <v>1</v>
      </c>
      <c r="GU75">
        <f t="shared" si="1042"/>
        <v>1</v>
      </c>
      <c r="GV75">
        <f t="shared" si="1042"/>
        <v>1</v>
      </c>
      <c r="GW75">
        <f t="shared" si="1042"/>
        <v>1</v>
      </c>
      <c r="GX75">
        <f t="shared" si="1042"/>
        <v>1</v>
      </c>
      <c r="GY75">
        <f t="shared" si="1042"/>
        <v>1</v>
      </c>
      <c r="GZ75">
        <f t="shared" si="1042"/>
        <v>1</v>
      </c>
      <c r="HA75">
        <f t="shared" si="1042"/>
        <v>1</v>
      </c>
      <c r="HB75">
        <f t="shared" si="1042"/>
        <v>1</v>
      </c>
      <c r="HC75">
        <f t="shared" si="1042"/>
        <v>1</v>
      </c>
      <c r="HD75">
        <f t="shared" si="1042"/>
        <v>1</v>
      </c>
      <c r="HE75">
        <f t="shared" si="1042"/>
        <v>1</v>
      </c>
      <c r="HF75">
        <f t="shared" si="1042"/>
        <v>1</v>
      </c>
      <c r="HG75">
        <f t="shared" si="1042"/>
        <v>1</v>
      </c>
      <c r="HH75">
        <f t="shared" si="1042"/>
        <v>1</v>
      </c>
      <c r="HI75">
        <f t="shared" si="1042"/>
        <v>1</v>
      </c>
      <c r="HJ75">
        <f t="shared" si="1042"/>
        <v>1</v>
      </c>
      <c r="HK75">
        <f t="shared" si="1042"/>
        <v>1</v>
      </c>
      <c r="HL75">
        <f t="shared" si="1042"/>
        <v>1</v>
      </c>
      <c r="HM75">
        <f t="shared" si="1042"/>
        <v>1</v>
      </c>
      <c r="HN75">
        <f t="shared" si="1042"/>
        <v>1</v>
      </c>
      <c r="HO75">
        <f t="shared" si="1042"/>
        <v>1</v>
      </c>
      <c r="HP75">
        <f t="shared" si="1042"/>
        <v>1</v>
      </c>
      <c r="HQ75">
        <f t="shared" si="1042"/>
        <v>1</v>
      </c>
      <c r="HR75">
        <f t="shared" si="1042"/>
        <v>1</v>
      </c>
      <c r="HS75">
        <f t="shared" si="1042"/>
        <v>1</v>
      </c>
      <c r="HT75">
        <f t="shared" si="1042"/>
        <v>1</v>
      </c>
      <c r="HU75">
        <f t="shared" si="1042"/>
        <v>1</v>
      </c>
      <c r="HV75">
        <f t="shared" si="1042"/>
        <v>1</v>
      </c>
      <c r="HW75">
        <f t="shared" si="1042"/>
        <v>1</v>
      </c>
      <c r="HX75">
        <f t="shared" si="1042"/>
        <v>1</v>
      </c>
      <c r="HY75">
        <f t="shared" si="1042"/>
        <v>1</v>
      </c>
      <c r="HZ75">
        <f t="shared" si="1042"/>
        <v>1</v>
      </c>
      <c r="IA75">
        <f t="shared" si="1042"/>
        <v>1</v>
      </c>
      <c r="IB75">
        <f t="shared" si="1042"/>
        <v>1</v>
      </c>
      <c r="IC75">
        <f t="shared" si="1042"/>
        <v>1</v>
      </c>
      <c r="ID75">
        <f t="shared" si="1042"/>
        <v>1</v>
      </c>
      <c r="IE75">
        <f t="shared" si="1042"/>
        <v>1</v>
      </c>
      <c r="IF75">
        <f t="shared" si="1042"/>
        <v>1</v>
      </c>
      <c r="IG75">
        <f t="shared" si="1042"/>
        <v>1</v>
      </c>
      <c r="IH75">
        <f t="shared" si="1042"/>
        <v>1</v>
      </c>
      <c r="II75">
        <f t="shared" si="1042"/>
        <v>1</v>
      </c>
      <c r="IJ75">
        <f t="shared" si="1042"/>
        <v>1</v>
      </c>
      <c r="IK75">
        <f t="shared" si="1042"/>
        <v>1</v>
      </c>
      <c r="IL75">
        <f t="shared" si="1042"/>
        <v>1</v>
      </c>
      <c r="IM75">
        <f t="shared" si="1042"/>
        <v>1</v>
      </c>
      <c r="IN75">
        <f t="shared" si="1042"/>
        <v>1</v>
      </c>
      <c r="IO75">
        <f t="shared" si="1042"/>
        <v>1</v>
      </c>
      <c r="IP75">
        <f t="shared" si="1042"/>
        <v>1</v>
      </c>
      <c r="IQ75">
        <f t="shared" si="1042"/>
        <v>1</v>
      </c>
      <c r="IR75">
        <f t="shared" si="1042"/>
        <v>1</v>
      </c>
      <c r="IS75">
        <f t="shared" si="1042"/>
        <v>1</v>
      </c>
      <c r="IT75">
        <f t="shared" si="1042"/>
        <v>1</v>
      </c>
      <c r="IU75">
        <f t="shared" si="1042"/>
        <v>1</v>
      </c>
      <c r="IV75">
        <f t="shared" si="1042"/>
        <v>1</v>
      </c>
    </row>
    <row r="76" spans="1:256" x14ac:dyDescent="0.2">
      <c r="A76" t="s">
        <v>547</v>
      </c>
      <c r="B76">
        <f>MIN(1,B42)</f>
        <v>0.36953818600830807</v>
      </c>
      <c r="C76">
        <f>MIN(1,C42)</f>
        <v>0.36953818600830807</v>
      </c>
      <c r="D76">
        <f t="shared" ref="D76:BO76" si="1043">MIN(1,D42)</f>
        <v>0.36953818600830807</v>
      </c>
      <c r="E76">
        <f t="shared" si="1043"/>
        <v>0.36953818600830807</v>
      </c>
      <c r="F76">
        <f t="shared" si="1043"/>
        <v>0.36953818600830807</v>
      </c>
      <c r="G76">
        <f t="shared" si="1043"/>
        <v>0.36953818600830807</v>
      </c>
      <c r="H76">
        <f t="shared" si="1043"/>
        <v>0.36953818600830807</v>
      </c>
      <c r="I76">
        <f t="shared" si="1043"/>
        <v>0.36953818600830807</v>
      </c>
      <c r="J76">
        <f t="shared" si="1043"/>
        <v>0.10000000000000003</v>
      </c>
      <c r="K76">
        <f t="shared" si="1043"/>
        <v>0.10000000000000003</v>
      </c>
      <c r="L76">
        <f t="shared" si="1043"/>
        <v>0.10000000000000003</v>
      </c>
      <c r="M76">
        <f t="shared" si="1043"/>
        <v>0.10000000000000003</v>
      </c>
      <c r="N76">
        <f t="shared" si="1043"/>
        <v>0.10000000000000003</v>
      </c>
      <c r="O76">
        <f t="shared" si="1043"/>
        <v>0.10000000000000003</v>
      </c>
      <c r="P76">
        <f t="shared" si="1043"/>
        <v>0.10000000000000003</v>
      </c>
      <c r="Q76">
        <f t="shared" si="1043"/>
        <v>0.10000000000000003</v>
      </c>
      <c r="R76">
        <f t="shared" si="1043"/>
        <v>0.1</v>
      </c>
      <c r="S76">
        <f t="shared" si="1043"/>
        <v>0.1</v>
      </c>
      <c r="T76">
        <f t="shared" si="1043"/>
        <v>0.1</v>
      </c>
      <c r="U76">
        <f t="shared" si="1043"/>
        <v>0.1</v>
      </c>
      <c r="V76">
        <f t="shared" si="1043"/>
        <v>0.1</v>
      </c>
      <c r="W76">
        <f t="shared" si="1043"/>
        <v>0.1</v>
      </c>
      <c r="X76">
        <f t="shared" si="1043"/>
        <v>0.1</v>
      </c>
      <c r="Y76">
        <f t="shared" si="1043"/>
        <v>0.1</v>
      </c>
      <c r="Z76">
        <f t="shared" si="1043"/>
        <v>0.2</v>
      </c>
      <c r="AA76">
        <f t="shared" si="1043"/>
        <v>0.2</v>
      </c>
      <c r="AB76">
        <f t="shared" si="1043"/>
        <v>0.2</v>
      </c>
      <c r="AC76">
        <f t="shared" si="1043"/>
        <v>0.2</v>
      </c>
      <c r="AD76">
        <f t="shared" si="1043"/>
        <v>0.2</v>
      </c>
      <c r="AE76">
        <f t="shared" si="1043"/>
        <v>0.2</v>
      </c>
      <c r="AF76">
        <f t="shared" si="1043"/>
        <v>0.2</v>
      </c>
      <c r="AG76">
        <f t="shared" si="1043"/>
        <v>0.2</v>
      </c>
      <c r="AH76">
        <f t="shared" si="1043"/>
        <v>0.7371634674072266</v>
      </c>
      <c r="AI76">
        <f t="shared" si="1043"/>
        <v>0.7371634674072266</v>
      </c>
      <c r="AJ76">
        <f t="shared" si="1043"/>
        <v>0.7371634674072266</v>
      </c>
      <c r="AK76">
        <f t="shared" si="1043"/>
        <v>0.7371634674072266</v>
      </c>
      <c r="AL76">
        <f t="shared" si="1043"/>
        <v>0.7371634674072266</v>
      </c>
      <c r="AM76">
        <f t="shared" si="1043"/>
        <v>0.7371634674072266</v>
      </c>
      <c r="AN76">
        <f t="shared" si="1043"/>
        <v>0.7371634674072266</v>
      </c>
      <c r="AO76">
        <f t="shared" si="1043"/>
        <v>0.7371634674072266</v>
      </c>
      <c r="AP76">
        <f t="shared" si="1043"/>
        <v>0.67912355014497228</v>
      </c>
      <c r="AQ76">
        <f t="shared" si="1043"/>
        <v>0.67912355014497228</v>
      </c>
      <c r="AR76">
        <f t="shared" si="1043"/>
        <v>0.67912355014497228</v>
      </c>
      <c r="AS76">
        <f t="shared" si="1043"/>
        <v>0.67912355014497228</v>
      </c>
      <c r="AT76">
        <f t="shared" si="1043"/>
        <v>0.67912355014497228</v>
      </c>
      <c r="AU76">
        <f t="shared" si="1043"/>
        <v>0.67912355014497228</v>
      </c>
      <c r="AV76">
        <f t="shared" si="1043"/>
        <v>0.67912355014497228</v>
      </c>
      <c r="AW76">
        <f t="shared" si="1043"/>
        <v>0.67912355014497228</v>
      </c>
      <c r="AX76">
        <f t="shared" si="1043"/>
        <v>0.99999997415840869</v>
      </c>
      <c r="AY76">
        <f t="shared" si="1043"/>
        <v>0.99999997415840869</v>
      </c>
      <c r="AZ76">
        <f t="shared" si="1043"/>
        <v>0.99999997415840869</v>
      </c>
      <c r="BA76">
        <f t="shared" si="1043"/>
        <v>0.99999997415840869</v>
      </c>
      <c r="BB76">
        <f t="shared" si="1043"/>
        <v>0.99999997415840869</v>
      </c>
      <c r="BC76">
        <f t="shared" si="1043"/>
        <v>0.99999997415840869</v>
      </c>
      <c r="BD76">
        <f t="shared" si="1043"/>
        <v>0.99999997415840869</v>
      </c>
      <c r="BE76">
        <f t="shared" si="1043"/>
        <v>0.99999997415840869</v>
      </c>
      <c r="BF76">
        <f t="shared" si="1043"/>
        <v>0.99999997415840869</v>
      </c>
      <c r="BG76">
        <f t="shared" si="1043"/>
        <v>0.99999997415840869</v>
      </c>
      <c r="BH76">
        <f t="shared" si="1043"/>
        <v>0.99999997415840869</v>
      </c>
      <c r="BI76">
        <f t="shared" si="1043"/>
        <v>0.99999997415840869</v>
      </c>
      <c r="BJ76">
        <f t="shared" si="1043"/>
        <v>0.99999997415840869</v>
      </c>
      <c r="BK76">
        <f t="shared" si="1043"/>
        <v>0.99999997415840869</v>
      </c>
      <c r="BL76">
        <f t="shared" si="1043"/>
        <v>0.99999997415840869</v>
      </c>
      <c r="BM76">
        <f t="shared" si="1043"/>
        <v>0.99999997415840869</v>
      </c>
      <c r="BN76">
        <f t="shared" si="1043"/>
        <v>0.99999997415840869</v>
      </c>
      <c r="BO76">
        <f t="shared" si="1043"/>
        <v>0.99999997415840869</v>
      </c>
      <c r="BP76">
        <f t="shared" ref="BP76:EA76" si="1044">MIN(1,BP42)</f>
        <v>0.99999997415840869</v>
      </c>
      <c r="BQ76">
        <f t="shared" si="1044"/>
        <v>0.99999997415840869</v>
      </c>
      <c r="BR76">
        <f t="shared" si="1044"/>
        <v>0.99999997415840869</v>
      </c>
      <c r="BS76">
        <f t="shared" si="1044"/>
        <v>0.99999997415840869</v>
      </c>
      <c r="BT76">
        <f t="shared" si="1044"/>
        <v>0.99999997415840869</v>
      </c>
      <c r="BU76">
        <f t="shared" si="1044"/>
        <v>0.99999997415840869</v>
      </c>
      <c r="BV76">
        <f t="shared" si="1044"/>
        <v>0.99999997415840869</v>
      </c>
      <c r="BW76">
        <f t="shared" si="1044"/>
        <v>0.99999997415840869</v>
      </c>
      <c r="BX76">
        <f t="shared" si="1044"/>
        <v>0.99999997415840869</v>
      </c>
      <c r="BY76">
        <f t="shared" si="1044"/>
        <v>0.99999997415840869</v>
      </c>
      <c r="BZ76">
        <f t="shared" si="1044"/>
        <v>0.99999997415840869</v>
      </c>
      <c r="CA76">
        <f t="shared" si="1044"/>
        <v>0.99999997415840869</v>
      </c>
      <c r="CB76">
        <f t="shared" si="1044"/>
        <v>0.99999997415840869</v>
      </c>
      <c r="CC76">
        <f t="shared" si="1044"/>
        <v>0.99999997415840869</v>
      </c>
      <c r="CD76">
        <f t="shared" si="1044"/>
        <v>0.99999997415840869</v>
      </c>
      <c r="CE76">
        <f t="shared" si="1044"/>
        <v>0.99999997415840869</v>
      </c>
      <c r="CF76">
        <f t="shared" si="1044"/>
        <v>0.99999997415840869</v>
      </c>
      <c r="CG76">
        <f t="shared" si="1044"/>
        <v>0.99999997415840869</v>
      </c>
      <c r="CH76">
        <f t="shared" si="1044"/>
        <v>0.99999997415840869</v>
      </c>
      <c r="CI76">
        <f t="shared" si="1044"/>
        <v>0.99999997415840869</v>
      </c>
      <c r="CJ76">
        <f t="shared" si="1044"/>
        <v>0.99999997415840869</v>
      </c>
      <c r="CK76">
        <f t="shared" si="1044"/>
        <v>0.99999997415840869</v>
      </c>
      <c r="CL76">
        <f t="shared" si="1044"/>
        <v>0.99999997415840869</v>
      </c>
      <c r="CM76">
        <f t="shared" si="1044"/>
        <v>0.99999997415840869</v>
      </c>
      <c r="CN76">
        <f t="shared" si="1044"/>
        <v>0.99999997415840869</v>
      </c>
      <c r="CO76">
        <f t="shared" si="1044"/>
        <v>0.99999997415840869</v>
      </c>
      <c r="CP76">
        <f t="shared" si="1044"/>
        <v>0.99999997415840869</v>
      </c>
      <c r="CQ76">
        <f t="shared" si="1044"/>
        <v>0.99999997415840869</v>
      </c>
      <c r="CR76">
        <f t="shared" si="1044"/>
        <v>0.99999997415840869</v>
      </c>
      <c r="CS76">
        <f t="shared" si="1044"/>
        <v>0.99999997415840869</v>
      </c>
      <c r="CT76">
        <f t="shared" si="1044"/>
        <v>0.99999997415840869</v>
      </c>
      <c r="CU76">
        <f t="shared" si="1044"/>
        <v>0.99999997415840869</v>
      </c>
      <c r="CV76">
        <f t="shared" si="1044"/>
        <v>0.99999997415840869</v>
      </c>
      <c r="CW76">
        <f t="shared" si="1044"/>
        <v>0.99999997415840869</v>
      </c>
      <c r="CX76">
        <f t="shared" si="1044"/>
        <v>0.99999997415840869</v>
      </c>
      <c r="CY76">
        <f t="shared" si="1044"/>
        <v>0.99999997415840869</v>
      </c>
      <c r="CZ76">
        <f t="shared" si="1044"/>
        <v>0.99999997415840869</v>
      </c>
      <c r="DA76">
        <f t="shared" si="1044"/>
        <v>0.99999997415840869</v>
      </c>
      <c r="DB76">
        <f t="shared" si="1044"/>
        <v>0.99999997415840869</v>
      </c>
      <c r="DC76">
        <f t="shared" si="1044"/>
        <v>0.99999997415840869</v>
      </c>
      <c r="DD76">
        <f t="shared" si="1044"/>
        <v>0.99999997415840869</v>
      </c>
      <c r="DE76">
        <f t="shared" si="1044"/>
        <v>0.99999997415840869</v>
      </c>
      <c r="DF76">
        <f t="shared" si="1044"/>
        <v>0.99999997415840869</v>
      </c>
      <c r="DG76">
        <f t="shared" si="1044"/>
        <v>0.99999997415840869</v>
      </c>
      <c r="DH76">
        <f t="shared" si="1044"/>
        <v>0.99999997415840869</v>
      </c>
      <c r="DI76">
        <f t="shared" si="1044"/>
        <v>0.99999997415840869</v>
      </c>
      <c r="DJ76">
        <f t="shared" si="1044"/>
        <v>0.99999997415840869</v>
      </c>
      <c r="DK76">
        <f t="shared" si="1044"/>
        <v>0.99999997415840869</v>
      </c>
      <c r="DL76">
        <f t="shared" si="1044"/>
        <v>0.99999997415840869</v>
      </c>
      <c r="DM76">
        <f t="shared" si="1044"/>
        <v>0.99999997415840869</v>
      </c>
      <c r="DN76">
        <f t="shared" si="1044"/>
        <v>0.99999997415840869</v>
      </c>
      <c r="DO76">
        <f t="shared" si="1044"/>
        <v>0.99999997415840869</v>
      </c>
      <c r="DP76">
        <f t="shared" si="1044"/>
        <v>0.99999997415840869</v>
      </c>
      <c r="DQ76">
        <f t="shared" si="1044"/>
        <v>0.99999997415840869</v>
      </c>
      <c r="DR76">
        <f t="shared" si="1044"/>
        <v>0.99999997415840869</v>
      </c>
      <c r="DS76">
        <f t="shared" si="1044"/>
        <v>0.99999997415840869</v>
      </c>
      <c r="DT76">
        <f t="shared" si="1044"/>
        <v>0.99999997415840869</v>
      </c>
      <c r="DU76">
        <f t="shared" si="1044"/>
        <v>0.99999997415840869</v>
      </c>
      <c r="DV76">
        <f t="shared" si="1044"/>
        <v>0.99999997415840869</v>
      </c>
      <c r="DW76">
        <f t="shared" si="1044"/>
        <v>0.99999997415840869</v>
      </c>
      <c r="DX76">
        <f t="shared" si="1044"/>
        <v>0.99999997415840869</v>
      </c>
      <c r="DY76">
        <f t="shared" si="1044"/>
        <v>0.99999997415840869</v>
      </c>
      <c r="DZ76">
        <f t="shared" si="1044"/>
        <v>0.99999997415840869</v>
      </c>
      <c r="EA76">
        <f t="shared" si="1044"/>
        <v>0.99999997415840869</v>
      </c>
      <c r="EB76">
        <f t="shared" ref="EB76:GM76" si="1045">MIN(1,EB42)</f>
        <v>0.99999997415840869</v>
      </c>
      <c r="EC76">
        <f t="shared" si="1045"/>
        <v>0.99999997415840869</v>
      </c>
      <c r="ED76">
        <f t="shared" si="1045"/>
        <v>0.99999997415840869</v>
      </c>
      <c r="EE76">
        <f t="shared" si="1045"/>
        <v>0.99999997415840869</v>
      </c>
      <c r="EF76">
        <f t="shared" si="1045"/>
        <v>0.99999997415840869</v>
      </c>
      <c r="EG76">
        <f t="shared" si="1045"/>
        <v>0.99999997415840869</v>
      </c>
      <c r="EH76">
        <f t="shared" si="1045"/>
        <v>0.99999997415840869</v>
      </c>
      <c r="EI76">
        <f t="shared" si="1045"/>
        <v>0.99999997415840869</v>
      </c>
      <c r="EJ76">
        <f t="shared" si="1045"/>
        <v>0.99999997415840869</v>
      </c>
      <c r="EK76">
        <f t="shared" si="1045"/>
        <v>0.99999997415840869</v>
      </c>
      <c r="EL76">
        <f t="shared" si="1045"/>
        <v>0.99999997415840869</v>
      </c>
      <c r="EM76">
        <f t="shared" si="1045"/>
        <v>0.99999997415840869</v>
      </c>
      <c r="EN76">
        <f t="shared" si="1045"/>
        <v>0.99999997415840869</v>
      </c>
      <c r="EO76">
        <f t="shared" si="1045"/>
        <v>0.99999997415840869</v>
      </c>
      <c r="EP76">
        <f t="shared" si="1045"/>
        <v>0.99999997415840869</v>
      </c>
      <c r="EQ76">
        <f t="shared" si="1045"/>
        <v>0.99999997415840869</v>
      </c>
      <c r="ER76">
        <f t="shared" si="1045"/>
        <v>0.99999997415840869</v>
      </c>
      <c r="ES76">
        <f t="shared" si="1045"/>
        <v>0.99999997415840869</v>
      </c>
      <c r="ET76">
        <f t="shared" si="1045"/>
        <v>0.99999997415840869</v>
      </c>
      <c r="EU76">
        <f t="shared" si="1045"/>
        <v>0.99999997415840869</v>
      </c>
      <c r="EV76">
        <f t="shared" si="1045"/>
        <v>0.99999997415840869</v>
      </c>
      <c r="EW76">
        <f t="shared" si="1045"/>
        <v>0.99999997415840869</v>
      </c>
      <c r="EX76">
        <f t="shared" si="1045"/>
        <v>0.99999997415840869</v>
      </c>
      <c r="EY76">
        <f t="shared" si="1045"/>
        <v>0.99999997415840869</v>
      </c>
      <c r="EZ76">
        <f t="shared" si="1045"/>
        <v>0.99999997415840869</v>
      </c>
      <c r="FA76">
        <f t="shared" si="1045"/>
        <v>0.99999997415840869</v>
      </c>
      <c r="FB76">
        <f t="shared" si="1045"/>
        <v>0.99999997415840869</v>
      </c>
      <c r="FC76">
        <f t="shared" si="1045"/>
        <v>0.99999997415840869</v>
      </c>
      <c r="FD76">
        <f t="shared" si="1045"/>
        <v>0.99999997415840869</v>
      </c>
      <c r="FE76">
        <f t="shared" si="1045"/>
        <v>0.99999997415840869</v>
      </c>
      <c r="FF76">
        <f t="shared" si="1045"/>
        <v>0.99999997415840869</v>
      </c>
      <c r="FG76">
        <f t="shared" si="1045"/>
        <v>0.99999997415840869</v>
      </c>
      <c r="FH76">
        <f t="shared" si="1045"/>
        <v>0.99999997415840869</v>
      </c>
      <c r="FI76">
        <f t="shared" si="1045"/>
        <v>0.99999997415840869</v>
      </c>
      <c r="FJ76">
        <f t="shared" si="1045"/>
        <v>0.99999997415840869</v>
      </c>
      <c r="FK76">
        <f t="shared" si="1045"/>
        <v>0.99999997415840869</v>
      </c>
      <c r="FL76">
        <f t="shared" si="1045"/>
        <v>0.99999997415840869</v>
      </c>
      <c r="FM76">
        <f t="shared" si="1045"/>
        <v>0.99999997415840869</v>
      </c>
      <c r="FN76">
        <f t="shared" si="1045"/>
        <v>0.99999997415840869</v>
      </c>
      <c r="FO76">
        <f t="shared" si="1045"/>
        <v>0.99999997415840869</v>
      </c>
      <c r="FP76">
        <f t="shared" si="1045"/>
        <v>0.99999997415840869</v>
      </c>
      <c r="FQ76">
        <f t="shared" si="1045"/>
        <v>0.99999997415840869</v>
      </c>
      <c r="FR76">
        <f t="shared" si="1045"/>
        <v>0.99999997415840869</v>
      </c>
      <c r="FS76">
        <f t="shared" si="1045"/>
        <v>0.99999997415840869</v>
      </c>
      <c r="FT76">
        <f t="shared" si="1045"/>
        <v>0.99999997415840869</v>
      </c>
      <c r="FU76">
        <f t="shared" si="1045"/>
        <v>0.99999997415840869</v>
      </c>
      <c r="FV76">
        <f t="shared" si="1045"/>
        <v>0.99999997415840869</v>
      </c>
      <c r="FW76">
        <f t="shared" si="1045"/>
        <v>0.99999997415840869</v>
      </c>
      <c r="FX76">
        <f t="shared" si="1045"/>
        <v>0.99999997415840869</v>
      </c>
      <c r="FY76">
        <f t="shared" si="1045"/>
        <v>0.99999997415840869</v>
      </c>
      <c r="FZ76">
        <f t="shared" si="1045"/>
        <v>0.99999997415840869</v>
      </c>
      <c r="GA76">
        <f t="shared" si="1045"/>
        <v>0.99999997415840869</v>
      </c>
      <c r="GB76">
        <f t="shared" si="1045"/>
        <v>0.99999997415840869</v>
      </c>
      <c r="GC76">
        <f t="shared" si="1045"/>
        <v>0.99999997415840869</v>
      </c>
      <c r="GD76">
        <f t="shared" si="1045"/>
        <v>0.99999997415840869</v>
      </c>
      <c r="GE76">
        <f t="shared" si="1045"/>
        <v>0.99999997415840869</v>
      </c>
      <c r="GF76">
        <f t="shared" si="1045"/>
        <v>0.99999997415840869</v>
      </c>
      <c r="GG76">
        <f t="shared" si="1045"/>
        <v>0.99999997415840869</v>
      </c>
      <c r="GH76">
        <f t="shared" si="1045"/>
        <v>0.99999997415840869</v>
      </c>
      <c r="GI76">
        <f t="shared" si="1045"/>
        <v>0.99999997415840869</v>
      </c>
      <c r="GJ76">
        <f t="shared" si="1045"/>
        <v>0.99999997415840869</v>
      </c>
      <c r="GK76">
        <f t="shared" si="1045"/>
        <v>0.99999997415840869</v>
      </c>
      <c r="GL76">
        <f t="shared" si="1045"/>
        <v>0.99999997415840869</v>
      </c>
      <c r="GM76">
        <f t="shared" si="1045"/>
        <v>0.99999997415840869</v>
      </c>
      <c r="GN76">
        <f t="shared" ref="GN76:IV76" si="1046">MIN(1,GN42)</f>
        <v>0.99999997415840869</v>
      </c>
      <c r="GO76">
        <f t="shared" si="1046"/>
        <v>0.99999997415840869</v>
      </c>
      <c r="GP76">
        <f t="shared" si="1046"/>
        <v>0.99999997415840869</v>
      </c>
      <c r="GQ76">
        <f t="shared" si="1046"/>
        <v>0.99999997415840869</v>
      </c>
      <c r="GR76">
        <f t="shared" si="1046"/>
        <v>0.99999997415840869</v>
      </c>
      <c r="GS76">
        <f t="shared" si="1046"/>
        <v>0.99999997415840869</v>
      </c>
      <c r="GT76">
        <f t="shared" si="1046"/>
        <v>0.99999997415840869</v>
      </c>
      <c r="GU76">
        <f t="shared" si="1046"/>
        <v>0.99999997415840869</v>
      </c>
      <c r="GV76">
        <f t="shared" si="1046"/>
        <v>0.99999997415840869</v>
      </c>
      <c r="GW76">
        <f t="shared" si="1046"/>
        <v>0.99999997415840869</v>
      </c>
      <c r="GX76">
        <f t="shared" si="1046"/>
        <v>0.99999997415840869</v>
      </c>
      <c r="GY76">
        <f t="shared" si="1046"/>
        <v>0.99999997415840869</v>
      </c>
      <c r="GZ76">
        <f t="shared" si="1046"/>
        <v>0.99999997415840869</v>
      </c>
      <c r="HA76">
        <f t="shared" si="1046"/>
        <v>0.99999997415840869</v>
      </c>
      <c r="HB76">
        <f t="shared" si="1046"/>
        <v>0.99999997415840869</v>
      </c>
      <c r="HC76">
        <f t="shared" si="1046"/>
        <v>0.99999997415840869</v>
      </c>
      <c r="HD76">
        <f t="shared" si="1046"/>
        <v>0.99999997415840869</v>
      </c>
      <c r="HE76">
        <f t="shared" si="1046"/>
        <v>0.99999997415840869</v>
      </c>
      <c r="HF76">
        <f t="shared" si="1046"/>
        <v>0.99999997415840869</v>
      </c>
      <c r="HG76">
        <f t="shared" si="1046"/>
        <v>0.99999997415840869</v>
      </c>
      <c r="HH76">
        <f t="shared" si="1046"/>
        <v>0.99999997415840869</v>
      </c>
      <c r="HI76">
        <f t="shared" si="1046"/>
        <v>0.99999997415840869</v>
      </c>
      <c r="HJ76">
        <f t="shared" si="1046"/>
        <v>0.99999997415840869</v>
      </c>
      <c r="HK76">
        <f t="shared" si="1046"/>
        <v>0.99999997415840869</v>
      </c>
      <c r="HL76">
        <f t="shared" si="1046"/>
        <v>0.99999997415840869</v>
      </c>
      <c r="HM76">
        <f t="shared" si="1046"/>
        <v>0.99999997415840869</v>
      </c>
      <c r="HN76">
        <f t="shared" si="1046"/>
        <v>0.99999997415840869</v>
      </c>
      <c r="HO76">
        <f t="shared" si="1046"/>
        <v>0.99999997415840869</v>
      </c>
      <c r="HP76">
        <f t="shared" si="1046"/>
        <v>0.99999997415840869</v>
      </c>
      <c r="HQ76">
        <f t="shared" si="1046"/>
        <v>0.99999997415840869</v>
      </c>
      <c r="HR76">
        <f t="shared" si="1046"/>
        <v>0.99999997415840869</v>
      </c>
      <c r="HS76">
        <f t="shared" si="1046"/>
        <v>0.99999997415840869</v>
      </c>
      <c r="HT76">
        <f t="shared" si="1046"/>
        <v>0.99999997415840869</v>
      </c>
      <c r="HU76">
        <f t="shared" si="1046"/>
        <v>0.99999997415840869</v>
      </c>
      <c r="HV76">
        <f t="shared" si="1046"/>
        <v>0.99999997415840869</v>
      </c>
      <c r="HW76">
        <f t="shared" si="1046"/>
        <v>0.99999997415840869</v>
      </c>
      <c r="HX76">
        <f t="shared" si="1046"/>
        <v>0.99999997415840869</v>
      </c>
      <c r="HY76">
        <f t="shared" si="1046"/>
        <v>0.99999997415840869</v>
      </c>
      <c r="HZ76">
        <f t="shared" si="1046"/>
        <v>0.99999997415840869</v>
      </c>
      <c r="IA76">
        <f t="shared" si="1046"/>
        <v>0.99999997415840869</v>
      </c>
      <c r="IB76">
        <f t="shared" si="1046"/>
        <v>0.99999997415840869</v>
      </c>
      <c r="IC76">
        <f t="shared" si="1046"/>
        <v>0.99999997415840869</v>
      </c>
      <c r="ID76">
        <f t="shared" si="1046"/>
        <v>0.99999997415840869</v>
      </c>
      <c r="IE76">
        <f t="shared" si="1046"/>
        <v>0.99999997415840869</v>
      </c>
      <c r="IF76">
        <f t="shared" si="1046"/>
        <v>0.99999997415840869</v>
      </c>
      <c r="IG76">
        <f t="shared" si="1046"/>
        <v>0.99999997415840869</v>
      </c>
      <c r="IH76">
        <f t="shared" si="1046"/>
        <v>0.99999997415840869</v>
      </c>
      <c r="II76">
        <f t="shared" si="1046"/>
        <v>0.99999997415840869</v>
      </c>
      <c r="IJ76">
        <f t="shared" si="1046"/>
        <v>0.99999997415840869</v>
      </c>
      <c r="IK76">
        <f t="shared" si="1046"/>
        <v>0.99999997415840869</v>
      </c>
      <c r="IL76">
        <f t="shared" si="1046"/>
        <v>0.99999997415840869</v>
      </c>
      <c r="IM76">
        <f t="shared" si="1046"/>
        <v>0.99999997415840869</v>
      </c>
      <c r="IN76">
        <f t="shared" si="1046"/>
        <v>0.99999997415840869</v>
      </c>
      <c r="IO76">
        <f t="shared" si="1046"/>
        <v>0.99999997415840869</v>
      </c>
      <c r="IP76">
        <f t="shared" si="1046"/>
        <v>0.99999997415840869</v>
      </c>
      <c r="IQ76">
        <f t="shared" si="1046"/>
        <v>0.99999997415840869</v>
      </c>
      <c r="IR76">
        <f t="shared" si="1046"/>
        <v>0.99999997415840869</v>
      </c>
      <c r="IS76">
        <f t="shared" si="1046"/>
        <v>0.99999997415840869</v>
      </c>
      <c r="IT76">
        <f t="shared" si="1046"/>
        <v>0.99999997415840869</v>
      </c>
      <c r="IU76">
        <f t="shared" si="1046"/>
        <v>0.99999997415840869</v>
      </c>
      <c r="IV76">
        <f t="shared" si="1046"/>
        <v>0.99999997415840869</v>
      </c>
    </row>
    <row r="77" spans="1:256" x14ac:dyDescent="0.2">
      <c r="A77" t="s">
        <v>548</v>
      </c>
      <c r="B77">
        <f>MIN(1,B43)</f>
        <v>0.52466606797154081</v>
      </c>
      <c r="C77">
        <f>MIN(1,C43)</f>
        <v>0.52466606797154081</v>
      </c>
      <c r="D77">
        <f t="shared" ref="D77:BO77" si="1047">MIN(1,D43)</f>
        <v>0.52466606797154081</v>
      </c>
      <c r="E77">
        <f t="shared" si="1047"/>
        <v>0.52466606797154081</v>
      </c>
      <c r="F77">
        <f t="shared" si="1047"/>
        <v>0.52466606797154081</v>
      </c>
      <c r="G77">
        <f t="shared" si="1047"/>
        <v>0.52466606797154081</v>
      </c>
      <c r="H77">
        <f t="shared" si="1047"/>
        <v>0.52466606797154081</v>
      </c>
      <c r="I77">
        <f t="shared" si="1047"/>
        <v>0.52466606797154081</v>
      </c>
      <c r="J77">
        <f t="shared" si="1047"/>
        <v>1</v>
      </c>
      <c r="K77">
        <f t="shared" si="1047"/>
        <v>1</v>
      </c>
      <c r="L77">
        <f t="shared" si="1047"/>
        <v>1</v>
      </c>
      <c r="M77">
        <f t="shared" si="1047"/>
        <v>1</v>
      </c>
      <c r="N77">
        <f t="shared" si="1047"/>
        <v>1</v>
      </c>
      <c r="O77">
        <f t="shared" si="1047"/>
        <v>1</v>
      </c>
      <c r="P77">
        <f t="shared" si="1047"/>
        <v>1</v>
      </c>
      <c r="Q77">
        <f t="shared" si="1047"/>
        <v>1</v>
      </c>
      <c r="R77">
        <f t="shared" si="1047"/>
        <v>1</v>
      </c>
      <c r="S77">
        <f t="shared" si="1047"/>
        <v>1</v>
      </c>
      <c r="T77">
        <f t="shared" si="1047"/>
        <v>1</v>
      </c>
      <c r="U77">
        <f t="shared" si="1047"/>
        <v>1</v>
      </c>
      <c r="V77">
        <f t="shared" si="1047"/>
        <v>1</v>
      </c>
      <c r="W77">
        <f t="shared" si="1047"/>
        <v>1</v>
      </c>
      <c r="X77">
        <f t="shared" si="1047"/>
        <v>1</v>
      </c>
      <c r="Y77">
        <f t="shared" si="1047"/>
        <v>1</v>
      </c>
      <c r="Z77">
        <f t="shared" si="1047"/>
        <v>1</v>
      </c>
      <c r="AA77">
        <f t="shared" si="1047"/>
        <v>1</v>
      </c>
      <c r="AB77">
        <f t="shared" si="1047"/>
        <v>1</v>
      </c>
      <c r="AC77">
        <f t="shared" si="1047"/>
        <v>1</v>
      </c>
      <c r="AD77">
        <f t="shared" si="1047"/>
        <v>1</v>
      </c>
      <c r="AE77">
        <f t="shared" si="1047"/>
        <v>1</v>
      </c>
      <c r="AF77">
        <f t="shared" si="1047"/>
        <v>1</v>
      </c>
      <c r="AG77">
        <f t="shared" si="1047"/>
        <v>1</v>
      </c>
      <c r="AH77">
        <f t="shared" si="1047"/>
        <v>0.53973793029785155</v>
      </c>
      <c r="AI77">
        <f t="shared" si="1047"/>
        <v>0.53973793029785155</v>
      </c>
      <c r="AJ77">
        <f t="shared" si="1047"/>
        <v>0.53973793029785155</v>
      </c>
      <c r="AK77">
        <f t="shared" si="1047"/>
        <v>0.53973793029785155</v>
      </c>
      <c r="AL77">
        <f t="shared" si="1047"/>
        <v>0.53973793029785155</v>
      </c>
      <c r="AM77">
        <f t="shared" si="1047"/>
        <v>0.53973793029785155</v>
      </c>
      <c r="AN77">
        <f t="shared" si="1047"/>
        <v>0.53973793029785155</v>
      </c>
      <c r="AO77">
        <f t="shared" si="1047"/>
        <v>0.53973793029785155</v>
      </c>
      <c r="AP77">
        <f t="shared" si="1047"/>
        <v>0.72312862184131388</v>
      </c>
      <c r="AQ77">
        <f t="shared" si="1047"/>
        <v>0.72312862184131388</v>
      </c>
      <c r="AR77">
        <f t="shared" si="1047"/>
        <v>0.72312862184131388</v>
      </c>
      <c r="AS77">
        <f t="shared" si="1047"/>
        <v>0.72312862184131388</v>
      </c>
      <c r="AT77">
        <f t="shared" si="1047"/>
        <v>0.72312862184131388</v>
      </c>
      <c r="AU77">
        <f t="shared" si="1047"/>
        <v>0.72312862184131388</v>
      </c>
      <c r="AV77">
        <f t="shared" si="1047"/>
        <v>0.72312862184131388</v>
      </c>
      <c r="AW77">
        <f t="shared" si="1047"/>
        <v>0.72312862184131388</v>
      </c>
      <c r="AX77">
        <f t="shared" si="1047"/>
        <v>0.99999853643354242</v>
      </c>
      <c r="AY77">
        <f t="shared" si="1047"/>
        <v>0.99999853643354242</v>
      </c>
      <c r="AZ77">
        <f t="shared" si="1047"/>
        <v>0.99999853643354242</v>
      </c>
      <c r="BA77">
        <f t="shared" si="1047"/>
        <v>0.99999853643354242</v>
      </c>
      <c r="BB77">
        <f t="shared" si="1047"/>
        <v>0.99999853643354242</v>
      </c>
      <c r="BC77">
        <f t="shared" si="1047"/>
        <v>0.99999853643354242</v>
      </c>
      <c r="BD77">
        <f t="shared" si="1047"/>
        <v>0.99999853643354242</v>
      </c>
      <c r="BE77">
        <f t="shared" si="1047"/>
        <v>0.99999853643354242</v>
      </c>
      <c r="BF77">
        <f t="shared" si="1047"/>
        <v>0.99999853643354242</v>
      </c>
      <c r="BG77">
        <f t="shared" si="1047"/>
        <v>0.99999853643354242</v>
      </c>
      <c r="BH77">
        <f t="shared" si="1047"/>
        <v>0.99999853643354242</v>
      </c>
      <c r="BI77">
        <f t="shared" si="1047"/>
        <v>0.99999853643354242</v>
      </c>
      <c r="BJ77">
        <f t="shared" si="1047"/>
        <v>0.99999853643354242</v>
      </c>
      <c r="BK77">
        <f t="shared" si="1047"/>
        <v>0.99999853643354242</v>
      </c>
      <c r="BL77">
        <f t="shared" si="1047"/>
        <v>0.99999853643354242</v>
      </c>
      <c r="BM77">
        <f t="shared" si="1047"/>
        <v>0.99999853643354242</v>
      </c>
      <c r="BN77">
        <f t="shared" si="1047"/>
        <v>0.99999853643354242</v>
      </c>
      <c r="BO77">
        <f t="shared" si="1047"/>
        <v>0.99999853643354242</v>
      </c>
      <c r="BP77">
        <f t="shared" ref="BP77:EA77" si="1048">MIN(1,BP43)</f>
        <v>0.99999853643354242</v>
      </c>
      <c r="BQ77">
        <f t="shared" si="1048"/>
        <v>0.99999853643354242</v>
      </c>
      <c r="BR77">
        <f t="shared" si="1048"/>
        <v>0.99999853643354242</v>
      </c>
      <c r="BS77">
        <f t="shared" si="1048"/>
        <v>0.99999853643354242</v>
      </c>
      <c r="BT77">
        <f t="shared" si="1048"/>
        <v>0.99999853643354242</v>
      </c>
      <c r="BU77">
        <f t="shared" si="1048"/>
        <v>0.99999853643354242</v>
      </c>
      <c r="BV77">
        <f t="shared" si="1048"/>
        <v>0.99999853643354242</v>
      </c>
      <c r="BW77">
        <f t="shared" si="1048"/>
        <v>0.99999853643354242</v>
      </c>
      <c r="BX77">
        <f t="shared" si="1048"/>
        <v>0.99999853643354242</v>
      </c>
      <c r="BY77">
        <f t="shared" si="1048"/>
        <v>0.99999853643354242</v>
      </c>
      <c r="BZ77">
        <f t="shared" si="1048"/>
        <v>0.99999853643354242</v>
      </c>
      <c r="CA77">
        <f t="shared" si="1048"/>
        <v>0.99999853643354242</v>
      </c>
      <c r="CB77">
        <f t="shared" si="1048"/>
        <v>0.99999853643354242</v>
      </c>
      <c r="CC77">
        <f t="shared" si="1048"/>
        <v>0.99999853643354242</v>
      </c>
      <c r="CD77">
        <f t="shared" si="1048"/>
        <v>0.99999853643354242</v>
      </c>
      <c r="CE77">
        <f t="shared" si="1048"/>
        <v>0.99999853643354242</v>
      </c>
      <c r="CF77">
        <f t="shared" si="1048"/>
        <v>0.99999853643354242</v>
      </c>
      <c r="CG77">
        <f t="shared" si="1048"/>
        <v>0.99999853643354242</v>
      </c>
      <c r="CH77">
        <f t="shared" si="1048"/>
        <v>0.99999853643354242</v>
      </c>
      <c r="CI77">
        <f t="shared" si="1048"/>
        <v>0.99999853643354242</v>
      </c>
      <c r="CJ77">
        <f t="shared" si="1048"/>
        <v>0.99999853643354242</v>
      </c>
      <c r="CK77">
        <f t="shared" si="1048"/>
        <v>0.99999853643354242</v>
      </c>
      <c r="CL77">
        <f t="shared" si="1048"/>
        <v>0.99999853643354242</v>
      </c>
      <c r="CM77">
        <f t="shared" si="1048"/>
        <v>0.99999853643354242</v>
      </c>
      <c r="CN77">
        <f t="shared" si="1048"/>
        <v>0.99999853643354242</v>
      </c>
      <c r="CO77">
        <f t="shared" si="1048"/>
        <v>0.99999853643354242</v>
      </c>
      <c r="CP77">
        <f t="shared" si="1048"/>
        <v>0.99999853643354242</v>
      </c>
      <c r="CQ77">
        <f t="shared" si="1048"/>
        <v>0.99999853643354242</v>
      </c>
      <c r="CR77">
        <f t="shared" si="1048"/>
        <v>0.99999853643354242</v>
      </c>
      <c r="CS77">
        <f t="shared" si="1048"/>
        <v>0.99999853643354242</v>
      </c>
      <c r="CT77">
        <f t="shared" si="1048"/>
        <v>0.99999853643354242</v>
      </c>
      <c r="CU77">
        <f t="shared" si="1048"/>
        <v>0.99999853643354242</v>
      </c>
      <c r="CV77">
        <f t="shared" si="1048"/>
        <v>0.99999853643354242</v>
      </c>
      <c r="CW77">
        <f t="shared" si="1048"/>
        <v>0.99999853643354242</v>
      </c>
      <c r="CX77">
        <f t="shared" si="1048"/>
        <v>0.99999853643354242</v>
      </c>
      <c r="CY77">
        <f t="shared" si="1048"/>
        <v>0.99999853643354242</v>
      </c>
      <c r="CZ77">
        <f t="shared" si="1048"/>
        <v>0.99999853643354242</v>
      </c>
      <c r="DA77">
        <f t="shared" si="1048"/>
        <v>0.99999853643354242</v>
      </c>
      <c r="DB77">
        <f t="shared" si="1048"/>
        <v>0.99999853643354242</v>
      </c>
      <c r="DC77">
        <f t="shared" si="1048"/>
        <v>0.99999853643354242</v>
      </c>
      <c r="DD77">
        <f t="shared" si="1048"/>
        <v>0.99999853643354242</v>
      </c>
      <c r="DE77">
        <f t="shared" si="1048"/>
        <v>0.99999853643354242</v>
      </c>
      <c r="DF77">
        <f t="shared" si="1048"/>
        <v>0.99999853643354242</v>
      </c>
      <c r="DG77">
        <f t="shared" si="1048"/>
        <v>0.99999853643354242</v>
      </c>
      <c r="DH77">
        <f t="shared" si="1048"/>
        <v>0.99999853643354242</v>
      </c>
      <c r="DI77">
        <f t="shared" si="1048"/>
        <v>0.99999853643354242</v>
      </c>
      <c r="DJ77">
        <f t="shared" si="1048"/>
        <v>0.99999853643354242</v>
      </c>
      <c r="DK77">
        <f t="shared" si="1048"/>
        <v>0.99999853643354242</v>
      </c>
      <c r="DL77">
        <f t="shared" si="1048"/>
        <v>0.99999853643354242</v>
      </c>
      <c r="DM77">
        <f t="shared" si="1048"/>
        <v>0.99999853643354242</v>
      </c>
      <c r="DN77">
        <f t="shared" si="1048"/>
        <v>0.99999853643354242</v>
      </c>
      <c r="DO77">
        <f t="shared" si="1048"/>
        <v>0.99999853643354242</v>
      </c>
      <c r="DP77">
        <f t="shared" si="1048"/>
        <v>0.99999853643354242</v>
      </c>
      <c r="DQ77">
        <f t="shared" si="1048"/>
        <v>0.99999853643354242</v>
      </c>
      <c r="DR77">
        <f t="shared" si="1048"/>
        <v>0.99999853643354242</v>
      </c>
      <c r="DS77">
        <f t="shared" si="1048"/>
        <v>0.99999853643354242</v>
      </c>
      <c r="DT77">
        <f t="shared" si="1048"/>
        <v>0.99999853643354242</v>
      </c>
      <c r="DU77">
        <f t="shared" si="1048"/>
        <v>0.99999853643354242</v>
      </c>
      <c r="DV77">
        <f t="shared" si="1048"/>
        <v>0.99999853643354242</v>
      </c>
      <c r="DW77">
        <f t="shared" si="1048"/>
        <v>0.99999853643354242</v>
      </c>
      <c r="DX77">
        <f t="shared" si="1048"/>
        <v>0.99999853643354242</v>
      </c>
      <c r="DY77">
        <f t="shared" si="1048"/>
        <v>0.99999853643354242</v>
      </c>
      <c r="DZ77">
        <f t="shared" si="1048"/>
        <v>0.99999853643354242</v>
      </c>
      <c r="EA77">
        <f t="shared" si="1048"/>
        <v>0.99999853643354242</v>
      </c>
      <c r="EB77">
        <f t="shared" ref="EB77:GM77" si="1049">MIN(1,EB43)</f>
        <v>0.99999853643354242</v>
      </c>
      <c r="EC77">
        <f t="shared" si="1049"/>
        <v>0.99999853643354242</v>
      </c>
      <c r="ED77">
        <f t="shared" si="1049"/>
        <v>0.99999853643354242</v>
      </c>
      <c r="EE77">
        <f t="shared" si="1049"/>
        <v>0.99999853643354242</v>
      </c>
      <c r="EF77">
        <f t="shared" si="1049"/>
        <v>0.99999853643354242</v>
      </c>
      <c r="EG77">
        <f t="shared" si="1049"/>
        <v>0.99999853643354242</v>
      </c>
      <c r="EH77">
        <f t="shared" si="1049"/>
        <v>0.99999853643354242</v>
      </c>
      <c r="EI77">
        <f t="shared" si="1049"/>
        <v>0.99999853643354242</v>
      </c>
      <c r="EJ77">
        <f t="shared" si="1049"/>
        <v>0.99999853643354242</v>
      </c>
      <c r="EK77">
        <f t="shared" si="1049"/>
        <v>0.99999853643354242</v>
      </c>
      <c r="EL77">
        <f t="shared" si="1049"/>
        <v>0.99999853643354242</v>
      </c>
      <c r="EM77">
        <f t="shared" si="1049"/>
        <v>0.99999853643354242</v>
      </c>
      <c r="EN77">
        <f t="shared" si="1049"/>
        <v>0.99999853643354242</v>
      </c>
      <c r="EO77">
        <f t="shared" si="1049"/>
        <v>0.99999853643354242</v>
      </c>
      <c r="EP77">
        <f t="shared" si="1049"/>
        <v>0.99999853643354242</v>
      </c>
      <c r="EQ77">
        <f t="shared" si="1049"/>
        <v>0.99999853643354242</v>
      </c>
      <c r="ER77">
        <f t="shared" si="1049"/>
        <v>0.99999853643354242</v>
      </c>
      <c r="ES77">
        <f t="shared" si="1049"/>
        <v>0.99999853643354242</v>
      </c>
      <c r="ET77">
        <f t="shared" si="1049"/>
        <v>0.99999853643354242</v>
      </c>
      <c r="EU77">
        <f t="shared" si="1049"/>
        <v>0.99999853643354242</v>
      </c>
      <c r="EV77">
        <f t="shared" si="1049"/>
        <v>0.99999853643354242</v>
      </c>
      <c r="EW77">
        <f t="shared" si="1049"/>
        <v>0.99999853643354242</v>
      </c>
      <c r="EX77">
        <f t="shared" si="1049"/>
        <v>0.99999853643354242</v>
      </c>
      <c r="EY77">
        <f t="shared" si="1049"/>
        <v>0.99999853643354242</v>
      </c>
      <c r="EZ77">
        <f t="shared" si="1049"/>
        <v>0.99999853643354242</v>
      </c>
      <c r="FA77">
        <f t="shared" si="1049"/>
        <v>0.99999853643354242</v>
      </c>
      <c r="FB77">
        <f t="shared" si="1049"/>
        <v>0.99999853643354242</v>
      </c>
      <c r="FC77">
        <f t="shared" si="1049"/>
        <v>0.99999853643354242</v>
      </c>
      <c r="FD77">
        <f t="shared" si="1049"/>
        <v>0.99999853643354242</v>
      </c>
      <c r="FE77">
        <f t="shared" si="1049"/>
        <v>0.99999853643354242</v>
      </c>
      <c r="FF77">
        <f t="shared" si="1049"/>
        <v>0.99999853643354242</v>
      </c>
      <c r="FG77">
        <f t="shared" si="1049"/>
        <v>0.99999853643354242</v>
      </c>
      <c r="FH77">
        <f t="shared" si="1049"/>
        <v>0.99999853643354242</v>
      </c>
      <c r="FI77">
        <f t="shared" si="1049"/>
        <v>0.99999853643354242</v>
      </c>
      <c r="FJ77">
        <f t="shared" si="1049"/>
        <v>0.99999853643354242</v>
      </c>
      <c r="FK77">
        <f t="shared" si="1049"/>
        <v>0.99999853643354242</v>
      </c>
      <c r="FL77">
        <f t="shared" si="1049"/>
        <v>0.99999853643354242</v>
      </c>
      <c r="FM77">
        <f t="shared" si="1049"/>
        <v>0.99999853643354242</v>
      </c>
      <c r="FN77">
        <f t="shared" si="1049"/>
        <v>0.99999853643354242</v>
      </c>
      <c r="FO77">
        <f t="shared" si="1049"/>
        <v>0.99999853643354242</v>
      </c>
      <c r="FP77">
        <f t="shared" si="1049"/>
        <v>0.99999853643354242</v>
      </c>
      <c r="FQ77">
        <f t="shared" si="1049"/>
        <v>0.99999853643354242</v>
      </c>
      <c r="FR77">
        <f t="shared" si="1049"/>
        <v>0.99999853643354242</v>
      </c>
      <c r="FS77">
        <f t="shared" si="1049"/>
        <v>0.99999853643354242</v>
      </c>
      <c r="FT77">
        <f t="shared" si="1049"/>
        <v>0.99999853643354242</v>
      </c>
      <c r="FU77">
        <f t="shared" si="1049"/>
        <v>0.99999853643354242</v>
      </c>
      <c r="FV77">
        <f t="shared" si="1049"/>
        <v>0.99999853643354242</v>
      </c>
      <c r="FW77">
        <f t="shared" si="1049"/>
        <v>0.99999853643354242</v>
      </c>
      <c r="FX77">
        <f t="shared" si="1049"/>
        <v>0.99999853643354242</v>
      </c>
      <c r="FY77">
        <f t="shared" si="1049"/>
        <v>0.99999853643354242</v>
      </c>
      <c r="FZ77">
        <f t="shared" si="1049"/>
        <v>0.99999853643354242</v>
      </c>
      <c r="GA77">
        <f t="shared" si="1049"/>
        <v>0.99999853643354242</v>
      </c>
      <c r="GB77">
        <f t="shared" si="1049"/>
        <v>0.99999853643354242</v>
      </c>
      <c r="GC77">
        <f t="shared" si="1049"/>
        <v>0.99999853643354242</v>
      </c>
      <c r="GD77">
        <f t="shared" si="1049"/>
        <v>0.99999853643354242</v>
      </c>
      <c r="GE77">
        <f t="shared" si="1049"/>
        <v>0.99999853643354242</v>
      </c>
      <c r="GF77">
        <f t="shared" si="1049"/>
        <v>0.99999853643354242</v>
      </c>
      <c r="GG77">
        <f t="shared" si="1049"/>
        <v>0.99999853643354242</v>
      </c>
      <c r="GH77">
        <f t="shared" si="1049"/>
        <v>0.99999853643354242</v>
      </c>
      <c r="GI77">
        <f t="shared" si="1049"/>
        <v>0.99999853643354242</v>
      </c>
      <c r="GJ77">
        <f t="shared" si="1049"/>
        <v>0.99999853643354242</v>
      </c>
      <c r="GK77">
        <f t="shared" si="1049"/>
        <v>0.99999853643354242</v>
      </c>
      <c r="GL77">
        <f t="shared" si="1049"/>
        <v>0.99999853643354242</v>
      </c>
      <c r="GM77">
        <f t="shared" si="1049"/>
        <v>0.99999853643354242</v>
      </c>
      <c r="GN77">
        <f t="shared" ref="GN77:IV77" si="1050">MIN(1,GN43)</f>
        <v>0.99999853643354242</v>
      </c>
      <c r="GO77">
        <f t="shared" si="1050"/>
        <v>0.99999853643354242</v>
      </c>
      <c r="GP77">
        <f t="shared" si="1050"/>
        <v>0.99999853643354242</v>
      </c>
      <c r="GQ77">
        <f t="shared" si="1050"/>
        <v>0.99999853643354242</v>
      </c>
      <c r="GR77">
        <f t="shared" si="1050"/>
        <v>0.99999853643354242</v>
      </c>
      <c r="GS77">
        <f t="shared" si="1050"/>
        <v>0.99999853643354242</v>
      </c>
      <c r="GT77">
        <f t="shared" si="1050"/>
        <v>0.99999853643354242</v>
      </c>
      <c r="GU77">
        <f t="shared" si="1050"/>
        <v>0.99999853643354242</v>
      </c>
      <c r="GV77">
        <f t="shared" si="1050"/>
        <v>0.99999853643354242</v>
      </c>
      <c r="GW77">
        <f t="shared" si="1050"/>
        <v>0.99999853643354242</v>
      </c>
      <c r="GX77">
        <f t="shared" si="1050"/>
        <v>0.99999853643354242</v>
      </c>
      <c r="GY77">
        <f t="shared" si="1050"/>
        <v>0.99999853643354242</v>
      </c>
      <c r="GZ77">
        <f t="shared" si="1050"/>
        <v>0.99999853643354242</v>
      </c>
      <c r="HA77">
        <f t="shared" si="1050"/>
        <v>0.99999853643354242</v>
      </c>
      <c r="HB77">
        <f t="shared" si="1050"/>
        <v>0.99999853643354242</v>
      </c>
      <c r="HC77">
        <f t="shared" si="1050"/>
        <v>0.99999853643354242</v>
      </c>
      <c r="HD77">
        <f t="shared" si="1050"/>
        <v>0.99999853643354242</v>
      </c>
      <c r="HE77">
        <f t="shared" si="1050"/>
        <v>0.99999853643354242</v>
      </c>
      <c r="HF77">
        <f t="shared" si="1050"/>
        <v>0.99999853643354242</v>
      </c>
      <c r="HG77">
        <f t="shared" si="1050"/>
        <v>0.99999853643354242</v>
      </c>
      <c r="HH77">
        <f t="shared" si="1050"/>
        <v>0.99999853643354242</v>
      </c>
      <c r="HI77">
        <f t="shared" si="1050"/>
        <v>0.99999853643354242</v>
      </c>
      <c r="HJ77">
        <f t="shared" si="1050"/>
        <v>0.99999853643354242</v>
      </c>
      <c r="HK77">
        <f t="shared" si="1050"/>
        <v>0.99999853643354242</v>
      </c>
      <c r="HL77">
        <f t="shared" si="1050"/>
        <v>0.99999853643354242</v>
      </c>
      <c r="HM77">
        <f t="shared" si="1050"/>
        <v>0.99999853643354242</v>
      </c>
      <c r="HN77">
        <f t="shared" si="1050"/>
        <v>0.99999853643354242</v>
      </c>
      <c r="HO77">
        <f t="shared" si="1050"/>
        <v>0.99999853643354242</v>
      </c>
      <c r="HP77">
        <f t="shared" si="1050"/>
        <v>0.99999853643354242</v>
      </c>
      <c r="HQ77">
        <f t="shared" si="1050"/>
        <v>0.99999853643354242</v>
      </c>
      <c r="HR77">
        <f t="shared" si="1050"/>
        <v>0.99999853643354242</v>
      </c>
      <c r="HS77">
        <f t="shared" si="1050"/>
        <v>0.99999853643354242</v>
      </c>
      <c r="HT77">
        <f t="shared" si="1050"/>
        <v>0.99999853643354242</v>
      </c>
      <c r="HU77">
        <f t="shared" si="1050"/>
        <v>0.99999853643354242</v>
      </c>
      <c r="HV77">
        <f t="shared" si="1050"/>
        <v>0.99999853643354242</v>
      </c>
      <c r="HW77">
        <f t="shared" si="1050"/>
        <v>0.99999853643354242</v>
      </c>
      <c r="HX77">
        <f t="shared" si="1050"/>
        <v>0.99999853643354242</v>
      </c>
      <c r="HY77">
        <f t="shared" si="1050"/>
        <v>0.99999853643354242</v>
      </c>
      <c r="HZ77">
        <f t="shared" si="1050"/>
        <v>0.99999853643354242</v>
      </c>
      <c r="IA77">
        <f t="shared" si="1050"/>
        <v>0.99999853643354242</v>
      </c>
      <c r="IB77">
        <f t="shared" si="1050"/>
        <v>0.99999853643354242</v>
      </c>
      <c r="IC77">
        <f t="shared" si="1050"/>
        <v>0.99999853643354242</v>
      </c>
      <c r="ID77">
        <f t="shared" si="1050"/>
        <v>0.99999853643354242</v>
      </c>
      <c r="IE77">
        <f t="shared" si="1050"/>
        <v>0.99999853643354242</v>
      </c>
      <c r="IF77">
        <f t="shared" si="1050"/>
        <v>0.99999853643354242</v>
      </c>
      <c r="IG77">
        <f t="shared" si="1050"/>
        <v>0.99999853643354242</v>
      </c>
      <c r="IH77">
        <f t="shared" si="1050"/>
        <v>0.99999853643354242</v>
      </c>
      <c r="II77">
        <f t="shared" si="1050"/>
        <v>0.99999853643354242</v>
      </c>
      <c r="IJ77">
        <f t="shared" si="1050"/>
        <v>0.99999853643354242</v>
      </c>
      <c r="IK77">
        <f t="shared" si="1050"/>
        <v>0.99999853643354242</v>
      </c>
      <c r="IL77">
        <f t="shared" si="1050"/>
        <v>0.99999853643354242</v>
      </c>
      <c r="IM77">
        <f t="shared" si="1050"/>
        <v>0.99999853643354242</v>
      </c>
      <c r="IN77">
        <f t="shared" si="1050"/>
        <v>0.99999853643354242</v>
      </c>
      <c r="IO77">
        <f t="shared" si="1050"/>
        <v>0.99999853643354242</v>
      </c>
      <c r="IP77">
        <f t="shared" si="1050"/>
        <v>0.99999853643354242</v>
      </c>
      <c r="IQ77">
        <f t="shared" si="1050"/>
        <v>0.99999853643354242</v>
      </c>
      <c r="IR77">
        <f t="shared" si="1050"/>
        <v>0.99999853643354242</v>
      </c>
      <c r="IS77">
        <f t="shared" si="1050"/>
        <v>0.99999853643354242</v>
      </c>
      <c r="IT77">
        <f t="shared" si="1050"/>
        <v>0.99999853643354242</v>
      </c>
      <c r="IU77">
        <f t="shared" si="1050"/>
        <v>0.99999853643354242</v>
      </c>
      <c r="IV77">
        <f t="shared" si="1050"/>
        <v>0.99999853643354242</v>
      </c>
    </row>
    <row r="78" spans="1:256" x14ac:dyDescent="0.2">
      <c r="A78" t="s">
        <v>549</v>
      </c>
      <c r="B78">
        <f>MIN(1,B44*B89*B96)</f>
        <v>1.2189888300015304E-2</v>
      </c>
      <c r="C78">
        <f>MIN(1,C44*C89*C96)</f>
        <v>0.1010050351573281</v>
      </c>
      <c r="D78">
        <f t="shared" ref="D78:BO78" si="1051">MIN(1,D44*D89*D96)</f>
        <v>0.10180322071411792</v>
      </c>
      <c r="E78">
        <f t="shared" si="1051"/>
        <v>0.102570652573463</v>
      </c>
      <c r="F78">
        <f t="shared" si="1051"/>
        <v>0.10330832205178522</v>
      </c>
      <c r="G78">
        <f t="shared" si="1051"/>
        <v>0.10401717275447432</v>
      </c>
      <c r="H78">
        <f t="shared" si="1051"/>
        <v>0.10469810484510596</v>
      </c>
      <c r="I78">
        <f t="shared" si="1051"/>
        <v>0.1053519787955815</v>
      </c>
      <c r="J78">
        <f t="shared" si="1051"/>
        <v>0.2119592373857821</v>
      </c>
      <c r="K78">
        <f t="shared" si="1051"/>
        <v>0.21288441376610345</v>
      </c>
      <c r="L78">
        <f t="shared" si="1051"/>
        <v>0.21367376753990661</v>
      </c>
      <c r="M78">
        <f t="shared" si="1051"/>
        <v>0.21433335158414774</v>
      </c>
      <c r="N78">
        <f t="shared" si="1051"/>
        <v>0.21486899402752513</v>
      </c>
      <c r="O78">
        <f t="shared" si="1051"/>
        <v>0.21528630616614203</v>
      </c>
      <c r="P78">
        <f t="shared" si="1051"/>
        <v>0.21559069010047746</v>
      </c>
      <c r="Q78">
        <f t="shared" si="1051"/>
        <v>0.21578734610383016</v>
      </c>
      <c r="R78">
        <f t="shared" si="1051"/>
        <v>0.43176255946401293</v>
      </c>
      <c r="S78">
        <f t="shared" si="1051"/>
        <v>0.4331423532555807</v>
      </c>
      <c r="T78">
        <f t="shared" si="1051"/>
        <v>0.43434672002347824</v>
      </c>
      <c r="U78">
        <f t="shared" si="1051"/>
        <v>0.43538223511714214</v>
      </c>
      <c r="V78">
        <f t="shared" si="1051"/>
        <v>0.43625526932619862</v>
      </c>
      <c r="W78">
        <f t="shared" si="1051"/>
        <v>0.43697199472959647</v>
      </c>
      <c r="X78">
        <f t="shared" si="1051"/>
        <v>0.43753839039165504</v>
      </c>
      <c r="Y78">
        <f t="shared" si="1051"/>
        <v>0.4379602479082817</v>
      </c>
      <c r="Z78">
        <f t="shared" si="1051"/>
        <v>0.87648635361318983</v>
      </c>
      <c r="AA78">
        <f t="shared" si="1051"/>
        <v>0.89246063079045956</v>
      </c>
      <c r="AB78">
        <f t="shared" si="1051"/>
        <v>0.90827508066445906</v>
      </c>
      <c r="AC78">
        <f t="shared" si="1051"/>
        <v>0.92392871728020443</v>
      </c>
      <c r="AD78">
        <f t="shared" si="1051"/>
        <v>0.93942069109278381</v>
      </c>
      <c r="AE78">
        <f t="shared" si="1051"/>
        <v>0.95475028261351269</v>
      </c>
      <c r="AF78">
        <f t="shared" si="1051"/>
        <v>0.96991689631044631</v>
      </c>
      <c r="AG78">
        <f t="shared" si="1051"/>
        <v>0.98492005475307698</v>
      </c>
      <c r="AH78">
        <f t="shared" si="1051"/>
        <v>0.85297503194748236</v>
      </c>
      <c r="AI78">
        <f t="shared" si="1051"/>
        <v>0.84770342566235424</v>
      </c>
      <c r="AJ78">
        <f t="shared" si="1051"/>
        <v>0.84255852398622466</v>
      </c>
      <c r="AK78">
        <f t="shared" si="1051"/>
        <v>0.83753832694967667</v>
      </c>
      <c r="AL78">
        <f t="shared" si="1051"/>
        <v>0.83264084906837077</v>
      </c>
      <c r="AM78">
        <f t="shared" si="1051"/>
        <v>0.82786411988203723</v>
      </c>
      <c r="AN78">
        <f t="shared" si="1051"/>
        <v>0.82320618450027938</v>
      </c>
      <c r="AO78">
        <f t="shared" si="1051"/>
        <v>0.81866510415344451</v>
      </c>
      <c r="AP78">
        <f t="shared" si="1051"/>
        <v>1</v>
      </c>
      <c r="AQ78">
        <f t="shared" si="1051"/>
        <v>1</v>
      </c>
      <c r="AR78">
        <f t="shared" si="1051"/>
        <v>1</v>
      </c>
      <c r="AS78">
        <f t="shared" si="1051"/>
        <v>1</v>
      </c>
      <c r="AT78">
        <f t="shared" si="1051"/>
        <v>1</v>
      </c>
      <c r="AU78">
        <f t="shared" si="1051"/>
        <v>1</v>
      </c>
      <c r="AV78">
        <f t="shared" si="1051"/>
        <v>1</v>
      </c>
      <c r="AW78">
        <f t="shared" si="1051"/>
        <v>1</v>
      </c>
      <c r="AX78">
        <f t="shared" si="1051"/>
        <v>0.69069563744453943</v>
      </c>
      <c r="AY78">
        <f t="shared" si="1051"/>
        <v>0.7113948109646071</v>
      </c>
      <c r="AZ78">
        <f t="shared" si="1051"/>
        <v>0.73224162117000324</v>
      </c>
      <c r="BA78">
        <f t="shared" si="1051"/>
        <v>0.75325200832739259</v>
      </c>
      <c r="BB78">
        <f t="shared" si="1051"/>
        <v>0.77444163188852166</v>
      </c>
      <c r="BC78">
        <f t="shared" si="1051"/>
        <v>0.79582588117918751</v>
      </c>
      <c r="BD78">
        <f t="shared" si="1051"/>
        <v>0.81741988585409642</v>
      </c>
      <c r="BE78">
        <f t="shared" si="1051"/>
        <v>0.83923852611942107</v>
      </c>
      <c r="BF78">
        <f t="shared" si="1051"/>
        <v>0.86129644272523387</v>
      </c>
      <c r="BG78">
        <f t="shared" si="1051"/>
        <v>0.88360804673029802</v>
      </c>
      <c r="BH78">
        <f t="shared" si="1051"/>
        <v>0.90618752904193522</v>
      </c>
      <c r="BI78">
        <f t="shared" si="1051"/>
        <v>0.92904886973389245</v>
      </c>
      <c r="BJ78">
        <f t="shared" si="1051"/>
        <v>0.95220584714528089</v>
      </c>
      <c r="BK78">
        <f t="shared" si="1051"/>
        <v>0.97567204676378638</v>
      </c>
      <c r="BL78">
        <f t="shared" si="1051"/>
        <v>0.99946086983621352</v>
      </c>
      <c r="BM78">
        <f t="shared" si="1051"/>
        <v>1</v>
      </c>
      <c r="BN78">
        <f t="shared" si="1051"/>
        <v>1</v>
      </c>
      <c r="BO78">
        <f t="shared" si="1051"/>
        <v>1</v>
      </c>
      <c r="BP78">
        <f t="shared" ref="BP78:EA78" si="1052">MIN(1,BP44*BP89*BP96)</f>
        <v>1</v>
      </c>
      <c r="BQ78">
        <f t="shared" si="1052"/>
        <v>1</v>
      </c>
      <c r="BR78">
        <f t="shared" si="1052"/>
        <v>1</v>
      </c>
      <c r="BS78">
        <f t="shared" si="1052"/>
        <v>1</v>
      </c>
      <c r="BT78">
        <f t="shared" si="1052"/>
        <v>1</v>
      </c>
      <c r="BU78">
        <f t="shared" si="1052"/>
        <v>1</v>
      </c>
      <c r="BV78">
        <f t="shared" si="1052"/>
        <v>1</v>
      </c>
      <c r="BW78">
        <f t="shared" si="1052"/>
        <v>1</v>
      </c>
      <c r="BX78">
        <f t="shared" si="1052"/>
        <v>1</v>
      </c>
      <c r="BY78">
        <f t="shared" si="1052"/>
        <v>1</v>
      </c>
      <c r="BZ78">
        <f t="shared" si="1052"/>
        <v>1</v>
      </c>
      <c r="CA78">
        <f t="shared" si="1052"/>
        <v>1</v>
      </c>
      <c r="CB78">
        <f t="shared" si="1052"/>
        <v>1</v>
      </c>
      <c r="CC78">
        <f t="shared" si="1052"/>
        <v>1</v>
      </c>
      <c r="CD78">
        <f t="shared" si="1052"/>
        <v>1</v>
      </c>
      <c r="CE78">
        <f t="shared" si="1052"/>
        <v>1</v>
      </c>
      <c r="CF78">
        <f t="shared" si="1052"/>
        <v>1</v>
      </c>
      <c r="CG78">
        <f t="shared" si="1052"/>
        <v>1</v>
      </c>
      <c r="CH78">
        <f t="shared" si="1052"/>
        <v>1</v>
      </c>
      <c r="CI78">
        <f t="shared" si="1052"/>
        <v>1</v>
      </c>
      <c r="CJ78">
        <f t="shared" si="1052"/>
        <v>1</v>
      </c>
      <c r="CK78">
        <f t="shared" si="1052"/>
        <v>1</v>
      </c>
      <c r="CL78">
        <f t="shared" si="1052"/>
        <v>1</v>
      </c>
      <c r="CM78">
        <f t="shared" si="1052"/>
        <v>1</v>
      </c>
      <c r="CN78">
        <f t="shared" si="1052"/>
        <v>1</v>
      </c>
      <c r="CO78">
        <f t="shared" si="1052"/>
        <v>1</v>
      </c>
      <c r="CP78">
        <f t="shared" si="1052"/>
        <v>1</v>
      </c>
      <c r="CQ78">
        <f t="shared" si="1052"/>
        <v>1</v>
      </c>
      <c r="CR78">
        <f t="shared" si="1052"/>
        <v>1</v>
      </c>
      <c r="CS78">
        <f t="shared" si="1052"/>
        <v>1</v>
      </c>
      <c r="CT78">
        <f t="shared" si="1052"/>
        <v>1</v>
      </c>
      <c r="CU78">
        <f t="shared" si="1052"/>
        <v>1</v>
      </c>
      <c r="CV78">
        <f t="shared" si="1052"/>
        <v>1</v>
      </c>
      <c r="CW78">
        <f t="shared" si="1052"/>
        <v>1</v>
      </c>
      <c r="CX78">
        <f t="shared" si="1052"/>
        <v>1</v>
      </c>
      <c r="CY78">
        <f t="shared" si="1052"/>
        <v>1</v>
      </c>
      <c r="CZ78">
        <f t="shared" si="1052"/>
        <v>1</v>
      </c>
      <c r="DA78">
        <f t="shared" si="1052"/>
        <v>1</v>
      </c>
      <c r="DB78">
        <f t="shared" si="1052"/>
        <v>1</v>
      </c>
      <c r="DC78">
        <f t="shared" si="1052"/>
        <v>1</v>
      </c>
      <c r="DD78">
        <f t="shared" si="1052"/>
        <v>1</v>
      </c>
      <c r="DE78">
        <f t="shared" si="1052"/>
        <v>1</v>
      </c>
      <c r="DF78">
        <f t="shared" si="1052"/>
        <v>1</v>
      </c>
      <c r="DG78">
        <f t="shared" si="1052"/>
        <v>1</v>
      </c>
      <c r="DH78">
        <f t="shared" si="1052"/>
        <v>1</v>
      </c>
      <c r="DI78">
        <f t="shared" si="1052"/>
        <v>1</v>
      </c>
      <c r="DJ78">
        <f t="shared" si="1052"/>
        <v>1</v>
      </c>
      <c r="DK78">
        <f t="shared" si="1052"/>
        <v>1</v>
      </c>
      <c r="DL78">
        <f t="shared" si="1052"/>
        <v>1</v>
      </c>
      <c r="DM78">
        <f t="shared" si="1052"/>
        <v>1</v>
      </c>
      <c r="DN78">
        <f t="shared" si="1052"/>
        <v>1</v>
      </c>
      <c r="DO78">
        <f t="shared" si="1052"/>
        <v>1</v>
      </c>
      <c r="DP78">
        <f t="shared" si="1052"/>
        <v>1</v>
      </c>
      <c r="DQ78">
        <f t="shared" si="1052"/>
        <v>1</v>
      </c>
      <c r="DR78">
        <f t="shared" si="1052"/>
        <v>1</v>
      </c>
      <c r="DS78">
        <f t="shared" si="1052"/>
        <v>1</v>
      </c>
      <c r="DT78">
        <f t="shared" si="1052"/>
        <v>1</v>
      </c>
      <c r="DU78">
        <f t="shared" si="1052"/>
        <v>1</v>
      </c>
      <c r="DV78">
        <f t="shared" si="1052"/>
        <v>1</v>
      </c>
      <c r="DW78">
        <f t="shared" si="1052"/>
        <v>1</v>
      </c>
      <c r="DX78">
        <f t="shared" si="1052"/>
        <v>1</v>
      </c>
      <c r="DY78">
        <f t="shared" si="1052"/>
        <v>1</v>
      </c>
      <c r="DZ78">
        <f t="shared" si="1052"/>
        <v>1</v>
      </c>
      <c r="EA78">
        <f t="shared" si="1052"/>
        <v>1</v>
      </c>
      <c r="EB78">
        <f t="shared" ref="EB78:GM78" si="1053">MIN(1,EB44*EB89*EB96)</f>
        <v>1</v>
      </c>
      <c r="EC78">
        <f t="shared" si="1053"/>
        <v>1</v>
      </c>
      <c r="ED78">
        <f t="shared" si="1053"/>
        <v>1</v>
      </c>
      <c r="EE78">
        <f t="shared" si="1053"/>
        <v>1</v>
      </c>
      <c r="EF78">
        <f t="shared" si="1053"/>
        <v>1</v>
      </c>
      <c r="EG78">
        <f t="shared" si="1053"/>
        <v>1</v>
      </c>
      <c r="EH78">
        <f t="shared" si="1053"/>
        <v>1</v>
      </c>
      <c r="EI78">
        <f t="shared" si="1053"/>
        <v>1</v>
      </c>
      <c r="EJ78">
        <f t="shared" si="1053"/>
        <v>1</v>
      </c>
      <c r="EK78">
        <f t="shared" si="1053"/>
        <v>1</v>
      </c>
      <c r="EL78">
        <f t="shared" si="1053"/>
        <v>1</v>
      </c>
      <c r="EM78">
        <f t="shared" si="1053"/>
        <v>1</v>
      </c>
      <c r="EN78">
        <f t="shared" si="1053"/>
        <v>1</v>
      </c>
      <c r="EO78">
        <f t="shared" si="1053"/>
        <v>1</v>
      </c>
      <c r="EP78">
        <f t="shared" si="1053"/>
        <v>1</v>
      </c>
      <c r="EQ78">
        <f t="shared" si="1053"/>
        <v>1</v>
      </c>
      <c r="ER78">
        <f t="shared" si="1053"/>
        <v>1</v>
      </c>
      <c r="ES78">
        <f t="shared" si="1053"/>
        <v>1</v>
      </c>
      <c r="ET78">
        <f t="shared" si="1053"/>
        <v>1</v>
      </c>
      <c r="EU78">
        <f t="shared" si="1053"/>
        <v>1</v>
      </c>
      <c r="EV78">
        <f t="shared" si="1053"/>
        <v>1</v>
      </c>
      <c r="EW78">
        <f t="shared" si="1053"/>
        <v>1</v>
      </c>
      <c r="EX78">
        <f t="shared" si="1053"/>
        <v>1</v>
      </c>
      <c r="EY78">
        <f t="shared" si="1053"/>
        <v>1</v>
      </c>
      <c r="EZ78">
        <f t="shared" si="1053"/>
        <v>1</v>
      </c>
      <c r="FA78">
        <f t="shared" si="1053"/>
        <v>1</v>
      </c>
      <c r="FB78">
        <f t="shared" si="1053"/>
        <v>1</v>
      </c>
      <c r="FC78">
        <f t="shared" si="1053"/>
        <v>1</v>
      </c>
      <c r="FD78">
        <f t="shared" si="1053"/>
        <v>1</v>
      </c>
      <c r="FE78">
        <f t="shared" si="1053"/>
        <v>1</v>
      </c>
      <c r="FF78">
        <f t="shared" si="1053"/>
        <v>1</v>
      </c>
      <c r="FG78">
        <f t="shared" si="1053"/>
        <v>1</v>
      </c>
      <c r="FH78">
        <f t="shared" si="1053"/>
        <v>1</v>
      </c>
      <c r="FI78">
        <f t="shared" si="1053"/>
        <v>1</v>
      </c>
      <c r="FJ78">
        <f t="shared" si="1053"/>
        <v>1</v>
      </c>
      <c r="FK78">
        <f t="shared" si="1053"/>
        <v>1</v>
      </c>
      <c r="FL78">
        <f t="shared" si="1053"/>
        <v>1</v>
      </c>
      <c r="FM78">
        <f t="shared" si="1053"/>
        <v>1</v>
      </c>
      <c r="FN78">
        <f t="shared" si="1053"/>
        <v>1</v>
      </c>
      <c r="FO78">
        <f t="shared" si="1053"/>
        <v>1</v>
      </c>
      <c r="FP78">
        <f t="shared" si="1053"/>
        <v>1</v>
      </c>
      <c r="FQ78">
        <f t="shared" si="1053"/>
        <v>1</v>
      </c>
      <c r="FR78">
        <f t="shared" si="1053"/>
        <v>1</v>
      </c>
      <c r="FS78">
        <f t="shared" si="1053"/>
        <v>1</v>
      </c>
      <c r="FT78">
        <f t="shared" si="1053"/>
        <v>1</v>
      </c>
      <c r="FU78">
        <f t="shared" si="1053"/>
        <v>1</v>
      </c>
      <c r="FV78">
        <f t="shared" si="1053"/>
        <v>1</v>
      </c>
      <c r="FW78">
        <f t="shared" si="1053"/>
        <v>1</v>
      </c>
      <c r="FX78">
        <f t="shared" si="1053"/>
        <v>1</v>
      </c>
      <c r="FY78">
        <f t="shared" si="1053"/>
        <v>1</v>
      </c>
      <c r="FZ78">
        <f t="shared" si="1053"/>
        <v>1</v>
      </c>
      <c r="GA78">
        <f t="shared" si="1053"/>
        <v>1</v>
      </c>
      <c r="GB78">
        <f t="shared" si="1053"/>
        <v>1</v>
      </c>
      <c r="GC78">
        <f t="shared" si="1053"/>
        <v>1</v>
      </c>
      <c r="GD78">
        <f t="shared" si="1053"/>
        <v>1</v>
      </c>
      <c r="GE78">
        <f t="shared" si="1053"/>
        <v>1</v>
      </c>
      <c r="GF78">
        <f t="shared" si="1053"/>
        <v>1</v>
      </c>
      <c r="GG78">
        <f t="shared" si="1053"/>
        <v>1</v>
      </c>
      <c r="GH78">
        <f t="shared" si="1053"/>
        <v>1</v>
      </c>
      <c r="GI78">
        <f t="shared" si="1053"/>
        <v>1</v>
      </c>
      <c r="GJ78">
        <f t="shared" si="1053"/>
        <v>1</v>
      </c>
      <c r="GK78">
        <f t="shared" si="1053"/>
        <v>1</v>
      </c>
      <c r="GL78">
        <f t="shared" si="1053"/>
        <v>1</v>
      </c>
      <c r="GM78">
        <f t="shared" si="1053"/>
        <v>1</v>
      </c>
      <c r="GN78">
        <f t="shared" ref="GN78:IV78" si="1054">MIN(1,GN44*GN89*GN96)</f>
        <v>1</v>
      </c>
      <c r="GO78">
        <f t="shared" si="1054"/>
        <v>1</v>
      </c>
      <c r="GP78">
        <f t="shared" si="1054"/>
        <v>1</v>
      </c>
      <c r="GQ78">
        <f t="shared" si="1054"/>
        <v>1</v>
      </c>
      <c r="GR78">
        <f t="shared" si="1054"/>
        <v>1</v>
      </c>
      <c r="GS78">
        <f t="shared" si="1054"/>
        <v>1</v>
      </c>
      <c r="GT78">
        <f t="shared" si="1054"/>
        <v>1</v>
      </c>
      <c r="GU78">
        <f t="shared" si="1054"/>
        <v>1</v>
      </c>
      <c r="GV78">
        <f t="shared" si="1054"/>
        <v>1</v>
      </c>
      <c r="GW78">
        <f t="shared" si="1054"/>
        <v>1</v>
      </c>
      <c r="GX78">
        <f t="shared" si="1054"/>
        <v>1</v>
      </c>
      <c r="GY78">
        <f t="shared" si="1054"/>
        <v>1</v>
      </c>
      <c r="GZ78">
        <f t="shared" si="1054"/>
        <v>1</v>
      </c>
      <c r="HA78">
        <f t="shared" si="1054"/>
        <v>1</v>
      </c>
      <c r="HB78">
        <f t="shared" si="1054"/>
        <v>1</v>
      </c>
      <c r="HC78">
        <f t="shared" si="1054"/>
        <v>1</v>
      </c>
      <c r="HD78">
        <f t="shared" si="1054"/>
        <v>1</v>
      </c>
      <c r="HE78">
        <f t="shared" si="1054"/>
        <v>1</v>
      </c>
      <c r="HF78">
        <f t="shared" si="1054"/>
        <v>1</v>
      </c>
      <c r="HG78">
        <f t="shared" si="1054"/>
        <v>1</v>
      </c>
      <c r="HH78">
        <f t="shared" si="1054"/>
        <v>1</v>
      </c>
      <c r="HI78">
        <f t="shared" si="1054"/>
        <v>1</v>
      </c>
      <c r="HJ78">
        <f t="shared" si="1054"/>
        <v>1</v>
      </c>
      <c r="HK78">
        <f t="shared" si="1054"/>
        <v>1</v>
      </c>
      <c r="HL78">
        <f t="shared" si="1054"/>
        <v>1</v>
      </c>
      <c r="HM78">
        <f t="shared" si="1054"/>
        <v>1</v>
      </c>
      <c r="HN78">
        <f t="shared" si="1054"/>
        <v>1</v>
      </c>
      <c r="HO78">
        <f t="shared" si="1054"/>
        <v>1</v>
      </c>
      <c r="HP78">
        <f t="shared" si="1054"/>
        <v>1</v>
      </c>
      <c r="HQ78">
        <f t="shared" si="1054"/>
        <v>1</v>
      </c>
      <c r="HR78">
        <f t="shared" si="1054"/>
        <v>1</v>
      </c>
      <c r="HS78">
        <f t="shared" si="1054"/>
        <v>1</v>
      </c>
      <c r="HT78">
        <f t="shared" si="1054"/>
        <v>1</v>
      </c>
      <c r="HU78">
        <f t="shared" si="1054"/>
        <v>1</v>
      </c>
      <c r="HV78">
        <f t="shared" si="1054"/>
        <v>1</v>
      </c>
      <c r="HW78">
        <f t="shared" si="1054"/>
        <v>1</v>
      </c>
      <c r="HX78">
        <f t="shared" si="1054"/>
        <v>1</v>
      </c>
      <c r="HY78">
        <f t="shared" si="1054"/>
        <v>1</v>
      </c>
      <c r="HZ78">
        <f t="shared" si="1054"/>
        <v>1</v>
      </c>
      <c r="IA78">
        <f t="shared" si="1054"/>
        <v>1</v>
      </c>
      <c r="IB78">
        <f t="shared" si="1054"/>
        <v>1</v>
      </c>
      <c r="IC78">
        <f t="shared" si="1054"/>
        <v>1</v>
      </c>
      <c r="ID78">
        <f t="shared" si="1054"/>
        <v>1</v>
      </c>
      <c r="IE78">
        <f t="shared" si="1054"/>
        <v>1</v>
      </c>
      <c r="IF78">
        <f t="shared" si="1054"/>
        <v>1</v>
      </c>
      <c r="IG78">
        <f t="shared" si="1054"/>
        <v>1</v>
      </c>
      <c r="IH78">
        <f t="shared" si="1054"/>
        <v>1</v>
      </c>
      <c r="II78">
        <f t="shared" si="1054"/>
        <v>1</v>
      </c>
      <c r="IJ78">
        <f t="shared" si="1054"/>
        <v>1</v>
      </c>
      <c r="IK78">
        <f t="shared" si="1054"/>
        <v>1</v>
      </c>
      <c r="IL78">
        <f t="shared" si="1054"/>
        <v>1</v>
      </c>
      <c r="IM78">
        <f t="shared" si="1054"/>
        <v>1</v>
      </c>
      <c r="IN78">
        <f t="shared" si="1054"/>
        <v>1</v>
      </c>
      <c r="IO78">
        <f t="shared" si="1054"/>
        <v>1</v>
      </c>
      <c r="IP78">
        <f t="shared" si="1054"/>
        <v>1</v>
      </c>
      <c r="IQ78">
        <f t="shared" si="1054"/>
        <v>1</v>
      </c>
      <c r="IR78">
        <f t="shared" si="1054"/>
        <v>1</v>
      </c>
      <c r="IS78">
        <f t="shared" si="1054"/>
        <v>1</v>
      </c>
      <c r="IT78">
        <f t="shared" si="1054"/>
        <v>1</v>
      </c>
      <c r="IU78">
        <f t="shared" si="1054"/>
        <v>1</v>
      </c>
      <c r="IV78">
        <f t="shared" si="1054"/>
        <v>1</v>
      </c>
    </row>
    <row r="79" spans="1:256" x14ac:dyDescent="0.2">
      <c r="A79" t="s">
        <v>550</v>
      </c>
      <c r="B79">
        <f>MIN(1,B45*1/B100)</f>
        <v>0.39839125653836799</v>
      </c>
      <c r="C79">
        <f>MIN(1,C45*1/C100)</f>
        <v>0.29650243847336183</v>
      </c>
      <c r="D79">
        <f t="shared" ref="D79:BO79" si="1055">MIN(1,D45*1/D100)</f>
        <v>0.29526599356756522</v>
      </c>
      <c r="E79">
        <f t="shared" si="1055"/>
        <v>0.29405508237198358</v>
      </c>
      <c r="F79">
        <f t="shared" si="1055"/>
        <v>0.29286901490399475</v>
      </c>
      <c r="G79">
        <f t="shared" si="1055"/>
        <v>0.29170712535370358</v>
      </c>
      <c r="H79">
        <f t="shared" si="1055"/>
        <v>0.29056877103315559</v>
      </c>
      <c r="I79">
        <f t="shared" si="1055"/>
        <v>0.28945333137994472</v>
      </c>
      <c r="J79">
        <f t="shared" si="1055"/>
        <v>9.6941055806725088E-2</v>
      </c>
      <c r="K79">
        <f t="shared" si="1055"/>
        <v>9.6580876076679895E-2</v>
      </c>
      <c r="L79">
        <f t="shared" si="1055"/>
        <v>9.6227815477543693E-2</v>
      </c>
      <c r="M79">
        <f t="shared" si="1055"/>
        <v>9.5881692120329279E-2</v>
      </c>
      <c r="N79">
        <f t="shared" si="1055"/>
        <v>9.5542330117838553E-2</v>
      </c>
      <c r="O79">
        <f t="shared" si="1055"/>
        <v>9.5209559338829713E-2</v>
      </c>
      <c r="P79">
        <f t="shared" si="1055"/>
        <v>9.4883215174184937E-2</v>
      </c>
      <c r="Q79">
        <f t="shared" si="1055"/>
        <v>9.4563138314400219E-2</v>
      </c>
      <c r="R79">
        <f t="shared" si="1055"/>
        <v>0.18849834907552626</v>
      </c>
      <c r="S79">
        <f t="shared" si="1055"/>
        <v>0.18788234901724804</v>
      </c>
      <c r="T79">
        <f t="shared" si="1055"/>
        <v>0.18727798717040811</v>
      </c>
      <c r="U79">
        <f t="shared" si="1055"/>
        <v>0.18668498327283617</v>
      </c>
      <c r="V79">
        <f t="shared" si="1055"/>
        <v>0.18610306573444541</v>
      </c>
      <c r="W79">
        <f t="shared" si="1055"/>
        <v>0.18553197130406049</v>
      </c>
      <c r="X79">
        <f t="shared" si="1055"/>
        <v>0.18497144475151453</v>
      </c>
      <c r="Y79">
        <f t="shared" si="1055"/>
        <v>0.18442123856420461</v>
      </c>
      <c r="Z79">
        <f t="shared" si="1055"/>
        <v>0.36776222531468955</v>
      </c>
      <c r="AA79">
        <f t="shared" si="1055"/>
        <v>0.36670166819439942</v>
      </c>
      <c r="AB79">
        <f t="shared" si="1055"/>
        <v>0.36566035367325167</v>
      </c>
      <c r="AC79">
        <f t="shared" si="1055"/>
        <v>0.36463784292457246</v>
      </c>
      <c r="AD79">
        <f t="shared" si="1055"/>
        <v>0.36363370990588334</v>
      </c>
      <c r="AE79">
        <f t="shared" si="1055"/>
        <v>0.36264754089651235</v>
      </c>
      <c r="AF79">
        <f t="shared" si="1055"/>
        <v>0.36167893405517371</v>
      </c>
      <c r="AG79">
        <f t="shared" si="1055"/>
        <v>0.36072749899651679</v>
      </c>
      <c r="AH79">
        <f t="shared" si="1055"/>
        <v>0.29753011131480095</v>
      </c>
      <c r="AI79">
        <f t="shared" si="1055"/>
        <v>0.29763814074435624</v>
      </c>
      <c r="AJ79">
        <f t="shared" si="1055"/>
        <v>0.29774822475895202</v>
      </c>
      <c r="AK79">
        <f t="shared" si="1055"/>
        <v>0.29786030148064235</v>
      </c>
      <c r="AL79">
        <f t="shared" si="1055"/>
        <v>0.2979743102676457</v>
      </c>
      <c r="AM79">
        <f t="shared" si="1055"/>
        <v>0.2980901916876848</v>
      </c>
      <c r="AN79">
        <f t="shared" si="1055"/>
        <v>0.29820788749208876</v>
      </c>
      <c r="AO79">
        <f t="shared" si="1055"/>
        <v>0.29832734059062987</v>
      </c>
      <c r="AP79">
        <f t="shared" si="1055"/>
        <v>0.59689699005413777</v>
      </c>
      <c r="AQ79">
        <f t="shared" si="1055"/>
        <v>0.59534606154812086</v>
      </c>
      <c r="AR79">
        <f t="shared" si="1055"/>
        <v>0.59382240853127621</v>
      </c>
      <c r="AS79">
        <f t="shared" si="1055"/>
        <v>0.59232543515170522</v>
      </c>
      <c r="AT79">
        <f t="shared" si="1055"/>
        <v>0.590854562094841</v>
      </c>
      <c r="AU79">
        <f t="shared" si="1055"/>
        <v>0.5894092260138124</v>
      </c>
      <c r="AV79">
        <f t="shared" si="1055"/>
        <v>0.58798887898325525</v>
      </c>
      <c r="AW79">
        <f t="shared" si="1055"/>
        <v>0.58659298797545201</v>
      </c>
      <c r="AX79">
        <f t="shared" si="1055"/>
        <v>1</v>
      </c>
      <c r="AY79">
        <f t="shared" si="1055"/>
        <v>1</v>
      </c>
      <c r="AZ79">
        <f t="shared" si="1055"/>
        <v>1</v>
      </c>
      <c r="BA79">
        <f t="shared" si="1055"/>
        <v>1</v>
      </c>
      <c r="BB79">
        <f t="shared" si="1055"/>
        <v>1</v>
      </c>
      <c r="BC79">
        <f t="shared" si="1055"/>
        <v>1</v>
      </c>
      <c r="BD79">
        <f t="shared" si="1055"/>
        <v>1</v>
      </c>
      <c r="BE79">
        <f t="shared" si="1055"/>
        <v>1</v>
      </c>
      <c r="BF79">
        <f t="shared" si="1055"/>
        <v>1</v>
      </c>
      <c r="BG79">
        <f t="shared" si="1055"/>
        <v>1</v>
      </c>
      <c r="BH79">
        <f t="shared" si="1055"/>
        <v>1</v>
      </c>
      <c r="BI79">
        <f t="shared" si="1055"/>
        <v>1</v>
      </c>
      <c r="BJ79">
        <f t="shared" si="1055"/>
        <v>1</v>
      </c>
      <c r="BK79">
        <f t="shared" si="1055"/>
        <v>1</v>
      </c>
      <c r="BL79">
        <f t="shared" si="1055"/>
        <v>1</v>
      </c>
      <c r="BM79">
        <f t="shared" si="1055"/>
        <v>1</v>
      </c>
      <c r="BN79">
        <f t="shared" si="1055"/>
        <v>0.99850946966522991</v>
      </c>
      <c r="BO79">
        <f t="shared" si="1055"/>
        <v>0.99668848966974621</v>
      </c>
      <c r="BP79">
        <f t="shared" ref="BP79:EA79" si="1056">MIN(1,BP45*1/BP100)</f>
        <v>0.99489677802796239</v>
      </c>
      <c r="BQ79">
        <f t="shared" si="1056"/>
        <v>0.99320414857285055</v>
      </c>
      <c r="BR79">
        <f t="shared" si="1056"/>
        <v>0.9916689094040817</v>
      </c>
      <c r="BS79">
        <f t="shared" si="1056"/>
        <v>0.99028610970354725</v>
      </c>
      <c r="BT79">
        <f t="shared" si="1056"/>
        <v>0.98905104889301765</v>
      </c>
      <c r="BU79">
        <f t="shared" si="1056"/>
        <v>0.98795926124936151</v>
      </c>
      <c r="BV79">
        <f t="shared" si="1056"/>
        <v>0.98700650163511083</v>
      </c>
      <c r="BW79">
        <f t="shared" si="1056"/>
        <v>0.98618873225098036</v>
      </c>
      <c r="BX79">
        <f t="shared" si="1056"/>
        <v>0.9855021103257825</v>
      </c>
      <c r="BY79">
        <f t="shared" si="1056"/>
        <v>0.98494297666707775</v>
      </c>
      <c r="BZ79">
        <f t="shared" si="1056"/>
        <v>0.98450784500298272</v>
      </c>
      <c r="CA79">
        <f t="shared" si="1056"/>
        <v>0.98419339205190892</v>
      </c>
      <c r="CB79">
        <f t="shared" si="1056"/>
        <v>0.98399644826271448</v>
      </c>
      <c r="CC79">
        <f t="shared" si="1056"/>
        <v>0.98391398917288486</v>
      </c>
      <c r="CD79">
        <f t="shared" si="1056"/>
        <v>0.98394312733698319</v>
      </c>
      <c r="CE79">
        <f t="shared" si="1056"/>
        <v>0.98408110478178368</v>
      </c>
      <c r="CF79">
        <f t="shared" si="1056"/>
        <v>0.98432528594825897</v>
      </c>
      <c r="CG79">
        <f t="shared" si="1056"/>
        <v>0.98467315108401032</v>
      </c>
      <c r="CH79">
        <f t="shared" si="1056"/>
        <v>0.98512229005278928</v>
      </c>
      <c r="CI79">
        <f t="shared" si="1056"/>
        <v>0.98567039653056965</v>
      </c>
      <c r="CJ79">
        <f t="shared" si="1056"/>
        <v>0.9863152625601409</v>
      </c>
      <c r="CK79">
        <f t="shared" si="1056"/>
        <v>0.98705477343850401</v>
      </c>
      <c r="CL79">
        <f t="shared" si="1056"/>
        <v>0.98788690291342895</v>
      </c>
      <c r="CM79">
        <f t="shared" si="1056"/>
        <v>0.988809708667437</v>
      </c>
      <c r="CN79">
        <f t="shared" si="1056"/>
        <v>0.98982132806919743</v>
      </c>
      <c r="CO79">
        <f t="shared" si="1056"/>
        <v>0.99091997417390265</v>
      </c>
      <c r="CP79">
        <f t="shared" si="1056"/>
        <v>0.9921039319556284</v>
      </c>
      <c r="CQ79">
        <f t="shared" si="1056"/>
        <v>0.99337155475599004</v>
      </c>
      <c r="CR79">
        <f t="shared" si="1056"/>
        <v>0.99472126093461688</v>
      </c>
      <c r="CS79">
        <f t="shared" si="1056"/>
        <v>0.99615153070805007</v>
      </c>
      <c r="CT79">
        <f t="shared" si="1056"/>
        <v>0.99766090316468903</v>
      </c>
      <c r="CU79">
        <f t="shared" si="1056"/>
        <v>0.9992479734443217</v>
      </c>
      <c r="CV79">
        <f t="shared" si="1056"/>
        <v>1</v>
      </c>
      <c r="CW79">
        <f t="shared" si="1056"/>
        <v>1</v>
      </c>
      <c r="CX79">
        <f t="shared" si="1056"/>
        <v>1</v>
      </c>
      <c r="CY79">
        <f t="shared" si="1056"/>
        <v>1</v>
      </c>
      <c r="CZ79">
        <f t="shared" si="1056"/>
        <v>1</v>
      </c>
      <c r="DA79">
        <f t="shared" si="1056"/>
        <v>1</v>
      </c>
      <c r="DB79">
        <f t="shared" si="1056"/>
        <v>1</v>
      </c>
      <c r="DC79">
        <f t="shared" si="1056"/>
        <v>1</v>
      </c>
      <c r="DD79">
        <f t="shared" si="1056"/>
        <v>1</v>
      </c>
      <c r="DE79">
        <f t="shared" si="1056"/>
        <v>1</v>
      </c>
      <c r="DF79">
        <f t="shared" si="1056"/>
        <v>1</v>
      </c>
      <c r="DG79">
        <f t="shared" si="1056"/>
        <v>1</v>
      </c>
      <c r="DH79">
        <f t="shared" si="1056"/>
        <v>1</v>
      </c>
      <c r="DI79">
        <f t="shared" si="1056"/>
        <v>1</v>
      </c>
      <c r="DJ79">
        <f t="shared" si="1056"/>
        <v>1</v>
      </c>
      <c r="DK79">
        <f t="shared" si="1056"/>
        <v>1</v>
      </c>
      <c r="DL79">
        <f t="shared" si="1056"/>
        <v>1</v>
      </c>
      <c r="DM79">
        <f t="shared" si="1056"/>
        <v>1</v>
      </c>
      <c r="DN79">
        <f t="shared" si="1056"/>
        <v>1</v>
      </c>
      <c r="DO79">
        <f t="shared" si="1056"/>
        <v>1</v>
      </c>
      <c r="DP79">
        <f t="shared" si="1056"/>
        <v>1</v>
      </c>
      <c r="DQ79">
        <f t="shared" si="1056"/>
        <v>1</v>
      </c>
      <c r="DR79">
        <f t="shared" si="1056"/>
        <v>1</v>
      </c>
      <c r="DS79">
        <f t="shared" si="1056"/>
        <v>1</v>
      </c>
      <c r="DT79">
        <f t="shared" si="1056"/>
        <v>1</v>
      </c>
      <c r="DU79">
        <f t="shared" si="1056"/>
        <v>1</v>
      </c>
      <c r="DV79">
        <f t="shared" si="1056"/>
        <v>1</v>
      </c>
      <c r="DW79">
        <f t="shared" si="1056"/>
        <v>1</v>
      </c>
      <c r="DX79">
        <f t="shared" si="1056"/>
        <v>1</v>
      </c>
      <c r="DY79">
        <f t="shared" si="1056"/>
        <v>1</v>
      </c>
      <c r="DZ79">
        <f t="shared" si="1056"/>
        <v>1</v>
      </c>
      <c r="EA79">
        <f t="shared" si="1056"/>
        <v>1</v>
      </c>
      <c r="EB79">
        <f t="shared" ref="EB79:GM79" si="1057">MIN(1,EB45*1/EB100)</f>
        <v>1</v>
      </c>
      <c r="EC79">
        <f t="shared" si="1057"/>
        <v>1</v>
      </c>
      <c r="ED79">
        <f t="shared" si="1057"/>
        <v>1</v>
      </c>
      <c r="EE79">
        <f t="shared" si="1057"/>
        <v>1</v>
      </c>
      <c r="EF79">
        <f t="shared" si="1057"/>
        <v>1</v>
      </c>
      <c r="EG79">
        <f t="shared" si="1057"/>
        <v>1</v>
      </c>
      <c r="EH79">
        <f t="shared" si="1057"/>
        <v>1</v>
      </c>
      <c r="EI79">
        <f t="shared" si="1057"/>
        <v>1</v>
      </c>
      <c r="EJ79">
        <f t="shared" si="1057"/>
        <v>1</v>
      </c>
      <c r="EK79">
        <f t="shared" si="1057"/>
        <v>1</v>
      </c>
      <c r="EL79">
        <f t="shared" si="1057"/>
        <v>1</v>
      </c>
      <c r="EM79">
        <f t="shared" si="1057"/>
        <v>1</v>
      </c>
      <c r="EN79">
        <f t="shared" si="1057"/>
        <v>1</v>
      </c>
      <c r="EO79">
        <f t="shared" si="1057"/>
        <v>1</v>
      </c>
      <c r="EP79">
        <f t="shared" si="1057"/>
        <v>1</v>
      </c>
      <c r="EQ79">
        <f t="shared" si="1057"/>
        <v>1</v>
      </c>
      <c r="ER79">
        <f t="shared" si="1057"/>
        <v>1</v>
      </c>
      <c r="ES79">
        <f t="shared" si="1057"/>
        <v>1</v>
      </c>
      <c r="ET79">
        <f t="shared" si="1057"/>
        <v>1</v>
      </c>
      <c r="EU79">
        <f t="shared" si="1057"/>
        <v>1</v>
      </c>
      <c r="EV79">
        <f t="shared" si="1057"/>
        <v>1</v>
      </c>
      <c r="EW79">
        <f t="shared" si="1057"/>
        <v>1</v>
      </c>
      <c r="EX79">
        <f t="shared" si="1057"/>
        <v>1</v>
      </c>
      <c r="EY79">
        <f t="shared" si="1057"/>
        <v>1</v>
      </c>
      <c r="EZ79">
        <f t="shared" si="1057"/>
        <v>1</v>
      </c>
      <c r="FA79">
        <f t="shared" si="1057"/>
        <v>1</v>
      </c>
      <c r="FB79">
        <f t="shared" si="1057"/>
        <v>1</v>
      </c>
      <c r="FC79">
        <f t="shared" si="1057"/>
        <v>1</v>
      </c>
      <c r="FD79">
        <f t="shared" si="1057"/>
        <v>1</v>
      </c>
      <c r="FE79">
        <f t="shared" si="1057"/>
        <v>1</v>
      </c>
      <c r="FF79">
        <f t="shared" si="1057"/>
        <v>1</v>
      </c>
      <c r="FG79">
        <f t="shared" si="1057"/>
        <v>1</v>
      </c>
      <c r="FH79">
        <f t="shared" si="1057"/>
        <v>1</v>
      </c>
      <c r="FI79">
        <f t="shared" si="1057"/>
        <v>1</v>
      </c>
      <c r="FJ79">
        <f t="shared" si="1057"/>
        <v>1</v>
      </c>
      <c r="FK79">
        <f t="shared" si="1057"/>
        <v>1</v>
      </c>
      <c r="FL79">
        <f t="shared" si="1057"/>
        <v>1</v>
      </c>
      <c r="FM79">
        <f t="shared" si="1057"/>
        <v>1</v>
      </c>
      <c r="FN79">
        <f t="shared" si="1057"/>
        <v>1</v>
      </c>
      <c r="FO79">
        <f t="shared" si="1057"/>
        <v>1</v>
      </c>
      <c r="FP79">
        <f t="shared" si="1057"/>
        <v>1</v>
      </c>
      <c r="FQ79">
        <f t="shared" si="1057"/>
        <v>1</v>
      </c>
      <c r="FR79">
        <f t="shared" si="1057"/>
        <v>1</v>
      </c>
      <c r="FS79">
        <f t="shared" si="1057"/>
        <v>1</v>
      </c>
      <c r="FT79">
        <f t="shared" si="1057"/>
        <v>1</v>
      </c>
      <c r="FU79">
        <f t="shared" si="1057"/>
        <v>1</v>
      </c>
      <c r="FV79">
        <f t="shared" si="1057"/>
        <v>1</v>
      </c>
      <c r="FW79">
        <f t="shared" si="1057"/>
        <v>1</v>
      </c>
      <c r="FX79">
        <f t="shared" si="1057"/>
        <v>1</v>
      </c>
      <c r="FY79">
        <f t="shared" si="1057"/>
        <v>1</v>
      </c>
      <c r="FZ79">
        <f t="shared" si="1057"/>
        <v>1</v>
      </c>
      <c r="GA79">
        <f t="shared" si="1057"/>
        <v>1</v>
      </c>
      <c r="GB79">
        <f t="shared" si="1057"/>
        <v>1</v>
      </c>
      <c r="GC79">
        <f t="shared" si="1057"/>
        <v>1</v>
      </c>
      <c r="GD79">
        <f t="shared" si="1057"/>
        <v>1</v>
      </c>
      <c r="GE79">
        <f t="shared" si="1057"/>
        <v>1</v>
      </c>
      <c r="GF79">
        <f t="shared" si="1057"/>
        <v>1</v>
      </c>
      <c r="GG79">
        <f t="shared" si="1057"/>
        <v>1</v>
      </c>
      <c r="GH79">
        <f t="shared" si="1057"/>
        <v>1</v>
      </c>
      <c r="GI79">
        <f t="shared" si="1057"/>
        <v>1</v>
      </c>
      <c r="GJ79">
        <f t="shared" si="1057"/>
        <v>1</v>
      </c>
      <c r="GK79">
        <f t="shared" si="1057"/>
        <v>1</v>
      </c>
      <c r="GL79">
        <f t="shared" si="1057"/>
        <v>1</v>
      </c>
      <c r="GM79">
        <f t="shared" si="1057"/>
        <v>1</v>
      </c>
      <c r="GN79">
        <f t="shared" ref="GN79:IV79" si="1058">MIN(1,GN45*1/GN100)</f>
        <v>1</v>
      </c>
      <c r="GO79">
        <f t="shared" si="1058"/>
        <v>1</v>
      </c>
      <c r="GP79">
        <f t="shared" si="1058"/>
        <v>1</v>
      </c>
      <c r="GQ79">
        <f t="shared" si="1058"/>
        <v>1</v>
      </c>
      <c r="GR79">
        <f t="shared" si="1058"/>
        <v>1</v>
      </c>
      <c r="GS79">
        <f t="shared" si="1058"/>
        <v>1</v>
      </c>
      <c r="GT79">
        <f t="shared" si="1058"/>
        <v>1</v>
      </c>
      <c r="GU79">
        <f t="shared" si="1058"/>
        <v>1</v>
      </c>
      <c r="GV79">
        <f t="shared" si="1058"/>
        <v>1</v>
      </c>
      <c r="GW79">
        <f t="shared" si="1058"/>
        <v>1</v>
      </c>
      <c r="GX79">
        <f t="shared" si="1058"/>
        <v>1</v>
      </c>
      <c r="GY79">
        <f t="shared" si="1058"/>
        <v>1</v>
      </c>
      <c r="GZ79">
        <f t="shared" si="1058"/>
        <v>1</v>
      </c>
      <c r="HA79">
        <f t="shared" si="1058"/>
        <v>1</v>
      </c>
      <c r="HB79">
        <f t="shared" si="1058"/>
        <v>1</v>
      </c>
      <c r="HC79">
        <f t="shared" si="1058"/>
        <v>1</v>
      </c>
      <c r="HD79">
        <f t="shared" si="1058"/>
        <v>1</v>
      </c>
      <c r="HE79">
        <f t="shared" si="1058"/>
        <v>1</v>
      </c>
      <c r="HF79">
        <f t="shared" si="1058"/>
        <v>1</v>
      </c>
      <c r="HG79">
        <f t="shared" si="1058"/>
        <v>1</v>
      </c>
      <c r="HH79">
        <f t="shared" si="1058"/>
        <v>1</v>
      </c>
      <c r="HI79">
        <f t="shared" si="1058"/>
        <v>1</v>
      </c>
      <c r="HJ79">
        <f t="shared" si="1058"/>
        <v>1</v>
      </c>
      <c r="HK79">
        <f t="shared" si="1058"/>
        <v>1</v>
      </c>
      <c r="HL79">
        <f t="shared" si="1058"/>
        <v>1</v>
      </c>
      <c r="HM79">
        <f t="shared" si="1058"/>
        <v>1</v>
      </c>
      <c r="HN79">
        <f t="shared" si="1058"/>
        <v>1</v>
      </c>
      <c r="HO79">
        <f t="shared" si="1058"/>
        <v>1</v>
      </c>
      <c r="HP79">
        <f t="shared" si="1058"/>
        <v>1</v>
      </c>
      <c r="HQ79">
        <f t="shared" si="1058"/>
        <v>1</v>
      </c>
      <c r="HR79">
        <f t="shared" si="1058"/>
        <v>1</v>
      </c>
      <c r="HS79">
        <f t="shared" si="1058"/>
        <v>1</v>
      </c>
      <c r="HT79">
        <f t="shared" si="1058"/>
        <v>1</v>
      </c>
      <c r="HU79">
        <f t="shared" si="1058"/>
        <v>1</v>
      </c>
      <c r="HV79">
        <f t="shared" si="1058"/>
        <v>1</v>
      </c>
      <c r="HW79">
        <f t="shared" si="1058"/>
        <v>1</v>
      </c>
      <c r="HX79">
        <f t="shared" si="1058"/>
        <v>1</v>
      </c>
      <c r="HY79">
        <f t="shared" si="1058"/>
        <v>1</v>
      </c>
      <c r="HZ79">
        <f t="shared" si="1058"/>
        <v>1</v>
      </c>
      <c r="IA79">
        <f t="shared" si="1058"/>
        <v>1</v>
      </c>
      <c r="IB79">
        <f t="shared" si="1058"/>
        <v>1</v>
      </c>
      <c r="IC79">
        <f t="shared" si="1058"/>
        <v>1</v>
      </c>
      <c r="ID79">
        <f t="shared" si="1058"/>
        <v>1</v>
      </c>
      <c r="IE79">
        <f t="shared" si="1058"/>
        <v>1</v>
      </c>
      <c r="IF79">
        <f t="shared" si="1058"/>
        <v>1</v>
      </c>
      <c r="IG79">
        <f t="shared" si="1058"/>
        <v>1</v>
      </c>
      <c r="IH79">
        <f t="shared" si="1058"/>
        <v>1</v>
      </c>
      <c r="II79">
        <f t="shared" si="1058"/>
        <v>1</v>
      </c>
      <c r="IJ79">
        <f t="shared" si="1058"/>
        <v>1</v>
      </c>
      <c r="IK79">
        <f t="shared" si="1058"/>
        <v>1</v>
      </c>
      <c r="IL79">
        <f t="shared" si="1058"/>
        <v>1</v>
      </c>
      <c r="IM79">
        <f t="shared" si="1058"/>
        <v>1</v>
      </c>
      <c r="IN79">
        <f t="shared" si="1058"/>
        <v>1</v>
      </c>
      <c r="IO79">
        <f t="shared" si="1058"/>
        <v>1</v>
      </c>
      <c r="IP79">
        <f t="shared" si="1058"/>
        <v>1</v>
      </c>
      <c r="IQ79">
        <f t="shared" si="1058"/>
        <v>1</v>
      </c>
      <c r="IR79">
        <f t="shared" si="1058"/>
        <v>1</v>
      </c>
      <c r="IS79">
        <f t="shared" si="1058"/>
        <v>1</v>
      </c>
      <c r="IT79">
        <f t="shared" si="1058"/>
        <v>1</v>
      </c>
      <c r="IU79">
        <f t="shared" si="1058"/>
        <v>1</v>
      </c>
      <c r="IV79">
        <f t="shared" si="1058"/>
        <v>1</v>
      </c>
    </row>
    <row r="80" spans="1:256" x14ac:dyDescent="0.2">
      <c r="A80" t="s">
        <v>551</v>
      </c>
      <c r="B80">
        <f>MIN(1,B46*B88*B89*B90*B94*B95*B96*B103)</f>
        <v>1.6075439662467149E-3</v>
      </c>
      <c r="C80">
        <f>MIN(1,C46*C88*C89*C90*C94*C95*C96*C103)</f>
        <v>9.6415044200841335E-2</v>
      </c>
      <c r="D80">
        <f t="shared" ref="D80:BO80" si="1059">MIN(1,D46*D88*D89*D90*D94*D95*D96*D103)</f>
        <v>9.7764797954462385E-2</v>
      </c>
      <c r="E80">
        <f t="shared" si="1059"/>
        <v>9.9066962092324989E-2</v>
      </c>
      <c r="F80">
        <f t="shared" si="1059"/>
        <v>0.10032186931503459</v>
      </c>
      <c r="G80">
        <f t="shared" si="1059"/>
        <v>0.10152988941084486</v>
      </c>
      <c r="H80">
        <f t="shared" si="1059"/>
        <v>0.10269142776542706</v>
      </c>
      <c r="I80">
        <f t="shared" si="1059"/>
        <v>0.10380692375620885</v>
      </c>
      <c r="J80">
        <f t="shared" si="1059"/>
        <v>0.10487684906489965</v>
      </c>
      <c r="K80">
        <f t="shared" si="1059"/>
        <v>0.10458069214700644</v>
      </c>
      <c r="L80">
        <f t="shared" si="1059"/>
        <v>0.10422128435653169</v>
      </c>
      <c r="M80">
        <f t="shared" si="1059"/>
        <v>0.10380204224561199</v>
      </c>
      <c r="N80">
        <f t="shared" si="1059"/>
        <v>0.10332615899291396</v>
      </c>
      <c r="O80">
        <f t="shared" si="1059"/>
        <v>0.10279662669975854</v>
      </c>
      <c r="P80">
        <f t="shared" si="1059"/>
        <v>0.10221625684061118</v>
      </c>
      <c r="Q80">
        <f t="shared" si="1059"/>
        <v>0.10158769893411802</v>
      </c>
      <c r="R80">
        <f t="shared" si="1059"/>
        <v>0.10091345751122792</v>
      </c>
      <c r="S80">
        <f t="shared" si="1059"/>
        <v>0.10032928951933102</v>
      </c>
      <c r="T80">
        <f t="shared" si="1059"/>
        <v>9.970210045800354E-2</v>
      </c>
      <c r="U80">
        <f t="shared" si="1059"/>
        <v>9.9033930159072275E-2</v>
      </c>
      <c r="V80">
        <f t="shared" si="1059"/>
        <v>9.83267420120255E-2</v>
      </c>
      <c r="W80">
        <f t="shared" si="1059"/>
        <v>9.7582429706454976E-2</v>
      </c>
      <c r="X80">
        <f t="shared" si="1059"/>
        <v>9.6802823276113642E-2</v>
      </c>
      <c r="Y80">
        <f t="shared" si="1059"/>
        <v>9.5989694493397656E-2</v>
      </c>
      <c r="Z80">
        <f t="shared" si="1059"/>
        <v>9.514476166165596E-2</v>
      </c>
      <c r="AA80">
        <f t="shared" si="1059"/>
        <v>9.6731962467149477E-2</v>
      </c>
      <c r="AB80">
        <f t="shared" si="1059"/>
        <v>9.8333967594574467E-2</v>
      </c>
      <c r="AC80">
        <f t="shared" si="1059"/>
        <v>9.9950778390597114E-2</v>
      </c>
      <c r="AD80">
        <f t="shared" si="1059"/>
        <v>0.10158231496543427</v>
      </c>
      <c r="AE80">
        <f t="shared" si="1059"/>
        <v>0.10322842117775369</v>
      </c>
      <c r="AF80">
        <f t="shared" si="1059"/>
        <v>0.10488886937849429</v>
      </c>
      <c r="AG80">
        <f t="shared" si="1059"/>
        <v>0.10656336492560804</v>
      </c>
      <c r="AH80">
        <f t="shared" si="1059"/>
        <v>0.78519134631576115</v>
      </c>
      <c r="AI80">
        <f t="shared" si="1059"/>
        <v>0.79082374765747177</v>
      </c>
      <c r="AJ80">
        <f t="shared" si="1059"/>
        <v>0.79633369892771189</v>
      </c>
      <c r="AK80">
        <f t="shared" si="1059"/>
        <v>0.80172884273991296</v>
      </c>
      <c r="AL80">
        <f t="shared" si="1059"/>
        <v>0.80701674521626587</v>
      </c>
      <c r="AM80">
        <f t="shared" si="1059"/>
        <v>0.81220489155083719</v>
      </c>
      <c r="AN80">
        <f t="shared" si="1059"/>
        <v>0.81730068250603272</v>
      </c>
      <c r="AO80">
        <f t="shared" si="1059"/>
        <v>0.82231143178124755</v>
      </c>
      <c r="AP80">
        <f t="shared" si="1059"/>
        <v>0.11404925114307697</v>
      </c>
      <c r="AQ80">
        <f t="shared" si="1059"/>
        <v>0.11673373494087183</v>
      </c>
      <c r="AR80">
        <f t="shared" si="1059"/>
        <v>0.11939754176859553</v>
      </c>
      <c r="AS80">
        <f t="shared" si="1059"/>
        <v>0.12204033567644454</v>
      </c>
      <c r="AT80">
        <f t="shared" si="1059"/>
        <v>0.12466186879293048</v>
      </c>
      <c r="AU80">
        <f t="shared" si="1059"/>
        <v>0.12726197835560951</v>
      </c>
      <c r="AV80">
        <f t="shared" si="1059"/>
        <v>0.12984058374177884</v>
      </c>
      <c r="AW80">
        <f t="shared" si="1059"/>
        <v>0.13239768351528383</v>
      </c>
      <c r="AX80">
        <f t="shared" si="1059"/>
        <v>0.13493335250330268</v>
      </c>
      <c r="AY80">
        <f t="shared" si="1059"/>
        <v>0.13865528363223931</v>
      </c>
      <c r="AZ80">
        <f t="shared" si="1059"/>
        <v>0.14251477828573764</v>
      </c>
      <c r="BA80">
        <f t="shared" si="1059"/>
        <v>0.1465279890680547</v>
      </c>
      <c r="BB80">
        <f t="shared" si="1059"/>
        <v>0.15071186578087484</v>
      </c>
      <c r="BC80">
        <f t="shared" si="1059"/>
        <v>0.15508428452026962</v>
      </c>
      <c r="BD80">
        <f t="shared" si="1059"/>
        <v>0.15966418849927169</v>
      </c>
      <c r="BE80">
        <f t="shared" si="1059"/>
        <v>0.16447174253954924</v>
      </c>
      <c r="BF80">
        <f t="shared" si="1059"/>
        <v>0.16952850346852175</v>
      </c>
      <c r="BG80">
        <f t="shared" si="1059"/>
        <v>0.17485760900647074</v>
      </c>
      <c r="BH80">
        <f t="shared" si="1059"/>
        <v>0.18048398814329966</v>
      </c>
      <c r="BI80">
        <f t="shared" si="1059"/>
        <v>0.18639871038228936</v>
      </c>
      <c r="BJ80">
        <f t="shared" si="1059"/>
        <v>0.19254874082021003</v>
      </c>
      <c r="BK80">
        <f t="shared" si="1059"/>
        <v>0.19895139767571568</v>
      </c>
      <c r="BL80">
        <f t="shared" si="1059"/>
        <v>0.20562513130140594</v>
      </c>
      <c r="BM80">
        <f t="shared" si="1059"/>
        <v>0.21258948345983653</v>
      </c>
      <c r="BN80">
        <f t="shared" si="1059"/>
        <v>0.21969610433368339</v>
      </c>
      <c r="BO80">
        <f t="shared" si="1059"/>
        <v>0.22693866667143467</v>
      </c>
      <c r="BP80">
        <f t="shared" ref="BP80:EA80" si="1060">MIN(1,BP46*BP88*BP89*BP90*BP94*BP95*BP96*BP103)</f>
        <v>0.23431954682401857</v>
      </c>
      <c r="BQ80">
        <f t="shared" si="1060"/>
        <v>0.24184359003633474</v>
      </c>
      <c r="BR80">
        <f t="shared" si="1060"/>
        <v>0.24951640500613867</v>
      </c>
      <c r="BS80">
        <f t="shared" si="1060"/>
        <v>0.25734434189443944</v>
      </c>
      <c r="BT80">
        <f t="shared" si="1060"/>
        <v>0.26533398183726759</v>
      </c>
      <c r="BU80">
        <f t="shared" si="1060"/>
        <v>0.27342012184153786</v>
      </c>
      <c r="BV80">
        <f t="shared" si="1060"/>
        <v>0.28156758026782214</v>
      </c>
      <c r="BW80">
        <f t="shared" si="1060"/>
        <v>0.2897764091434426</v>
      </c>
      <c r="BX80">
        <f t="shared" si="1060"/>
        <v>0.29804692948018136</v>
      </c>
      <c r="BY80">
        <f t="shared" si="1060"/>
        <v>0.30637973465119339</v>
      </c>
      <c r="BZ80">
        <f t="shared" si="1060"/>
        <v>0.31477569363550006</v>
      </c>
      <c r="CA80">
        <f t="shared" si="1060"/>
        <v>0.3232359541548061</v>
      </c>
      <c r="CB80">
        <f t="shared" si="1060"/>
        <v>0.33176194572699974</v>
      </c>
      <c r="CC80">
        <f t="shared" si="1060"/>
        <v>0.34035538266035475</v>
      </c>
      <c r="CD80">
        <f t="shared" si="1060"/>
        <v>0.34901826701216582</v>
      </c>
      <c r="CE80">
        <f t="shared" si="1060"/>
        <v>0.35775289153531653</v>
      </c>
      <c r="CF80">
        <f t="shared" si="1060"/>
        <v>0.36656184263611097</v>
      </c>
      <c r="CG80">
        <f t="shared" si="1060"/>
        <v>0.37544800336658668</v>
      </c>
      <c r="CH80">
        <f t="shared" si="1060"/>
        <v>0.38441455647447942</v>
      </c>
      <c r="CI80">
        <f t="shared" si="1060"/>
        <v>0.39346498753402825</v>
      </c>
      <c r="CJ80">
        <f t="shared" si="1060"/>
        <v>0.40260308818089668</v>
      </c>
      <c r="CK80">
        <f t="shared" si="1060"/>
        <v>0.41183295947462578</v>
      </c>
      <c r="CL80">
        <f t="shared" si="1060"/>
        <v>0.42115901541226847</v>
      </c>
      <c r="CM80">
        <f t="shared" si="1060"/>
        <v>0.43058598661712544</v>
      </c>
      <c r="CN80">
        <f t="shared" si="1060"/>
        <v>0.44011892422686738</v>
      </c>
      <c r="CO80">
        <f t="shared" si="1060"/>
        <v>0.44976320400574599</v>
      </c>
      <c r="CP80">
        <f t="shared" si="1060"/>
        <v>0.45952407783510402</v>
      </c>
      <c r="CQ80">
        <f t="shared" si="1060"/>
        <v>0.46940690321739065</v>
      </c>
      <c r="CR80">
        <f t="shared" si="1060"/>
        <v>0.47941730278538858</v>
      </c>
      <c r="CS80">
        <f t="shared" si="1060"/>
        <v>0.48956116692550333</v>
      </c>
      <c r="CT80">
        <f t="shared" si="1060"/>
        <v>0.49984465667685224</v>
      </c>
      <c r="CU80">
        <f t="shared" si="1060"/>
        <v>0.51027420692294245</v>
      </c>
      <c r="CV80">
        <f t="shared" si="1060"/>
        <v>0.52085652989304176</v>
      </c>
      <c r="CW80">
        <f t="shared" si="1060"/>
        <v>0.53158919977212471</v>
      </c>
      <c r="CX80">
        <f t="shared" si="1060"/>
        <v>0.54247057237489549</v>
      </c>
      <c r="CY80">
        <f t="shared" si="1060"/>
        <v>0.5535069254533973</v>
      </c>
      <c r="CZ80">
        <f t="shared" si="1060"/>
        <v>0.56470479605934321</v>
      </c>
      <c r="DA80">
        <f t="shared" si="1060"/>
        <v>0.57607098260149125</v>
      </c>
      <c r="DB80">
        <f t="shared" si="1060"/>
        <v>0.58761254709539423</v>
      </c>
      <c r="DC80">
        <f t="shared" si="1060"/>
        <v>0.59933681762128999</v>
      </c>
      <c r="DD80">
        <f t="shared" si="1060"/>
        <v>0.61125139100600734</v>
      </c>
      <c r="DE80">
        <f t="shared" si="1060"/>
        <v>0.62336413574487337</v>
      </c>
      <c r="DF80">
        <f t="shared" si="1060"/>
        <v>0.63568319517970551</v>
      </c>
      <c r="DG80">
        <f t="shared" si="1060"/>
        <v>0.64821699094906193</v>
      </c>
      <c r="DH80">
        <f t="shared" si="1060"/>
        <v>0.66097422672700368</v>
      </c>
      <c r="DI80">
        <f t="shared" si="1060"/>
        <v>0.67396389226670028</v>
      </c>
      <c r="DJ80">
        <f t="shared" si="1060"/>
        <v>0.68719526776526629</v>
      </c>
      <c r="DK80">
        <f t="shared" si="1060"/>
        <v>0.70067792856629163</v>
      </c>
      <c r="DL80">
        <f t="shared" si="1060"/>
        <v>0.71442175021656917</v>
      </c>
      <c r="DM80">
        <f t="shared" si="1060"/>
        <v>0.72843691389358911</v>
      </c>
      <c r="DN80">
        <f t="shared" si="1060"/>
        <v>0.74273391222040352</v>
      </c>
      <c r="DO80">
        <f t="shared" si="1060"/>
        <v>0.75732355548453723</v>
      </c>
      <c r="DP80">
        <f t="shared" si="1060"/>
        <v>0.77221697827765501</v>
      </c>
      <c r="DQ80">
        <f t="shared" si="1060"/>
        <v>0.78742564657276737</v>
      </c>
      <c r="DR80">
        <f t="shared" si="1060"/>
        <v>0.80296136525581541</v>
      </c>
      <c r="DS80">
        <f t="shared" si="1060"/>
        <v>0.81883628612855841</v>
      </c>
      <c r="DT80">
        <f t="shared" si="1060"/>
        <v>0.83506291639976016</v>
      </c>
      <c r="DU80">
        <f t="shared" si="1060"/>
        <v>0.85165412768179805</v>
      </c>
      <c r="DV80">
        <f t="shared" si="1060"/>
        <v>0.86862316550990848</v>
      </c>
      <c r="DW80">
        <f t="shared" si="1060"/>
        <v>0.88598365940144275</v>
      </c>
      <c r="DX80">
        <f t="shared" si="1060"/>
        <v>0.90374963347266035</v>
      </c>
      <c r="DY80">
        <f t="shared" si="1060"/>
        <v>0.92193551763077319</v>
      </c>
      <c r="DZ80">
        <f t="shared" si="1060"/>
        <v>0.94055615935916936</v>
      </c>
      <c r="EA80">
        <f t="shared" si="1060"/>
        <v>0.95962683611398891</v>
      </c>
      <c r="EB80">
        <f t="shared" ref="EB80:GM80" si="1061">MIN(1,EB46*EB88*EB89*EB90*EB94*EB95*EB96*EB103)</f>
        <v>0.97916326835049294</v>
      </c>
      <c r="EC80">
        <f t="shared" si="1061"/>
        <v>0.99918163319799314</v>
      </c>
      <c r="ED80">
        <f t="shared" si="1061"/>
        <v>1</v>
      </c>
      <c r="EE80">
        <f t="shared" si="1061"/>
        <v>1</v>
      </c>
      <c r="EF80">
        <f t="shared" si="1061"/>
        <v>1</v>
      </c>
      <c r="EG80">
        <f t="shared" si="1061"/>
        <v>1</v>
      </c>
      <c r="EH80">
        <f t="shared" si="1061"/>
        <v>1</v>
      </c>
      <c r="EI80">
        <f t="shared" si="1061"/>
        <v>1</v>
      </c>
      <c r="EJ80">
        <f t="shared" si="1061"/>
        <v>1</v>
      </c>
      <c r="EK80">
        <f t="shared" si="1061"/>
        <v>1</v>
      </c>
      <c r="EL80">
        <f t="shared" si="1061"/>
        <v>1</v>
      </c>
      <c r="EM80">
        <f t="shared" si="1061"/>
        <v>1</v>
      </c>
      <c r="EN80">
        <f t="shared" si="1061"/>
        <v>1</v>
      </c>
      <c r="EO80">
        <f t="shared" si="1061"/>
        <v>1</v>
      </c>
      <c r="EP80">
        <f t="shared" si="1061"/>
        <v>1</v>
      </c>
      <c r="EQ80">
        <f t="shared" si="1061"/>
        <v>1</v>
      </c>
      <c r="ER80">
        <f t="shared" si="1061"/>
        <v>1</v>
      </c>
      <c r="ES80">
        <f t="shared" si="1061"/>
        <v>1</v>
      </c>
      <c r="ET80">
        <f t="shared" si="1061"/>
        <v>1</v>
      </c>
      <c r="EU80">
        <f t="shared" si="1061"/>
        <v>1</v>
      </c>
      <c r="EV80">
        <f t="shared" si="1061"/>
        <v>1</v>
      </c>
      <c r="EW80">
        <f t="shared" si="1061"/>
        <v>1</v>
      </c>
      <c r="EX80">
        <f t="shared" si="1061"/>
        <v>1</v>
      </c>
      <c r="EY80">
        <f t="shared" si="1061"/>
        <v>1</v>
      </c>
      <c r="EZ80">
        <f t="shared" si="1061"/>
        <v>1</v>
      </c>
      <c r="FA80">
        <f t="shared" si="1061"/>
        <v>1</v>
      </c>
      <c r="FB80">
        <f t="shared" si="1061"/>
        <v>1</v>
      </c>
      <c r="FC80">
        <f t="shared" si="1061"/>
        <v>1</v>
      </c>
      <c r="FD80">
        <f t="shared" si="1061"/>
        <v>1</v>
      </c>
      <c r="FE80">
        <f t="shared" si="1061"/>
        <v>1</v>
      </c>
      <c r="FF80">
        <f t="shared" si="1061"/>
        <v>1</v>
      </c>
      <c r="FG80">
        <f t="shared" si="1061"/>
        <v>1</v>
      </c>
      <c r="FH80">
        <f t="shared" si="1061"/>
        <v>1</v>
      </c>
      <c r="FI80">
        <f t="shared" si="1061"/>
        <v>1</v>
      </c>
      <c r="FJ80">
        <f t="shared" si="1061"/>
        <v>1</v>
      </c>
      <c r="FK80">
        <f t="shared" si="1061"/>
        <v>1</v>
      </c>
      <c r="FL80">
        <f t="shared" si="1061"/>
        <v>1</v>
      </c>
      <c r="FM80">
        <f t="shared" si="1061"/>
        <v>1</v>
      </c>
      <c r="FN80">
        <f t="shared" si="1061"/>
        <v>1</v>
      </c>
      <c r="FO80">
        <f t="shared" si="1061"/>
        <v>1</v>
      </c>
      <c r="FP80">
        <f t="shared" si="1061"/>
        <v>1</v>
      </c>
      <c r="FQ80">
        <f t="shared" si="1061"/>
        <v>1</v>
      </c>
      <c r="FR80">
        <f t="shared" si="1061"/>
        <v>1</v>
      </c>
      <c r="FS80">
        <f t="shared" si="1061"/>
        <v>1</v>
      </c>
      <c r="FT80">
        <f t="shared" si="1061"/>
        <v>1</v>
      </c>
      <c r="FU80">
        <f t="shared" si="1061"/>
        <v>1</v>
      </c>
      <c r="FV80">
        <f t="shared" si="1061"/>
        <v>1</v>
      </c>
      <c r="FW80">
        <f t="shared" si="1061"/>
        <v>1</v>
      </c>
      <c r="FX80">
        <f t="shared" si="1061"/>
        <v>1</v>
      </c>
      <c r="FY80">
        <f t="shared" si="1061"/>
        <v>1</v>
      </c>
      <c r="FZ80">
        <f t="shared" si="1061"/>
        <v>1</v>
      </c>
      <c r="GA80">
        <f t="shared" si="1061"/>
        <v>1</v>
      </c>
      <c r="GB80">
        <f t="shared" si="1061"/>
        <v>1</v>
      </c>
      <c r="GC80">
        <f t="shared" si="1061"/>
        <v>1</v>
      </c>
      <c r="GD80">
        <f t="shared" si="1061"/>
        <v>1</v>
      </c>
      <c r="GE80">
        <f t="shared" si="1061"/>
        <v>1</v>
      </c>
      <c r="GF80">
        <f t="shared" si="1061"/>
        <v>1</v>
      </c>
      <c r="GG80">
        <f t="shared" si="1061"/>
        <v>1</v>
      </c>
      <c r="GH80">
        <f t="shared" si="1061"/>
        <v>1</v>
      </c>
      <c r="GI80">
        <f t="shared" si="1061"/>
        <v>1</v>
      </c>
      <c r="GJ80">
        <f t="shared" si="1061"/>
        <v>1</v>
      </c>
      <c r="GK80">
        <f t="shared" si="1061"/>
        <v>1</v>
      </c>
      <c r="GL80">
        <f t="shared" si="1061"/>
        <v>1</v>
      </c>
      <c r="GM80">
        <f t="shared" si="1061"/>
        <v>1</v>
      </c>
      <c r="GN80">
        <f t="shared" ref="GN80:IV80" si="1062">MIN(1,GN46*GN88*GN89*GN90*GN94*GN95*GN96*GN103)</f>
        <v>1</v>
      </c>
      <c r="GO80">
        <f t="shared" si="1062"/>
        <v>1</v>
      </c>
      <c r="GP80">
        <f t="shared" si="1062"/>
        <v>1</v>
      </c>
      <c r="GQ80">
        <f t="shared" si="1062"/>
        <v>1</v>
      </c>
      <c r="GR80">
        <f t="shared" si="1062"/>
        <v>1</v>
      </c>
      <c r="GS80">
        <f t="shared" si="1062"/>
        <v>1</v>
      </c>
      <c r="GT80">
        <f t="shared" si="1062"/>
        <v>1</v>
      </c>
      <c r="GU80">
        <f t="shared" si="1062"/>
        <v>1</v>
      </c>
      <c r="GV80">
        <f t="shared" si="1062"/>
        <v>1</v>
      </c>
      <c r="GW80">
        <f t="shared" si="1062"/>
        <v>1</v>
      </c>
      <c r="GX80">
        <f t="shared" si="1062"/>
        <v>1</v>
      </c>
      <c r="GY80">
        <f t="shared" si="1062"/>
        <v>1</v>
      </c>
      <c r="GZ80">
        <f t="shared" si="1062"/>
        <v>1</v>
      </c>
      <c r="HA80">
        <f t="shared" si="1062"/>
        <v>1</v>
      </c>
      <c r="HB80">
        <f t="shared" si="1062"/>
        <v>1</v>
      </c>
      <c r="HC80">
        <f t="shared" si="1062"/>
        <v>1</v>
      </c>
      <c r="HD80">
        <f t="shared" si="1062"/>
        <v>1</v>
      </c>
      <c r="HE80">
        <f t="shared" si="1062"/>
        <v>1</v>
      </c>
      <c r="HF80">
        <f t="shared" si="1062"/>
        <v>1</v>
      </c>
      <c r="HG80">
        <f t="shared" si="1062"/>
        <v>1</v>
      </c>
      <c r="HH80">
        <f t="shared" si="1062"/>
        <v>1</v>
      </c>
      <c r="HI80">
        <f t="shared" si="1062"/>
        <v>1</v>
      </c>
      <c r="HJ80">
        <f t="shared" si="1062"/>
        <v>1</v>
      </c>
      <c r="HK80">
        <f t="shared" si="1062"/>
        <v>1</v>
      </c>
      <c r="HL80">
        <f t="shared" si="1062"/>
        <v>1</v>
      </c>
      <c r="HM80">
        <f t="shared" si="1062"/>
        <v>1</v>
      </c>
      <c r="HN80">
        <f t="shared" si="1062"/>
        <v>1</v>
      </c>
      <c r="HO80">
        <f t="shared" si="1062"/>
        <v>1</v>
      </c>
      <c r="HP80">
        <f t="shared" si="1062"/>
        <v>1</v>
      </c>
      <c r="HQ80">
        <f t="shared" si="1062"/>
        <v>1</v>
      </c>
      <c r="HR80">
        <f t="shared" si="1062"/>
        <v>1</v>
      </c>
      <c r="HS80">
        <f t="shared" si="1062"/>
        <v>1</v>
      </c>
      <c r="HT80">
        <f t="shared" si="1062"/>
        <v>1</v>
      </c>
      <c r="HU80">
        <f t="shared" si="1062"/>
        <v>1</v>
      </c>
      <c r="HV80">
        <f t="shared" si="1062"/>
        <v>1</v>
      </c>
      <c r="HW80">
        <f t="shared" si="1062"/>
        <v>1</v>
      </c>
      <c r="HX80">
        <f t="shared" si="1062"/>
        <v>1</v>
      </c>
      <c r="HY80">
        <f t="shared" si="1062"/>
        <v>1</v>
      </c>
      <c r="HZ80">
        <f t="shared" si="1062"/>
        <v>1</v>
      </c>
      <c r="IA80">
        <f t="shared" si="1062"/>
        <v>1</v>
      </c>
      <c r="IB80">
        <f t="shared" si="1062"/>
        <v>1</v>
      </c>
      <c r="IC80">
        <f t="shared" si="1062"/>
        <v>1</v>
      </c>
      <c r="ID80">
        <f t="shared" si="1062"/>
        <v>1</v>
      </c>
      <c r="IE80">
        <f t="shared" si="1062"/>
        <v>1</v>
      </c>
      <c r="IF80">
        <f t="shared" si="1062"/>
        <v>1</v>
      </c>
      <c r="IG80">
        <f t="shared" si="1062"/>
        <v>1</v>
      </c>
      <c r="IH80">
        <f t="shared" si="1062"/>
        <v>1</v>
      </c>
      <c r="II80">
        <f t="shared" si="1062"/>
        <v>1</v>
      </c>
      <c r="IJ80">
        <f t="shared" si="1062"/>
        <v>1</v>
      </c>
      <c r="IK80">
        <f t="shared" si="1062"/>
        <v>1</v>
      </c>
      <c r="IL80">
        <f t="shared" si="1062"/>
        <v>1</v>
      </c>
      <c r="IM80">
        <f t="shared" si="1062"/>
        <v>1</v>
      </c>
      <c r="IN80">
        <f t="shared" si="1062"/>
        <v>1</v>
      </c>
      <c r="IO80">
        <f t="shared" si="1062"/>
        <v>1</v>
      </c>
      <c r="IP80">
        <f t="shared" si="1062"/>
        <v>1</v>
      </c>
      <c r="IQ80">
        <f t="shared" si="1062"/>
        <v>1</v>
      </c>
      <c r="IR80">
        <f t="shared" si="1062"/>
        <v>1</v>
      </c>
      <c r="IS80">
        <f t="shared" si="1062"/>
        <v>1</v>
      </c>
      <c r="IT80">
        <f t="shared" si="1062"/>
        <v>1</v>
      </c>
      <c r="IU80">
        <f t="shared" si="1062"/>
        <v>1</v>
      </c>
      <c r="IV80">
        <f t="shared" si="1062"/>
        <v>1</v>
      </c>
    </row>
    <row r="81" spans="1:256" x14ac:dyDescent="0.2">
      <c r="A81" t="s">
        <v>552</v>
      </c>
      <c r="B81">
        <f>MIN(1,B47*B90*B93)</f>
        <v>0.81403066605362118</v>
      </c>
      <c r="C81">
        <f>MIN(1,C47*C90*C93)</f>
        <v>1</v>
      </c>
      <c r="D81">
        <f t="shared" ref="D81:BO81" si="1063">MIN(1,D47*D90*D93)</f>
        <v>1</v>
      </c>
      <c r="E81">
        <f t="shared" si="1063"/>
        <v>1</v>
      </c>
      <c r="F81">
        <f t="shared" si="1063"/>
        <v>1</v>
      </c>
      <c r="G81">
        <f t="shared" si="1063"/>
        <v>1</v>
      </c>
      <c r="H81">
        <f t="shared" si="1063"/>
        <v>1</v>
      </c>
      <c r="I81">
        <f t="shared" si="1063"/>
        <v>1</v>
      </c>
      <c r="J81">
        <f t="shared" si="1063"/>
        <v>1</v>
      </c>
      <c r="K81">
        <f t="shared" si="1063"/>
        <v>1</v>
      </c>
      <c r="L81">
        <f t="shared" si="1063"/>
        <v>1</v>
      </c>
      <c r="M81">
        <f t="shared" si="1063"/>
        <v>1</v>
      </c>
      <c r="N81">
        <f t="shared" si="1063"/>
        <v>1</v>
      </c>
      <c r="O81">
        <f t="shared" si="1063"/>
        <v>1</v>
      </c>
      <c r="P81">
        <f t="shared" si="1063"/>
        <v>1</v>
      </c>
      <c r="Q81">
        <f t="shared" si="1063"/>
        <v>1</v>
      </c>
      <c r="R81">
        <f t="shared" si="1063"/>
        <v>0.86646420027896909</v>
      </c>
      <c r="S81">
        <f t="shared" si="1063"/>
        <v>0.85186249650880508</v>
      </c>
      <c r="T81">
        <f t="shared" si="1063"/>
        <v>0.83758795960994825</v>
      </c>
      <c r="U81">
        <f t="shared" si="1063"/>
        <v>0.82362762745621321</v>
      </c>
      <c r="V81">
        <f t="shared" si="1063"/>
        <v>0.80996920145965412</v>
      </c>
      <c r="W81">
        <f t="shared" si="1063"/>
        <v>0.79660101772373304</v>
      </c>
      <c r="X81">
        <f t="shared" si="1063"/>
        <v>0.78351201869199438</v>
      </c>
      <c r="Y81">
        <f t="shared" si="1063"/>
        <v>0.77069172538237762</v>
      </c>
      <c r="Z81">
        <f t="shared" si="1063"/>
        <v>0.87676196733895229</v>
      </c>
      <c r="AA81">
        <f t="shared" si="1063"/>
        <v>0.87009093358723666</v>
      </c>
      <c r="AB81">
        <f t="shared" si="1063"/>
        <v>0.86365417235346487</v>
      </c>
      <c r="AC81">
        <f t="shared" si="1063"/>
        <v>0.85743907860267021</v>
      </c>
      <c r="AD81">
        <f t="shared" si="1063"/>
        <v>0.85143361614365454</v>
      </c>
      <c r="AE81">
        <f t="shared" si="1063"/>
        <v>0.845626299021765</v>
      </c>
      <c r="AF81">
        <f t="shared" si="1063"/>
        <v>0.8400061729127356</v>
      </c>
      <c r="AG81">
        <f t="shared" si="1063"/>
        <v>0.83456279660121979</v>
      </c>
      <c r="AH81">
        <f t="shared" si="1063"/>
        <v>0.26362761927220113</v>
      </c>
      <c r="AI81">
        <f t="shared" si="1063"/>
        <v>0.26627761251120341</v>
      </c>
      <c r="AJ81">
        <f t="shared" si="1063"/>
        <v>0.26889561701180886</v>
      </c>
      <c r="AK81">
        <f t="shared" si="1063"/>
        <v>0.27148183450338892</v>
      </c>
      <c r="AL81">
        <f t="shared" si="1063"/>
        <v>0.27403648392591479</v>
      </c>
      <c r="AM81">
        <f t="shared" si="1063"/>
        <v>0.27655980075973574</v>
      </c>
      <c r="AN81">
        <f t="shared" si="1063"/>
        <v>0.27905203637998721</v>
      </c>
      <c r="AO81">
        <f t="shared" si="1063"/>
        <v>0.28151345743485756</v>
      </c>
      <c r="AP81">
        <f t="shared" si="1063"/>
        <v>0.35001694002652228</v>
      </c>
      <c r="AQ81">
        <f t="shared" si="1063"/>
        <v>0.35389693149821994</v>
      </c>
      <c r="AR81">
        <f t="shared" si="1063"/>
        <v>0.35774243525779265</v>
      </c>
      <c r="AS81">
        <f t="shared" si="1063"/>
        <v>0.36155353428651343</v>
      </c>
      <c r="AT81">
        <f t="shared" si="1063"/>
        <v>0.36533031917687481</v>
      </c>
      <c r="AU81">
        <f t="shared" si="1063"/>
        <v>0.36907288782258746</v>
      </c>
      <c r="AV81">
        <f t="shared" si="1063"/>
        <v>0.37278134511779226</v>
      </c>
      <c r="AW81">
        <f t="shared" si="1063"/>
        <v>0.3764558026652372</v>
      </c>
      <c r="AX81">
        <f t="shared" si="1063"/>
        <v>0.63413856912201183</v>
      </c>
      <c r="AY81">
        <f t="shared" si="1063"/>
        <v>0.64136778547161821</v>
      </c>
      <c r="AZ81">
        <f t="shared" si="1063"/>
        <v>0.64881400870324668</v>
      </c>
      <c r="BA81">
        <f t="shared" si="1063"/>
        <v>0.65649175022074902</v>
      </c>
      <c r="BB81">
        <f t="shared" si="1063"/>
        <v>0.66441600713159288</v>
      </c>
      <c r="BC81">
        <f t="shared" si="1063"/>
        <v>0.67260229559650475</v>
      </c>
      <c r="BD81">
        <f t="shared" si="1063"/>
        <v>0.681066686006782</v>
      </c>
      <c r="BE81">
        <f t="shared" si="1063"/>
        <v>0.68982584013698867</v>
      </c>
      <c r="BF81">
        <f t="shared" si="1063"/>
        <v>0.69889705043145034</v>
      </c>
      <c r="BG81">
        <f t="shared" si="1063"/>
        <v>0.70829828159473629</v>
      </c>
      <c r="BH81">
        <f t="shared" si="1063"/>
        <v>0.71804821466918178</v>
      </c>
      <c r="BI81">
        <f t="shared" si="1063"/>
        <v>0.72802613171067476</v>
      </c>
      <c r="BJ81">
        <f t="shared" si="1063"/>
        <v>0.73794670411307473</v>
      </c>
      <c r="BK81">
        <f t="shared" si="1063"/>
        <v>0.74780897472929164</v>
      </c>
      <c r="BL81">
        <f t="shared" si="1063"/>
        <v>0.75761203996389537</v>
      </c>
      <c r="BM81">
        <f t="shared" si="1063"/>
        <v>0.76735504807053545</v>
      </c>
      <c r="BN81">
        <f t="shared" si="1063"/>
        <v>0.77703719749630995</v>
      </c>
      <c r="BO81">
        <f t="shared" si="1063"/>
        <v>0.78665773527186222</v>
      </c>
      <c r="BP81">
        <f t="shared" ref="BP81:EA81" si="1064">MIN(1,BP47*BP90*BP93)</f>
        <v>0.79621595544600754</v>
      </c>
      <c r="BQ81">
        <f t="shared" si="1064"/>
        <v>0.80571119756373144</v>
      </c>
      <c r="BR81">
        <f t="shared" si="1064"/>
        <v>0.81514284518642255</v>
      </c>
      <c r="BS81">
        <f t="shared" si="1064"/>
        <v>0.82451032445323791</v>
      </c>
      <c r="BT81">
        <f t="shared" si="1064"/>
        <v>0.83381310268252229</v>
      </c>
      <c r="BU81">
        <f t="shared" si="1064"/>
        <v>0.84305068701223251</v>
      </c>
      <c r="BV81">
        <f t="shared" si="1064"/>
        <v>0.85222262307834806</v>
      </c>
      <c r="BW81">
        <f t="shared" si="1064"/>
        <v>0.86132849373026665</v>
      </c>
      <c r="BX81">
        <f t="shared" si="1064"/>
        <v>0.87036791778221623</v>
      </c>
      <c r="BY81">
        <f t="shared" si="1064"/>
        <v>0.87934054879973989</v>
      </c>
      <c r="BZ81">
        <f t="shared" si="1064"/>
        <v>0.88824607392032517</v>
      </c>
      <c r="CA81">
        <f t="shared" si="1064"/>
        <v>0.897084212707288</v>
      </c>
      <c r="CB81">
        <f t="shared" si="1064"/>
        <v>0.90585471603602874</v>
      </c>
      <c r="CC81">
        <f t="shared" si="1064"/>
        <v>0.91455736501180862</v>
      </c>
      <c r="CD81">
        <f t="shared" si="1064"/>
        <v>0.92319196991822017</v>
      </c>
      <c r="CE81">
        <f t="shared" si="1064"/>
        <v>0.93175836919553545</v>
      </c>
      <c r="CF81">
        <f t="shared" si="1064"/>
        <v>0.9402564284481455</v>
      </c>
      <c r="CG81">
        <f t="shared" si="1064"/>
        <v>0.94868603948032193</v>
      </c>
      <c r="CH81">
        <f t="shared" si="1064"/>
        <v>0.95704711935955278</v>
      </c>
      <c r="CI81">
        <f t="shared" si="1064"/>
        <v>0.96533960950671649</v>
      </c>
      <c r="CJ81">
        <f t="shared" si="1064"/>
        <v>0.9735634748123928</v>
      </c>
      <c r="CK81">
        <f t="shared" si="1064"/>
        <v>0.98171870277860374</v>
      </c>
      <c r="CL81">
        <f t="shared" si="1064"/>
        <v>0.98980530268532463</v>
      </c>
      <c r="CM81">
        <f t="shared" si="1064"/>
        <v>0.99782330478109216</v>
      </c>
      <c r="CN81">
        <f t="shared" si="1064"/>
        <v>1</v>
      </c>
      <c r="CO81">
        <f t="shared" si="1064"/>
        <v>1</v>
      </c>
      <c r="CP81">
        <f t="shared" si="1064"/>
        <v>1</v>
      </c>
      <c r="CQ81">
        <f t="shared" si="1064"/>
        <v>1</v>
      </c>
      <c r="CR81">
        <f t="shared" si="1064"/>
        <v>1</v>
      </c>
      <c r="CS81">
        <f t="shared" si="1064"/>
        <v>1</v>
      </c>
      <c r="CT81">
        <f t="shared" si="1064"/>
        <v>1</v>
      </c>
      <c r="CU81">
        <f t="shared" si="1064"/>
        <v>1</v>
      </c>
      <c r="CV81">
        <f t="shared" si="1064"/>
        <v>1</v>
      </c>
      <c r="CW81">
        <f t="shared" si="1064"/>
        <v>1</v>
      </c>
      <c r="CX81">
        <f t="shared" si="1064"/>
        <v>1</v>
      </c>
      <c r="CY81">
        <f t="shared" si="1064"/>
        <v>1</v>
      </c>
      <c r="CZ81">
        <f t="shared" si="1064"/>
        <v>1</v>
      </c>
      <c r="DA81">
        <f t="shared" si="1064"/>
        <v>1</v>
      </c>
      <c r="DB81">
        <f t="shared" si="1064"/>
        <v>1</v>
      </c>
      <c r="DC81">
        <f t="shared" si="1064"/>
        <v>1</v>
      </c>
      <c r="DD81">
        <f t="shared" si="1064"/>
        <v>1</v>
      </c>
      <c r="DE81">
        <f t="shared" si="1064"/>
        <v>1</v>
      </c>
      <c r="DF81">
        <f t="shared" si="1064"/>
        <v>1</v>
      </c>
      <c r="DG81">
        <f t="shared" si="1064"/>
        <v>1</v>
      </c>
      <c r="DH81">
        <f t="shared" si="1064"/>
        <v>1</v>
      </c>
      <c r="DI81">
        <f t="shared" si="1064"/>
        <v>1</v>
      </c>
      <c r="DJ81">
        <f t="shared" si="1064"/>
        <v>1</v>
      </c>
      <c r="DK81">
        <f t="shared" si="1064"/>
        <v>1</v>
      </c>
      <c r="DL81">
        <f t="shared" si="1064"/>
        <v>1</v>
      </c>
      <c r="DM81">
        <f t="shared" si="1064"/>
        <v>1</v>
      </c>
      <c r="DN81">
        <f t="shared" si="1064"/>
        <v>1</v>
      </c>
      <c r="DO81">
        <f t="shared" si="1064"/>
        <v>1</v>
      </c>
      <c r="DP81">
        <f t="shared" si="1064"/>
        <v>1</v>
      </c>
      <c r="DQ81">
        <f t="shared" si="1064"/>
        <v>1</v>
      </c>
      <c r="DR81">
        <f t="shared" si="1064"/>
        <v>1</v>
      </c>
      <c r="DS81">
        <f t="shared" si="1064"/>
        <v>1</v>
      </c>
      <c r="DT81">
        <f t="shared" si="1064"/>
        <v>1</v>
      </c>
      <c r="DU81">
        <f t="shared" si="1064"/>
        <v>1</v>
      </c>
      <c r="DV81">
        <f t="shared" si="1064"/>
        <v>1</v>
      </c>
      <c r="DW81">
        <f t="shared" si="1064"/>
        <v>1</v>
      </c>
      <c r="DX81">
        <f t="shared" si="1064"/>
        <v>1</v>
      </c>
      <c r="DY81">
        <f t="shared" si="1064"/>
        <v>1</v>
      </c>
      <c r="DZ81">
        <f t="shared" si="1064"/>
        <v>1</v>
      </c>
      <c r="EA81">
        <f t="shared" si="1064"/>
        <v>1</v>
      </c>
      <c r="EB81">
        <f t="shared" ref="EB81:GM81" si="1065">MIN(1,EB47*EB90*EB93)</f>
        <v>1</v>
      </c>
      <c r="EC81">
        <f t="shared" si="1065"/>
        <v>1</v>
      </c>
      <c r="ED81">
        <f t="shared" si="1065"/>
        <v>1</v>
      </c>
      <c r="EE81">
        <f t="shared" si="1065"/>
        <v>1</v>
      </c>
      <c r="EF81">
        <f t="shared" si="1065"/>
        <v>1</v>
      </c>
      <c r="EG81">
        <f t="shared" si="1065"/>
        <v>1</v>
      </c>
      <c r="EH81">
        <f t="shared" si="1065"/>
        <v>1</v>
      </c>
      <c r="EI81">
        <f t="shared" si="1065"/>
        <v>1</v>
      </c>
      <c r="EJ81">
        <f t="shared" si="1065"/>
        <v>1</v>
      </c>
      <c r="EK81">
        <f t="shared" si="1065"/>
        <v>1</v>
      </c>
      <c r="EL81">
        <f t="shared" si="1065"/>
        <v>1</v>
      </c>
      <c r="EM81">
        <f t="shared" si="1065"/>
        <v>1</v>
      </c>
      <c r="EN81">
        <f t="shared" si="1065"/>
        <v>1</v>
      </c>
      <c r="EO81">
        <f t="shared" si="1065"/>
        <v>1</v>
      </c>
      <c r="EP81">
        <f t="shared" si="1065"/>
        <v>1</v>
      </c>
      <c r="EQ81">
        <f t="shared" si="1065"/>
        <v>1</v>
      </c>
      <c r="ER81">
        <f t="shared" si="1065"/>
        <v>1</v>
      </c>
      <c r="ES81">
        <f t="shared" si="1065"/>
        <v>1</v>
      </c>
      <c r="ET81">
        <f t="shared" si="1065"/>
        <v>1</v>
      </c>
      <c r="EU81">
        <f t="shared" si="1065"/>
        <v>1</v>
      </c>
      <c r="EV81">
        <f t="shared" si="1065"/>
        <v>1</v>
      </c>
      <c r="EW81">
        <f t="shared" si="1065"/>
        <v>1</v>
      </c>
      <c r="EX81">
        <f t="shared" si="1065"/>
        <v>1</v>
      </c>
      <c r="EY81">
        <f t="shared" si="1065"/>
        <v>1</v>
      </c>
      <c r="EZ81">
        <f t="shared" si="1065"/>
        <v>1</v>
      </c>
      <c r="FA81">
        <f t="shared" si="1065"/>
        <v>1</v>
      </c>
      <c r="FB81">
        <f t="shared" si="1065"/>
        <v>1</v>
      </c>
      <c r="FC81">
        <f t="shared" si="1065"/>
        <v>1</v>
      </c>
      <c r="FD81">
        <f t="shared" si="1065"/>
        <v>1</v>
      </c>
      <c r="FE81">
        <f t="shared" si="1065"/>
        <v>1</v>
      </c>
      <c r="FF81">
        <f t="shared" si="1065"/>
        <v>1</v>
      </c>
      <c r="FG81">
        <f t="shared" si="1065"/>
        <v>1</v>
      </c>
      <c r="FH81">
        <f t="shared" si="1065"/>
        <v>1</v>
      </c>
      <c r="FI81">
        <f t="shared" si="1065"/>
        <v>1</v>
      </c>
      <c r="FJ81">
        <f t="shared" si="1065"/>
        <v>1</v>
      </c>
      <c r="FK81">
        <f t="shared" si="1065"/>
        <v>1</v>
      </c>
      <c r="FL81">
        <f t="shared" si="1065"/>
        <v>1</v>
      </c>
      <c r="FM81">
        <f t="shared" si="1065"/>
        <v>1</v>
      </c>
      <c r="FN81">
        <f t="shared" si="1065"/>
        <v>1</v>
      </c>
      <c r="FO81">
        <f t="shared" si="1065"/>
        <v>1</v>
      </c>
      <c r="FP81">
        <f t="shared" si="1065"/>
        <v>1</v>
      </c>
      <c r="FQ81">
        <f t="shared" si="1065"/>
        <v>1</v>
      </c>
      <c r="FR81">
        <f t="shared" si="1065"/>
        <v>1</v>
      </c>
      <c r="FS81">
        <f t="shared" si="1065"/>
        <v>1</v>
      </c>
      <c r="FT81">
        <f t="shared" si="1065"/>
        <v>1</v>
      </c>
      <c r="FU81">
        <f t="shared" si="1065"/>
        <v>1</v>
      </c>
      <c r="FV81">
        <f t="shared" si="1065"/>
        <v>1</v>
      </c>
      <c r="FW81">
        <f t="shared" si="1065"/>
        <v>1</v>
      </c>
      <c r="FX81">
        <f t="shared" si="1065"/>
        <v>1</v>
      </c>
      <c r="FY81">
        <f t="shared" si="1065"/>
        <v>1</v>
      </c>
      <c r="FZ81">
        <f t="shared" si="1065"/>
        <v>1</v>
      </c>
      <c r="GA81">
        <f t="shared" si="1065"/>
        <v>1</v>
      </c>
      <c r="GB81">
        <f t="shared" si="1065"/>
        <v>1</v>
      </c>
      <c r="GC81">
        <f t="shared" si="1065"/>
        <v>1</v>
      </c>
      <c r="GD81">
        <f t="shared" si="1065"/>
        <v>1</v>
      </c>
      <c r="GE81">
        <f t="shared" si="1065"/>
        <v>1</v>
      </c>
      <c r="GF81">
        <f t="shared" si="1065"/>
        <v>1</v>
      </c>
      <c r="GG81">
        <f t="shared" si="1065"/>
        <v>1</v>
      </c>
      <c r="GH81">
        <f t="shared" si="1065"/>
        <v>1</v>
      </c>
      <c r="GI81">
        <f t="shared" si="1065"/>
        <v>1</v>
      </c>
      <c r="GJ81">
        <f t="shared" si="1065"/>
        <v>1</v>
      </c>
      <c r="GK81">
        <f t="shared" si="1065"/>
        <v>1</v>
      </c>
      <c r="GL81">
        <f t="shared" si="1065"/>
        <v>1</v>
      </c>
      <c r="GM81">
        <f t="shared" si="1065"/>
        <v>1</v>
      </c>
      <c r="GN81">
        <f t="shared" ref="GN81:IV81" si="1066">MIN(1,GN47*GN90*GN93)</f>
        <v>1</v>
      </c>
      <c r="GO81">
        <f t="shared" si="1066"/>
        <v>1</v>
      </c>
      <c r="GP81">
        <f t="shared" si="1066"/>
        <v>1</v>
      </c>
      <c r="GQ81">
        <f t="shared" si="1066"/>
        <v>1</v>
      </c>
      <c r="GR81">
        <f t="shared" si="1066"/>
        <v>1</v>
      </c>
      <c r="GS81">
        <f t="shared" si="1066"/>
        <v>1</v>
      </c>
      <c r="GT81">
        <f t="shared" si="1066"/>
        <v>1</v>
      </c>
      <c r="GU81">
        <f t="shared" si="1066"/>
        <v>1</v>
      </c>
      <c r="GV81">
        <f t="shared" si="1066"/>
        <v>1</v>
      </c>
      <c r="GW81">
        <f t="shared" si="1066"/>
        <v>1</v>
      </c>
      <c r="GX81">
        <f t="shared" si="1066"/>
        <v>1</v>
      </c>
      <c r="GY81">
        <f t="shared" si="1066"/>
        <v>1</v>
      </c>
      <c r="GZ81">
        <f t="shared" si="1066"/>
        <v>1</v>
      </c>
      <c r="HA81">
        <f t="shared" si="1066"/>
        <v>1</v>
      </c>
      <c r="HB81">
        <f t="shared" si="1066"/>
        <v>1</v>
      </c>
      <c r="HC81">
        <f t="shared" si="1066"/>
        <v>1</v>
      </c>
      <c r="HD81">
        <f t="shared" si="1066"/>
        <v>1</v>
      </c>
      <c r="HE81">
        <f t="shared" si="1066"/>
        <v>1</v>
      </c>
      <c r="HF81">
        <f t="shared" si="1066"/>
        <v>1</v>
      </c>
      <c r="HG81">
        <f t="shared" si="1066"/>
        <v>1</v>
      </c>
      <c r="HH81">
        <f t="shared" si="1066"/>
        <v>1</v>
      </c>
      <c r="HI81">
        <f t="shared" si="1066"/>
        <v>1</v>
      </c>
      <c r="HJ81">
        <f t="shared" si="1066"/>
        <v>1</v>
      </c>
      <c r="HK81">
        <f t="shared" si="1066"/>
        <v>1</v>
      </c>
      <c r="HL81">
        <f t="shared" si="1066"/>
        <v>1</v>
      </c>
      <c r="HM81">
        <f t="shared" si="1066"/>
        <v>1</v>
      </c>
      <c r="HN81">
        <f t="shared" si="1066"/>
        <v>1</v>
      </c>
      <c r="HO81">
        <f t="shared" si="1066"/>
        <v>1</v>
      </c>
      <c r="HP81">
        <f t="shared" si="1066"/>
        <v>1</v>
      </c>
      <c r="HQ81">
        <f t="shared" si="1066"/>
        <v>1</v>
      </c>
      <c r="HR81">
        <f t="shared" si="1066"/>
        <v>1</v>
      </c>
      <c r="HS81">
        <f t="shared" si="1066"/>
        <v>1</v>
      </c>
      <c r="HT81">
        <f t="shared" si="1066"/>
        <v>1</v>
      </c>
      <c r="HU81">
        <f t="shared" si="1066"/>
        <v>1</v>
      </c>
      <c r="HV81">
        <f t="shared" si="1066"/>
        <v>1</v>
      </c>
      <c r="HW81">
        <f t="shared" si="1066"/>
        <v>1</v>
      </c>
      <c r="HX81">
        <f t="shared" si="1066"/>
        <v>1</v>
      </c>
      <c r="HY81">
        <f t="shared" si="1066"/>
        <v>1</v>
      </c>
      <c r="HZ81">
        <f t="shared" si="1066"/>
        <v>1</v>
      </c>
      <c r="IA81">
        <f t="shared" si="1066"/>
        <v>1</v>
      </c>
      <c r="IB81">
        <f t="shared" si="1066"/>
        <v>1</v>
      </c>
      <c r="IC81">
        <f t="shared" si="1066"/>
        <v>1</v>
      </c>
      <c r="ID81">
        <f t="shared" si="1066"/>
        <v>1</v>
      </c>
      <c r="IE81">
        <f t="shared" si="1066"/>
        <v>1</v>
      </c>
      <c r="IF81">
        <f t="shared" si="1066"/>
        <v>1</v>
      </c>
      <c r="IG81">
        <f t="shared" si="1066"/>
        <v>1</v>
      </c>
      <c r="IH81">
        <f t="shared" si="1066"/>
        <v>1</v>
      </c>
      <c r="II81">
        <f t="shared" si="1066"/>
        <v>1</v>
      </c>
      <c r="IJ81">
        <f t="shared" si="1066"/>
        <v>1</v>
      </c>
      <c r="IK81">
        <f t="shared" si="1066"/>
        <v>1</v>
      </c>
      <c r="IL81">
        <f t="shared" si="1066"/>
        <v>1</v>
      </c>
      <c r="IM81">
        <f t="shared" si="1066"/>
        <v>1</v>
      </c>
      <c r="IN81">
        <f t="shared" si="1066"/>
        <v>1</v>
      </c>
      <c r="IO81">
        <f t="shared" si="1066"/>
        <v>1</v>
      </c>
      <c r="IP81">
        <f t="shared" si="1066"/>
        <v>1</v>
      </c>
      <c r="IQ81">
        <f t="shared" si="1066"/>
        <v>1</v>
      </c>
      <c r="IR81">
        <f t="shared" si="1066"/>
        <v>1</v>
      </c>
      <c r="IS81">
        <f t="shared" si="1066"/>
        <v>1</v>
      </c>
      <c r="IT81">
        <f t="shared" si="1066"/>
        <v>1</v>
      </c>
      <c r="IU81">
        <f t="shared" si="1066"/>
        <v>1</v>
      </c>
      <c r="IV81">
        <f t="shared" si="1066"/>
        <v>1</v>
      </c>
    </row>
    <row r="82" spans="1:256" x14ac:dyDescent="0.2">
      <c r="A82" t="s">
        <v>553</v>
      </c>
      <c r="B82">
        <f>MIN(1,B48*1/B89*1/B91*1/B93*1/B94*1/B95*1/B96*1/B98)</f>
        <v>1</v>
      </c>
      <c r="C82">
        <f>MIN(1,C48*1/C89*1/C91*1/C93*1/C94*1/C95*1/C96*1/C98)</f>
        <v>0.81766274545136908</v>
      </c>
      <c r="D82">
        <f t="shared" ref="D82:BO82" si="1067">MIN(1,D48*1/D89*1/D91*1/D93*1/D94*1/D95*1/D96*1/D98)</f>
        <v>0.80711723236110988</v>
      </c>
      <c r="E82">
        <f t="shared" si="1067"/>
        <v>0.79732862656134673</v>
      </c>
      <c r="F82">
        <f t="shared" si="1067"/>
        <v>0.78822200062280867</v>
      </c>
      <c r="G82">
        <f t="shared" si="1067"/>
        <v>0.77973054578079171</v>
      </c>
      <c r="H82">
        <f t="shared" si="1067"/>
        <v>0.77179450576038056</v>
      </c>
      <c r="I82">
        <f t="shared" si="1067"/>
        <v>0.76436027713957422</v>
      </c>
      <c r="J82">
        <f t="shared" si="1067"/>
        <v>1</v>
      </c>
      <c r="K82">
        <f t="shared" si="1067"/>
        <v>1</v>
      </c>
      <c r="L82">
        <f t="shared" si="1067"/>
        <v>1</v>
      </c>
      <c r="M82">
        <f t="shared" si="1067"/>
        <v>1</v>
      </c>
      <c r="N82">
        <f t="shared" si="1067"/>
        <v>1</v>
      </c>
      <c r="O82">
        <f t="shared" si="1067"/>
        <v>1</v>
      </c>
      <c r="P82">
        <f t="shared" si="1067"/>
        <v>1</v>
      </c>
      <c r="Q82">
        <f t="shared" si="1067"/>
        <v>1</v>
      </c>
      <c r="R82">
        <f t="shared" si="1067"/>
        <v>1</v>
      </c>
      <c r="S82">
        <f t="shared" si="1067"/>
        <v>1</v>
      </c>
      <c r="T82">
        <f t="shared" si="1067"/>
        <v>1</v>
      </c>
      <c r="U82">
        <f t="shared" si="1067"/>
        <v>1</v>
      </c>
      <c r="V82">
        <f t="shared" si="1067"/>
        <v>1</v>
      </c>
      <c r="W82">
        <f t="shared" si="1067"/>
        <v>1</v>
      </c>
      <c r="X82">
        <f t="shared" si="1067"/>
        <v>1</v>
      </c>
      <c r="Y82">
        <f t="shared" si="1067"/>
        <v>1</v>
      </c>
      <c r="Z82">
        <f t="shared" si="1067"/>
        <v>1</v>
      </c>
      <c r="AA82">
        <f t="shared" si="1067"/>
        <v>1</v>
      </c>
      <c r="AB82">
        <f t="shared" si="1067"/>
        <v>1</v>
      </c>
      <c r="AC82">
        <f t="shared" si="1067"/>
        <v>1</v>
      </c>
      <c r="AD82">
        <f t="shared" si="1067"/>
        <v>1</v>
      </c>
      <c r="AE82">
        <f t="shared" si="1067"/>
        <v>1</v>
      </c>
      <c r="AF82">
        <f t="shared" si="1067"/>
        <v>1</v>
      </c>
      <c r="AG82">
        <f t="shared" si="1067"/>
        <v>1</v>
      </c>
      <c r="AH82">
        <f t="shared" si="1067"/>
        <v>0.45766540111281451</v>
      </c>
      <c r="AI82">
        <f t="shared" si="1067"/>
        <v>0.46144456433323849</v>
      </c>
      <c r="AJ82">
        <f t="shared" si="1067"/>
        <v>0.46518876700057737</v>
      </c>
      <c r="AK82">
        <f t="shared" si="1067"/>
        <v>0.46889344405033434</v>
      </c>
      <c r="AL82">
        <f t="shared" si="1067"/>
        <v>0.47255418099494684</v>
      </c>
      <c r="AM82">
        <f t="shared" si="1067"/>
        <v>0.47616671495972923</v>
      </c>
      <c r="AN82">
        <f t="shared" si="1067"/>
        <v>0.47972693570236852</v>
      </c>
      <c r="AO82">
        <f t="shared" si="1067"/>
        <v>0.48323088655848767</v>
      </c>
      <c r="AP82">
        <f t="shared" si="1067"/>
        <v>0.97334953052757323</v>
      </c>
      <c r="AQ82">
        <f t="shared" si="1067"/>
        <v>0.94806192952952151</v>
      </c>
      <c r="AR82">
        <f t="shared" si="1067"/>
        <v>0.92392893735101944</v>
      </c>
      <c r="AS82">
        <f t="shared" si="1067"/>
        <v>0.90087208289499965</v>
      </c>
      <c r="AT82">
        <f t="shared" si="1067"/>
        <v>0.87881968616128292</v>
      </c>
      <c r="AU82">
        <f t="shared" si="1067"/>
        <v>0.85770615412333118</v>
      </c>
      <c r="AV82">
        <f t="shared" si="1067"/>
        <v>0.83747136184297588</v>
      </c>
      <c r="AW82">
        <f t="shared" si="1067"/>
        <v>0.8180601070138398</v>
      </c>
      <c r="AX82">
        <f t="shared" si="1067"/>
        <v>4.9010472018516743E-2</v>
      </c>
      <c r="AY82">
        <f t="shared" si="1067"/>
        <v>4.6735356991168431E-2</v>
      </c>
      <c r="AZ82">
        <f t="shared" si="1067"/>
        <v>4.4573139897233306E-2</v>
      </c>
      <c r="BA82">
        <f t="shared" si="1067"/>
        <v>4.251496474834799E-2</v>
      </c>
      <c r="BB82">
        <f t="shared" si="1067"/>
        <v>4.0553023062686586E-2</v>
      </c>
      <c r="BC82">
        <f t="shared" si="1067"/>
        <v>3.8680407175002353E-2</v>
      </c>
      <c r="BD82">
        <f t="shared" si="1067"/>
        <v>3.6890986847646426E-2</v>
      </c>
      <c r="BE82">
        <f t="shared" si="1067"/>
        <v>3.5179304982838708E-2</v>
      </c>
      <c r="BF82">
        <f t="shared" si="1067"/>
        <v>3.354048908318967E-2</v>
      </c>
      <c r="BG82">
        <f t="shared" si="1067"/>
        <v>3.1970175766689549E-2</v>
      </c>
      <c r="BH82">
        <f t="shared" si="1067"/>
        <v>3.0464446159086125E-2</v>
      </c>
      <c r="BI82">
        <f t="shared" si="1067"/>
        <v>2.9019770394162887E-2</v>
      </c>
      <c r="BJ82">
        <f t="shared" si="1067"/>
        <v>2.763313120915448E-2</v>
      </c>
      <c r="BK82">
        <f t="shared" si="1067"/>
        <v>2.6302136098317112E-2</v>
      </c>
      <c r="BL82">
        <f t="shared" si="1067"/>
        <v>2.5024584667431814E-2</v>
      </c>
      <c r="BM82">
        <f t="shared" si="1067"/>
        <v>2.379844191951681E-2</v>
      </c>
      <c r="BN82">
        <f t="shared" si="1067"/>
        <v>2.2631371462891892E-2</v>
      </c>
      <c r="BO82">
        <f t="shared" si="1067"/>
        <v>2.1532235058697481E-2</v>
      </c>
      <c r="BP82">
        <f t="shared" ref="BP82:EA82" si="1068">MIN(1,BP48*1/BP89*1/BP91*1/BP93*1/BP94*1/BP95*1/BP96*1/BP98)</f>
        <v>2.0496471071077441E-2</v>
      </c>
      <c r="BQ82">
        <f t="shared" si="1068"/>
        <v>1.9519689229105693E-2</v>
      </c>
      <c r="BR82">
        <f t="shared" si="1068"/>
        <v>1.8597837011505726E-2</v>
      </c>
      <c r="BS82">
        <f t="shared" si="1068"/>
        <v>1.7727177177150763E-2</v>
      </c>
      <c r="BT82">
        <f t="shared" si="1068"/>
        <v>1.6904287992823303E-2</v>
      </c>
      <c r="BU82">
        <f t="shared" si="1068"/>
        <v>1.6130241649105446E-2</v>
      </c>
      <c r="BV82">
        <f t="shared" si="1068"/>
        <v>1.5403502811986417E-2</v>
      </c>
      <c r="BW82">
        <f t="shared" si="1068"/>
        <v>1.4720490472997077E-2</v>
      </c>
      <c r="BX82">
        <f t="shared" si="1068"/>
        <v>1.4077947906488969E-2</v>
      </c>
      <c r="BY82">
        <f t="shared" si="1068"/>
        <v>1.3472908397759312E-2</v>
      </c>
      <c r="BZ82">
        <f t="shared" si="1068"/>
        <v>1.2902665110584372E-2</v>
      </c>
      <c r="CA82">
        <f t="shared" si="1068"/>
        <v>1.2364744532872637E-2</v>
      </c>
      <c r="CB82">
        <f t="shared" si="1068"/>
        <v>1.1856883023361764E-2</v>
      </c>
      <c r="CC82">
        <f t="shared" si="1068"/>
        <v>1.137700605267559E-2</v>
      </c>
      <c r="CD82">
        <f t="shared" si="1068"/>
        <v>1.0923209791088696E-2</v>
      </c>
      <c r="CE82">
        <f t="shared" si="1068"/>
        <v>1.0493744745002439E-2</v>
      </c>
      <c r="CF82">
        <f t="shared" si="1068"/>
        <v>1.0087001186032488E-2</v>
      </c>
      <c r="CG82">
        <f t="shared" si="1068"/>
        <v>9.7014961520580055E-3</v>
      </c>
      <c r="CH82">
        <f t="shared" si="1068"/>
        <v>9.3358618296624958E-3</v>
      </c>
      <c r="CI82">
        <f t="shared" si="1068"/>
        <v>8.9888351529871808E-3</v>
      </c>
      <c r="CJ82">
        <f t="shared" si="1068"/>
        <v>8.6592484758469517E-3</v>
      </c>
      <c r="CK82">
        <f t="shared" si="1068"/>
        <v>8.3460211926256536E-3</v>
      </c>
      <c r="CL82">
        <f t="shared" si="1068"/>
        <v>8.0481521994683163E-3</v>
      </c>
      <c r="CM82">
        <f t="shared" si="1068"/>
        <v>7.7647131010367722E-3</v>
      </c>
      <c r="CN82">
        <f t="shared" si="1068"/>
        <v>7.4948420799347418E-3</v>
      </c>
      <c r="CO82">
        <f t="shared" si="1068"/>
        <v>7.2385589888548704E-3</v>
      </c>
      <c r="CP82">
        <f t="shared" si="1068"/>
        <v>6.9952964968600503E-3</v>
      </c>
      <c r="CQ82">
        <f t="shared" si="1068"/>
        <v>6.764216746644262E-3</v>
      </c>
      <c r="CR82">
        <f t="shared" si="1068"/>
        <v>6.5445461561782882E-3</v>
      </c>
      <c r="CS82">
        <f t="shared" si="1068"/>
        <v>6.3355697326179317E-3</v>
      </c>
      <c r="CT82">
        <f t="shared" si="1068"/>
        <v>6.1366259535330361E-3</v>
      </c>
      <c r="CU82">
        <f t="shared" si="1068"/>
        <v>5.9471021526363646E-3</v>
      </c>
      <c r="CV82">
        <f t="shared" si="1068"/>
        <v>5.7664303548181023E-3</v>
      </c>
      <c r="CW82">
        <f t="shared" si="1068"/>
        <v>5.5941826333685265E-3</v>
      </c>
      <c r="CX82">
        <f t="shared" si="1068"/>
        <v>5.4299442358463805E-3</v>
      </c>
      <c r="CY82">
        <f t="shared" si="1068"/>
        <v>5.2732466199240926E-3</v>
      </c>
      <c r="CZ82">
        <f t="shared" si="1068"/>
        <v>5.1236538873834685E-3</v>
      </c>
      <c r="DA82">
        <f t="shared" si="1068"/>
        <v>4.9807601660599521E-3</v>
      </c>
      <c r="DB82">
        <f t="shared" si="1068"/>
        <v>4.8441872281293034E-3</v>
      </c>
      <c r="DC82">
        <f t="shared" si="1068"/>
        <v>4.7135823211023661E-3</v>
      </c>
      <c r="DD82">
        <f t="shared" si="1068"/>
        <v>4.588616190480151E-3</v>
      </c>
      <c r="DE82">
        <f t="shared" si="1068"/>
        <v>4.4689812753011737E-3</v>
      </c>
      <c r="DF82">
        <f t="shared" si="1068"/>
        <v>4.3543900598250968E-3</v>
      </c>
      <c r="DG82">
        <f t="shared" si="1068"/>
        <v>4.2445735663747246E-3</v>
      </c>
      <c r="DH82">
        <f t="shared" si="1068"/>
        <v>4.1392799759319534E-3</v>
      </c>
      <c r="DI82">
        <f t="shared" si="1068"/>
        <v>4.0382733644774892E-3</v>
      </c>
      <c r="DJ82">
        <f t="shared" si="1068"/>
        <v>3.9413325443010032E-3</v>
      </c>
      <c r="DK82">
        <f t="shared" si="1068"/>
        <v>3.848250000607074E-3</v>
      </c>
      <c r="DL82">
        <f t="shared" si="1068"/>
        <v>3.7588309147194247E-3</v>
      </c>
      <c r="DM82">
        <f t="shared" si="1068"/>
        <v>3.6728922660559066E-3</v>
      </c>
      <c r="DN82">
        <f t="shared" si="1068"/>
        <v>3.5902620058223364E-3</v>
      </c>
      <c r="DO82">
        <f t="shared" si="1068"/>
        <v>3.5107782960653059E-3</v>
      </c>
      <c r="DP82">
        <f t="shared" si="1068"/>
        <v>3.4342888083426369E-3</v>
      </c>
      <c r="DQ82">
        <f t="shared" si="1068"/>
        <v>3.3606500768230962E-3</v>
      </c>
      <c r="DR82">
        <f t="shared" si="1068"/>
        <v>3.2897269011223796E-3</v>
      </c>
      <c r="DS82">
        <f t="shared" si="1068"/>
        <v>3.2213917946261454E-3</v>
      </c>
      <c r="DT82">
        <f t="shared" si="1068"/>
        <v>3.1555244744492974E-3</v>
      </c>
      <c r="DU82">
        <f t="shared" si="1068"/>
        <v>3.0920113895383386E-3</v>
      </c>
      <c r="DV82">
        <f t="shared" si="1068"/>
        <v>3.030745283745358E-3</v>
      </c>
      <c r="DW82">
        <f t="shared" si="1068"/>
        <v>2.97162479099157E-3</v>
      </c>
      <c r="DX82">
        <f t="shared" si="1068"/>
        <v>2.9145540598991505E-3</v>
      </c>
      <c r="DY82">
        <f t="shared" si="1068"/>
        <v>2.859442405505167E-3</v>
      </c>
      <c r="DZ82">
        <f t="shared" si="1068"/>
        <v>2.8062039858836011E-3</v>
      </c>
      <c r="EA82">
        <f t="shared" si="1068"/>
        <v>2.754757501693132E-3</v>
      </c>
      <c r="EB82">
        <f t="shared" ref="EB82:GM82" si="1069">MIN(1,EB48*1/EB89*1/EB91*1/EB93*1/EB94*1/EB95*1/EB96*1/EB98)</f>
        <v>2.7050259168416723E-3</v>
      </c>
      <c r="EC82">
        <f t="shared" si="1069"/>
        <v>2.6569361986154105E-3</v>
      </c>
      <c r="ED82">
        <f t="shared" si="1069"/>
        <v>2.6104190757622317E-3</v>
      </c>
      <c r="EE82">
        <f t="shared" si="1069"/>
        <v>2.5654088131480935E-3</v>
      </c>
      <c r="EF82">
        <f t="shared" si="1069"/>
        <v>2.5218430017217631E-3</v>
      </c>
      <c r="EG82">
        <f t="shared" si="1069"/>
        <v>2.4796623626293958E-3</v>
      </c>
      <c r="EH82">
        <f t="shared" si="1069"/>
        <v>2.4388105644168405E-3</v>
      </c>
      <c r="EI82">
        <f t="shared" si="1069"/>
        <v>2.3992340523451856E-3</v>
      </c>
      <c r="EJ82">
        <f t="shared" si="1069"/>
        <v>2.360881888924873E-3</v>
      </c>
      <c r="EK82">
        <f t="shared" si="1069"/>
        <v>2.3237056048463858E-3</v>
      </c>
      <c r="EL82">
        <f t="shared" si="1069"/>
        <v>2.2876590595517642E-3</v>
      </c>
      <c r="EM82">
        <f t="shared" si="1069"/>
        <v>2.2526983107516245E-3</v>
      </c>
      <c r="EN82">
        <f t="shared" si="1069"/>
        <v>2.2187814922475734E-3</v>
      </c>
      <c r="EO82">
        <f t="shared" si="1069"/>
        <v>2.1858686994702756E-3</v>
      </c>
      <c r="EP82">
        <f t="shared" si="1069"/>
        <v>2.153921882189542E-3</v>
      </c>
      <c r="EQ82">
        <f t="shared" si="1069"/>
        <v>2.1229047438949644E-3</v>
      </c>
      <c r="ER82">
        <f t="shared" si="1069"/>
        <v>2.0927826473842248E-3</v>
      </c>
      <c r="ES82">
        <f t="shared" si="1069"/>
        <v>2.0635225261315684E-3</v>
      </c>
      <c r="ET82">
        <f t="shared" si="1069"/>
        <v>2.0350928010413418E-3</v>
      </c>
      <c r="EU82">
        <f t="shared" si="1069"/>
        <v>2.0074633022212685E-3</v>
      </c>
      <c r="EV82">
        <f t="shared" si="1069"/>
        <v>1.9806051954374014E-3</v>
      </c>
      <c r="EW82">
        <f t="shared" si="1069"/>
        <v>1.9544909129377845E-3</v>
      </c>
      <c r="EX82">
        <f t="shared" si="1069"/>
        <v>1.9290940883549175E-3</v>
      </c>
      <c r="EY82">
        <f t="shared" si="1069"/>
        <v>1.9043894954182974E-3</v>
      </c>
      <c r="EZ82">
        <f t="shared" si="1069"/>
        <v>1.8803529902278356E-3</v>
      </c>
      <c r="FA82">
        <f t="shared" si="1069"/>
        <v>1.8569614568569011E-3</v>
      </c>
      <c r="FB82">
        <f t="shared" si="1069"/>
        <v>1.8341927560703089E-3</v>
      </c>
      <c r="FC82">
        <f t="shared" si="1069"/>
        <v>1.8120256769578234E-3</v>
      </c>
      <c r="FD82">
        <f t="shared" si="1069"/>
        <v>1.7904398912978218E-3</v>
      </c>
      <c r="FE82">
        <f t="shared" si="1069"/>
        <v>1.7694159104787723E-3</v>
      </c>
      <c r="FF82">
        <f t="shared" si="1069"/>
        <v>1.7489350448181569E-3</v>
      </c>
      <c r="FG82">
        <f t="shared" si="1069"/>
        <v>1.7289793651295835E-3</v>
      </c>
      <c r="FH82">
        <f t="shared" si="1069"/>
        <v>1.7095316663990657E-3</v>
      </c>
      <c r="FI82">
        <f t="shared" si="1069"/>
        <v>1.6905754334409376E-3</v>
      </c>
      <c r="FJ82">
        <f t="shared" si="1069"/>
        <v>1.6720948084126524E-3</v>
      </c>
      <c r="FK82">
        <f t="shared" si="1069"/>
        <v>1.6540745600758396E-3</v>
      </c>
      <c r="FL82">
        <f t="shared" si="1069"/>
        <v>1.6365000546985152E-3</v>
      </c>
      <c r="FM82">
        <f t="shared" si="1069"/>
        <v>1.6193572285003554E-3</v>
      </c>
      <c r="FN82">
        <f t="shared" si="1069"/>
        <v>1.6026325615493607E-3</v>
      </c>
      <c r="FO82">
        <f t="shared" si="1069"/>
        <v>1.5863130530243182E-3</v>
      </c>
      <c r="FP82">
        <f t="shared" si="1069"/>
        <v>1.5703861977629759E-3</v>
      </c>
      <c r="FQ82">
        <f t="shared" si="1069"/>
        <v>1.5548399640210873E-3</v>
      </c>
      <c r="FR82">
        <f t="shared" si="1069"/>
        <v>1.5396627723722521E-3</v>
      </c>
      <c r="FS82">
        <f t="shared" si="1069"/>
        <v>1.5248434756829816E-3</v>
      </c>
      <c r="FT82">
        <f t="shared" si="1069"/>
        <v>1.5103713401015794E-3</v>
      </c>
      <c r="FU82">
        <f t="shared" si="1069"/>
        <v>1.4962360270032893E-3</v>
      </c>
      <c r="FV82">
        <f t="shared" si="1069"/>
        <v>1.4824275758377908E-3</v>
      </c>
      <c r="FW82">
        <f t="shared" si="1069"/>
        <v>1.4689363878284619E-3</v>
      </c>
      <c r="FX82">
        <f t="shared" si="1069"/>
        <v>1.455753210475986E-3</v>
      </c>
      <c r="FY82">
        <f t="shared" si="1069"/>
        <v>1.44286912282177E-3</v>
      </c>
      <c r="FZ82">
        <f t="shared" si="1069"/>
        <v>1.4302755214293955E-3</v>
      </c>
      <c r="GA82">
        <f t="shared" si="1069"/>
        <v>1.417964107044842E-3</v>
      </c>
      <c r="GB82">
        <f t="shared" si="1069"/>
        <v>1.4059268718986015E-3</v>
      </c>
      <c r="GC82">
        <f t="shared" si="1069"/>
        <v>1.3941560876150341E-3</v>
      </c>
      <c r="GD82">
        <f t="shared" si="1069"/>
        <v>1.3826442936963476E-3</v>
      </c>
      <c r="GE82">
        <f t="shared" si="1069"/>
        <v>1.3713842865505732E-3</v>
      </c>
      <c r="GF82">
        <f t="shared" si="1069"/>
        <v>1.3603691090346584E-3</v>
      </c>
      <c r="GG82">
        <f t="shared" si="1069"/>
        <v>1.3495920404855406E-3</v>
      </c>
      <c r="GH82">
        <f t="shared" si="1069"/>
        <v>1.3390465872136186E-3</v>
      </c>
      <c r="GI82">
        <f t="shared" si="1069"/>
        <v>1.3287264734345419E-3</v>
      </c>
      <c r="GJ82">
        <f t="shared" si="1069"/>
        <v>1.3186256326166033E-3</v>
      </c>
      <c r="GK82">
        <f t="shared" si="1069"/>
        <v>1.3087381992223487E-3</v>
      </c>
      <c r="GL82">
        <f t="shared" si="1069"/>
        <v>1.2990585008242136E-3</v>
      </c>
      <c r="GM82">
        <f t="shared" si="1069"/>
        <v>1.2895810505751562E-3</v>
      </c>
      <c r="GN82">
        <f t="shared" ref="GN82:IV82" si="1070">MIN(1,GN48*1/GN89*1/GN91*1/GN93*1/GN94*1/GN95*1/GN96*1/GN98)</f>
        <v>1.2803005400163234E-3</v>
      </c>
      <c r="GO82">
        <f t="shared" si="1070"/>
        <v>1.2712118322047836E-3</v>
      </c>
      <c r="GP82">
        <f t="shared" si="1070"/>
        <v>1.2623099551453273E-3</v>
      </c>
      <c r="GQ82">
        <f t="shared" si="1070"/>
        <v>1.2535900955111987E-3</v>
      </c>
      <c r="GR82">
        <f t="shared" si="1070"/>
        <v>1.2450475926394698E-3</v>
      </c>
      <c r="GS82">
        <f t="shared" si="1070"/>
        <v>1.2366779327875471E-3</v>
      </c>
      <c r="GT82">
        <f t="shared" si="1070"/>
        <v>1.2284767436380438E-3</v>
      </c>
      <c r="GU82">
        <f t="shared" si="1070"/>
        <v>1.2204397890399254E-3</v>
      </c>
      <c r="GV82">
        <f t="shared" si="1070"/>
        <v>1.2125629639745095E-3</v>
      </c>
      <c r="GW82">
        <f t="shared" si="1070"/>
        <v>1.2048422897354949E-3</v>
      </c>
      <c r="GX82">
        <f t="shared" si="1070"/>
        <v>1.1972739093127839E-3</v>
      </c>
      <c r="GY82">
        <f t="shared" si="1070"/>
        <v>1.1898540829703987E-3</v>
      </c>
      <c r="GZ82">
        <f t="shared" si="1070"/>
        <v>1.1825791840093098E-3</v>
      </c>
      <c r="HA82">
        <f t="shared" si="1070"/>
        <v>1.1754456947064625E-3</v>
      </c>
      <c r="HB82">
        <f t="shared" si="1070"/>
        <v>1.1684502024217633E-3</v>
      </c>
      <c r="HC82">
        <f t="shared" si="1070"/>
        <v>1.161589395865195E-3</v>
      </c>
      <c r="HD82">
        <f t="shared" si="1070"/>
        <v>1.1548600615166526E-3</v>
      </c>
      <c r="HE82">
        <f t="shared" si="1070"/>
        <v>1.1482590801914522E-3</v>
      </c>
      <c r="HF82">
        <f t="shared" si="1070"/>
        <v>1.1417834237448423E-3</v>
      </c>
      <c r="HG82">
        <f t="shared" si="1070"/>
        <v>1.1354301519091829E-3</v>
      </c>
      <c r="HH82">
        <f t="shared" si="1070"/>
        <v>1.1291964092577645E-3</v>
      </c>
      <c r="HI82">
        <f t="shared" si="1070"/>
        <v>1.1230794222895639E-3</v>
      </c>
      <c r="HJ82">
        <f t="shared" si="1070"/>
        <v>1.1170764966295025E-3</v>
      </c>
      <c r="HK82">
        <f t="shared" si="1070"/>
        <v>1.1111850143390473E-3</v>
      </c>
      <c r="HL82">
        <f t="shared" si="1070"/>
        <v>1.1054024313322606E-3</v>
      </c>
      <c r="HM82">
        <f t="shared" si="1070"/>
        <v>1.099726274892625E-3</v>
      </c>
      <c r="HN82">
        <f t="shared" si="1070"/>
        <v>1.0941541412862251E-3</v>
      </c>
      <c r="HO82">
        <f t="shared" si="1070"/>
        <v>1.0886836934670594E-3</v>
      </c>
      <c r="HP82">
        <f t="shared" si="1070"/>
        <v>1.0833126588704752E-3</v>
      </c>
      <c r="HQ82">
        <f t="shared" si="1070"/>
        <v>1.0780388272909145E-3</v>
      </c>
      <c r="HR82">
        <f t="shared" si="1070"/>
        <v>1.0728600488403275E-3</v>
      </c>
      <c r="HS82">
        <f t="shared" si="1070"/>
        <v>1.0677742319837979E-3</v>
      </c>
      <c r="HT82">
        <f t="shared" si="1070"/>
        <v>1.0627793416490908E-3</v>
      </c>
      <c r="HU82">
        <f t="shared" si="1070"/>
        <v>1.057873397406976E-3</v>
      </c>
      <c r="HV82">
        <f t="shared" si="1070"/>
        <v>1.0530544717193427E-3</v>
      </c>
      <c r="HW82">
        <f t="shared" si="1070"/>
        <v>1.0483206882522416E-3</v>
      </c>
      <c r="HX82">
        <f t="shared" si="1070"/>
        <v>1.0436702202511628E-3</v>
      </c>
      <c r="HY82">
        <f t="shared" si="1070"/>
        <v>1.0391012889759289E-3</v>
      </c>
      <c r="HZ82">
        <f t="shared" si="1070"/>
        <v>1.0346121621927539E-3</v>
      </c>
      <c r="IA82">
        <f t="shared" si="1070"/>
        <v>1.0302011527210998E-3</v>
      </c>
      <c r="IB82">
        <f t="shared" si="1070"/>
        <v>1.0258666170330825E-3</v>
      </c>
      <c r="IC82">
        <f t="shared" si="1070"/>
        <v>1.0216069539032871E-3</v>
      </c>
      <c r="ID82">
        <f t="shared" si="1070"/>
        <v>1.0174206031069325E-3</v>
      </c>
      <c r="IE82">
        <f t="shared" si="1070"/>
        <v>1.0133060441644376E-3</v>
      </c>
      <c r="IF82">
        <f t="shared" si="1070"/>
        <v>1.0092617951305176E-3</v>
      </c>
      <c r="IG82">
        <f t="shared" si="1070"/>
        <v>1.00528641142602E-3</v>
      </c>
      <c r="IH82">
        <f t="shared" si="1070"/>
        <v>1.0013784847108065E-3</v>
      </c>
      <c r="II82">
        <f t="shared" si="1070"/>
        <v>9.9753664179603693E-4</v>
      </c>
      <c r="IJ82">
        <f t="shared" si="1070"/>
        <v>9.9375954359431028E-4</v>
      </c>
      <c r="IK82">
        <f t="shared" si="1070"/>
        <v>9.9004588410616192E-4</v>
      </c>
      <c r="IL82">
        <f t="shared" si="1070"/>
        <v>9.863943894415036E-4</v>
      </c>
      <c r="IM82">
        <f t="shared" si="1070"/>
        <v>9.8280381687463345E-4</v>
      </c>
      <c r="IN82">
        <f t="shared" si="1070"/>
        <v>9.7927295393152123E-4</v>
      </c>
      <c r="IO82">
        <f t="shared" si="1070"/>
        <v>9.7580061750811905E-4</v>
      </c>
      <c r="IP82">
        <f t="shared" si="1070"/>
        <v>9.7238565301850113E-4</v>
      </c>
      <c r="IQ82">
        <f t="shared" si="1070"/>
        <v>9.6902693357169467E-4</v>
      </c>
      <c r="IR82">
        <f t="shared" si="1070"/>
        <v>9.6572335917610654E-4</v>
      </c>
      <c r="IS82">
        <f t="shared" si="1070"/>
        <v>9.6247385597049992E-4</v>
      </c>
      <c r="IT82">
        <f t="shared" si="1070"/>
        <v>9.5927737548051259E-4</v>
      </c>
      <c r="IU82">
        <f t="shared" si="1070"/>
        <v>9.5613289389976459E-4</v>
      </c>
      <c r="IV82">
        <f t="shared" si="1070"/>
        <v>9.530394113946263E-4</v>
      </c>
    </row>
    <row r="83" spans="1:256" x14ac:dyDescent="0.2">
      <c r="A83" t="s">
        <v>554</v>
      </c>
      <c r="B83">
        <f>MIN(1,B49*B102)</f>
        <v>0.93942077636718746</v>
      </c>
      <c r="C83">
        <f>MIN(1,C49*C102)</f>
        <v>1</v>
      </c>
      <c r="D83">
        <f t="shared" ref="D83:BO83" si="1071">MIN(1,D49*D102)</f>
        <v>1</v>
      </c>
      <c r="E83">
        <f t="shared" si="1071"/>
        <v>1</v>
      </c>
      <c r="F83">
        <f t="shared" si="1071"/>
        <v>1</v>
      </c>
      <c r="G83">
        <f t="shared" si="1071"/>
        <v>1</v>
      </c>
      <c r="H83">
        <f t="shared" si="1071"/>
        <v>1</v>
      </c>
      <c r="I83">
        <f t="shared" si="1071"/>
        <v>1</v>
      </c>
      <c r="J83">
        <f t="shared" si="1071"/>
        <v>1</v>
      </c>
      <c r="K83">
        <f t="shared" si="1071"/>
        <v>1</v>
      </c>
      <c r="L83">
        <f t="shared" si="1071"/>
        <v>1</v>
      </c>
      <c r="M83">
        <f t="shared" si="1071"/>
        <v>1</v>
      </c>
      <c r="N83">
        <f t="shared" si="1071"/>
        <v>1</v>
      </c>
      <c r="O83">
        <f t="shared" si="1071"/>
        <v>1</v>
      </c>
      <c r="P83">
        <f t="shared" si="1071"/>
        <v>1</v>
      </c>
      <c r="Q83">
        <f t="shared" si="1071"/>
        <v>1</v>
      </c>
      <c r="R83">
        <f t="shared" si="1071"/>
        <v>1</v>
      </c>
      <c r="S83">
        <f t="shared" si="1071"/>
        <v>1</v>
      </c>
      <c r="T83">
        <f t="shared" si="1071"/>
        <v>1</v>
      </c>
      <c r="U83">
        <f t="shared" si="1071"/>
        <v>1</v>
      </c>
      <c r="V83">
        <f t="shared" si="1071"/>
        <v>1</v>
      </c>
      <c r="W83">
        <f t="shared" si="1071"/>
        <v>1</v>
      </c>
      <c r="X83">
        <f t="shared" si="1071"/>
        <v>1</v>
      </c>
      <c r="Y83">
        <f t="shared" si="1071"/>
        <v>1</v>
      </c>
      <c r="Z83">
        <f t="shared" si="1071"/>
        <v>1</v>
      </c>
      <c r="AA83">
        <f t="shared" si="1071"/>
        <v>1</v>
      </c>
      <c r="AB83">
        <f t="shared" si="1071"/>
        <v>1</v>
      </c>
      <c r="AC83">
        <f t="shared" si="1071"/>
        <v>1</v>
      </c>
      <c r="AD83">
        <f t="shared" si="1071"/>
        <v>1</v>
      </c>
      <c r="AE83">
        <f t="shared" si="1071"/>
        <v>1</v>
      </c>
      <c r="AF83">
        <f t="shared" si="1071"/>
        <v>1</v>
      </c>
      <c r="AG83">
        <f t="shared" si="1071"/>
        <v>1</v>
      </c>
      <c r="AH83">
        <f t="shared" si="1071"/>
        <v>0.80598724233908814</v>
      </c>
      <c r="AI83">
        <f t="shared" si="1071"/>
        <v>0.80524554218307931</v>
      </c>
      <c r="AJ83">
        <f t="shared" si="1071"/>
        <v>0.80451311327902086</v>
      </c>
      <c r="AK83">
        <f t="shared" si="1071"/>
        <v>0.80378983973626306</v>
      </c>
      <c r="AL83">
        <f t="shared" si="1071"/>
        <v>0.80307560711278991</v>
      </c>
      <c r="AM83">
        <f t="shared" si="1071"/>
        <v>0.80237030239710994</v>
      </c>
      <c r="AN83">
        <f t="shared" si="1071"/>
        <v>0.80167381399037607</v>
      </c>
      <c r="AO83">
        <f t="shared" si="1071"/>
        <v>0.8009860316887264</v>
      </c>
      <c r="AP83">
        <f t="shared" si="1071"/>
        <v>1</v>
      </c>
      <c r="AQ83">
        <f t="shared" si="1071"/>
        <v>1</v>
      </c>
      <c r="AR83">
        <f t="shared" si="1071"/>
        <v>1</v>
      </c>
      <c r="AS83">
        <f t="shared" si="1071"/>
        <v>1</v>
      </c>
      <c r="AT83">
        <f t="shared" si="1071"/>
        <v>1</v>
      </c>
      <c r="AU83">
        <f t="shared" si="1071"/>
        <v>1</v>
      </c>
      <c r="AV83">
        <f t="shared" si="1071"/>
        <v>1</v>
      </c>
      <c r="AW83">
        <f t="shared" si="1071"/>
        <v>1</v>
      </c>
      <c r="AX83">
        <f t="shared" si="1071"/>
        <v>1</v>
      </c>
      <c r="AY83">
        <f t="shared" si="1071"/>
        <v>1</v>
      </c>
      <c r="AZ83">
        <f t="shared" si="1071"/>
        <v>1</v>
      </c>
      <c r="BA83">
        <f t="shared" si="1071"/>
        <v>1</v>
      </c>
      <c r="BB83">
        <f t="shared" si="1071"/>
        <v>1</v>
      </c>
      <c r="BC83">
        <f t="shared" si="1071"/>
        <v>1</v>
      </c>
      <c r="BD83">
        <f t="shared" si="1071"/>
        <v>1</v>
      </c>
      <c r="BE83">
        <f t="shared" si="1071"/>
        <v>1</v>
      </c>
      <c r="BF83">
        <f t="shared" si="1071"/>
        <v>1</v>
      </c>
      <c r="BG83">
        <f t="shared" si="1071"/>
        <v>1</v>
      </c>
      <c r="BH83">
        <f t="shared" si="1071"/>
        <v>1</v>
      </c>
      <c r="BI83">
        <f t="shared" si="1071"/>
        <v>1</v>
      </c>
      <c r="BJ83">
        <f t="shared" si="1071"/>
        <v>1</v>
      </c>
      <c r="BK83">
        <f t="shared" si="1071"/>
        <v>1</v>
      </c>
      <c r="BL83">
        <f t="shared" si="1071"/>
        <v>1</v>
      </c>
      <c r="BM83">
        <f t="shared" si="1071"/>
        <v>1</v>
      </c>
      <c r="BN83">
        <f t="shared" si="1071"/>
        <v>1</v>
      </c>
      <c r="BO83">
        <f t="shared" si="1071"/>
        <v>1</v>
      </c>
      <c r="BP83">
        <f t="shared" ref="BP83:EA83" si="1072">MIN(1,BP49*BP102)</f>
        <v>0.995027542194722</v>
      </c>
      <c r="BQ83">
        <f t="shared" si="1072"/>
        <v>0.98577140213392056</v>
      </c>
      <c r="BR83">
        <f t="shared" si="1072"/>
        <v>0.97663096382387915</v>
      </c>
      <c r="BS83">
        <f t="shared" si="1072"/>
        <v>0.9676047809927133</v>
      </c>
      <c r="BT83">
        <f t="shared" si="1072"/>
        <v>0.95869142544693708</v>
      </c>
      <c r="BU83">
        <f t="shared" si="1072"/>
        <v>0.94988948684548291</v>
      </c>
      <c r="BV83">
        <f t="shared" si="1072"/>
        <v>0.9411975724765469</v>
      </c>
      <c r="BW83">
        <f t="shared" si="1072"/>
        <v>0.93261430703722281</v>
      </c>
      <c r="BX83">
        <f t="shared" si="1072"/>
        <v>0.92413833241589016</v>
      </c>
      <c r="BY83">
        <f t="shared" si="1072"/>
        <v>0.91576830747732418</v>
      </c>
      <c r="BZ83">
        <f t="shared" si="1072"/>
        <v>0.90750290785049026</v>
      </c>
      <c r="CA83">
        <f t="shared" si="1072"/>
        <v>0.89934082571899177</v>
      </c>
      <c r="CB83">
        <f t="shared" si="1072"/>
        <v>0.89128076961413705</v>
      </c>
      <c r="CC83">
        <f t="shared" si="1072"/>
        <v>0.88332146421059288</v>
      </c>
      <c r="CD83">
        <f t="shared" si="1072"/>
        <v>0.87546165012459309</v>
      </c>
      <c r="CE83">
        <f t="shared" si="1072"/>
        <v>0.86770008371466845</v>
      </c>
      <c r="CF83">
        <f t="shared" si="1072"/>
        <v>0.86003553688486767</v>
      </c>
      <c r="CG83">
        <f t="shared" si="1072"/>
        <v>0.85246679689043958</v>
      </c>
      <c r="CH83">
        <f t="shared" si="1072"/>
        <v>0.84499266614594182</v>
      </c>
      <c r="CI83">
        <f t="shared" si="1072"/>
        <v>0.83761196203575006</v>
      </c>
      <c r="CJ83">
        <f t="shared" si="1072"/>
        <v>0.83032351672693583</v>
      </c>
      <c r="CK83">
        <f t="shared" si="1072"/>
        <v>0.82312617698448165</v>
      </c>
      <c r="CL83">
        <f t="shared" si="1072"/>
        <v>0.81601880398880833</v>
      </c>
      <c r="CM83">
        <f t="shared" si="1072"/>
        <v>0.80900027315558098</v>
      </c>
      <c r="CN83">
        <f t="shared" si="1072"/>
        <v>0.80206947395776884</v>
      </c>
      <c r="CO83">
        <f t="shared" si="1072"/>
        <v>0.79522530974992933</v>
      </c>
      <c r="CP83">
        <f t="shared" si="1072"/>
        <v>0.78846669759468779</v>
      </c>
      <c r="CQ83">
        <f t="shared" si="1072"/>
        <v>0.78179256809138697</v>
      </c>
      <c r="CR83">
        <f t="shared" si="1072"/>
        <v>0.77520186520687717</v>
      </c>
      <c r="CS83">
        <f t="shared" si="1072"/>
        <v>0.76869354610842389</v>
      </c>
      <c r="CT83">
        <f t="shared" si="1072"/>
        <v>0.76226658099870115</v>
      </c>
      <c r="CU83">
        <f t="shared" si="1072"/>
        <v>0.75591995295285008</v>
      </c>
      <c r="CV83">
        <f t="shared" si="1072"/>
        <v>0.74965265775757206</v>
      </c>
      <c r="CW83">
        <f t="shared" si="1072"/>
        <v>0.74346370375223514</v>
      </c>
      <c r="CX83">
        <f t="shared" si="1072"/>
        <v>0.7373521116719649</v>
      </c>
      <c r="CY83">
        <f t="shared" si="1072"/>
        <v>0.73131691449269798</v>
      </c>
      <c r="CZ83">
        <f t="shared" si="1072"/>
        <v>0.72535715727817185</v>
      </c>
      <c r="DA83">
        <f t="shared" si="1072"/>
        <v>0.71947189702882752</v>
      </c>
      <c r="DB83">
        <f t="shared" si="1072"/>
        <v>0.71366020253259976</v>
      </c>
      <c r="DC83">
        <f t="shared" si="1072"/>
        <v>0.70792115421757484</v>
      </c>
      <c r="DD83">
        <f t="shared" si="1072"/>
        <v>0.70225384400648772</v>
      </c>
      <c r="DE83">
        <f t="shared" si="1072"/>
        <v>0.69665737517303927</v>
      </c>
      <c r="DF83">
        <f t="shared" si="1072"/>
        <v>0.69113086220000897</v>
      </c>
      <c r="DG83">
        <f t="shared" si="1072"/>
        <v>0.68567343063914155</v>
      </c>
      <c r="DH83">
        <f t="shared" si="1072"/>
        <v>0.68028421697278507</v>
      </c>
      <c r="DI83">
        <f t="shared" si="1072"/>
        <v>0.67496236847725777</v>
      </c>
      <c r="DJ83">
        <f t="shared" si="1072"/>
        <v>0.66970704308792461</v>
      </c>
      <c r="DK83">
        <f t="shared" si="1072"/>
        <v>0.66451740926595826</v>
      </c>
      <c r="DL83">
        <f t="shared" si="1072"/>
        <v>0.65939264586676649</v>
      </c>
      <c r="DM83">
        <f t="shared" si="1072"/>
        <v>0.6543319420100645</v>
      </c>
      <c r="DN83">
        <f t="shared" si="1072"/>
        <v>0.6493344969515713</v>
      </c>
      <c r="DO83">
        <f t="shared" si="1072"/>
        <v>0.64439951995630929</v>
      </c>
      <c r="DP83">
        <f t="shared" si="1072"/>
        <v>0.63952623017348809</v>
      </c>
      <c r="DQ83">
        <f t="shared" si="1072"/>
        <v>0.6347138565129522</v>
      </c>
      <c r="DR83">
        <f t="shared" si="1072"/>
        <v>0.62996163752317291</v>
      </c>
      <c r="DS83">
        <f t="shared" si="1072"/>
        <v>0.62526882127076588</v>
      </c>
      <c r="DT83">
        <f t="shared" si="1072"/>
        <v>0.620634665221514</v>
      </c>
      <c r="DU83">
        <f t="shared" si="1072"/>
        <v>0.6160584361228777</v>
      </c>
      <c r="DV83">
        <f t="shared" si="1072"/>
        <v>0.61153940988797428</v>
      </c>
      <c r="DW83">
        <f t="shared" si="1072"/>
        <v>0.6070768714810072</v>
      </c>
      <c r="DX83">
        <f t="shared" si="1072"/>
        <v>0.60267011480412735</v>
      </c>
      <c r="DY83">
        <f t="shared" si="1072"/>
        <v>0.59831844258570843</v>
      </c>
      <c r="DZ83">
        <f t="shared" si="1072"/>
        <v>0.59402116627001966</v>
      </c>
      <c r="EA83">
        <f t="shared" si="1072"/>
        <v>0.58977760590827699</v>
      </c>
      <c r="EB83">
        <f t="shared" ref="EB83:GM83" si="1073">MIN(1,EB49*EB102)</f>
        <v>0.58558709005105614</v>
      </c>
      <c r="EC83">
        <f t="shared" si="1073"/>
        <v>0.58144895564205057</v>
      </c>
      <c r="ED83">
        <f t="shared" si="1073"/>
        <v>0.57736254791315755</v>
      </c>
      <c r="EE83">
        <f t="shared" si="1073"/>
        <v>0.57332722028087568</v>
      </c>
      <c r="EF83">
        <f t="shared" si="1073"/>
        <v>0.56934233424399749</v>
      </c>
      <c r="EG83">
        <f t="shared" si="1073"/>
        <v>0.56540725928258007</v>
      </c>
      <c r="EH83">
        <f t="shared" si="1073"/>
        <v>0.56152137275818037</v>
      </c>
      <c r="EI83">
        <f t="shared" si="1073"/>
        <v>0.55768405981533586</v>
      </c>
      <c r="EJ83">
        <f t="shared" si="1073"/>
        <v>0.55389471328427675</v>
      </c>
      <c r="EK83">
        <f t="shared" si="1073"/>
        <v>0.55015273358485595</v>
      </c>
      <c r="EL83">
        <f t="shared" si="1073"/>
        <v>0.54645752863167785</v>
      </c>
      <c r="EM83">
        <f t="shared" si="1073"/>
        <v>0.54280851374041461</v>
      </c>
      <c r="EN83">
        <f t="shared" si="1073"/>
        <v>0.53920511153529205</v>
      </c>
      <c r="EO83">
        <f t="shared" si="1073"/>
        <v>0.53564675185773347</v>
      </c>
      <c r="EP83">
        <f t="shared" si="1073"/>
        <v>0.53213287167614443</v>
      </c>
      <c r="EQ83">
        <f t="shared" si="1073"/>
        <v>0.52866291499682527</v>
      </c>
      <c r="ER83">
        <f t="shared" si="1073"/>
        <v>0.52523633277599757</v>
      </c>
      <c r="ES83">
        <f t="shared" si="1073"/>
        <v>0.52185258283293035</v>
      </c>
      <c r="ET83">
        <f t="shared" si="1073"/>
        <v>0.51851112976415137</v>
      </c>
      <c r="EU83">
        <f t="shared" si="1073"/>
        <v>0.51521144485873216</v>
      </c>
      <c r="EV83">
        <f t="shared" si="1073"/>
        <v>0.51195300601463067</v>
      </c>
      <c r="EW83">
        <f t="shared" si="1073"/>
        <v>0.50873529765608028</v>
      </c>
      <c r="EX83">
        <f t="shared" si="1073"/>
        <v>0.50555781065201189</v>
      </c>
      <c r="EY83">
        <f t="shared" si="1073"/>
        <v>0.50242004223549441</v>
      </c>
      <c r="EZ83">
        <f t="shared" si="1073"/>
        <v>0.4993214959241834</v>
      </c>
      <c r="FA83">
        <f t="shared" si="1073"/>
        <v>0.49626168144176375</v>
      </c>
      <c r="FB83">
        <f t="shared" si="1073"/>
        <v>0.49324011464037437</v>
      </c>
      <c r="FC83">
        <f t="shared" si="1073"/>
        <v>0.49025631742400233</v>
      </c>
      <c r="FD83">
        <f t="shared" si="1073"/>
        <v>0.48730981767283488</v>
      </c>
      <c r="FE83">
        <f t="shared" si="1073"/>
        <v>0.48440014916855711</v>
      </c>
      <c r="FF83">
        <f t="shared" si="1073"/>
        <v>0.48152685152058278</v>
      </c>
      <c r="FG83">
        <f t="shared" si="1073"/>
        <v>0.47868947009320811</v>
      </c>
      <c r="FH83">
        <f t="shared" si="1073"/>
        <v>0.47588755593367571</v>
      </c>
      <c r="FI83">
        <f t="shared" si="1073"/>
        <v>0.47312066570113737</v>
      </c>
      <c r="FJ83">
        <f t="shared" si="1073"/>
        <v>0.47038836159650577</v>
      </c>
      <c r="FK83">
        <f t="shared" si="1073"/>
        <v>0.46769021129318217</v>
      </c>
      <c r="FL83">
        <f t="shared" si="1073"/>
        <v>0.46502578786865001</v>
      </c>
      <c r="FM83">
        <f t="shared" si="1073"/>
        <v>0.46239466973692456</v>
      </c>
      <c r="FN83">
        <f t="shared" si="1073"/>
        <v>0.4597964405818456</v>
      </c>
      <c r="FO83">
        <f t="shared" si="1073"/>
        <v>0.45723068929120514</v>
      </c>
      <c r="FP83">
        <f t="shared" si="1073"/>
        <v>0.45469700989169776</v>
      </c>
      <c r="FQ83">
        <f t="shared" si="1073"/>
        <v>0.45219500148468417</v>
      </c>
      <c r="FR83">
        <f t="shared" si="1073"/>
        <v>0.44972426818275818</v>
      </c>
      <c r="FS83">
        <f t="shared" si="1073"/>
        <v>0.44728441904710636</v>
      </c>
      <c r="FT83">
        <f t="shared" si="1073"/>
        <v>0.44487506802565019</v>
      </c>
      <c r="FU83">
        <f t="shared" si="1073"/>
        <v>0.44249583389196223</v>
      </c>
      <c r="FV83">
        <f t="shared" si="1073"/>
        <v>0.44014634018494531</v>
      </c>
      <c r="FW83">
        <f t="shared" si="1073"/>
        <v>0.43782621514926617</v>
      </c>
      <c r="FX83">
        <f t="shared" si="1073"/>
        <v>0.43553509167653298</v>
      </c>
      <c r="FY83">
        <f t="shared" si="1073"/>
        <v>0.4332726072472089</v>
      </c>
      <c r="FZ83">
        <f t="shared" si="1073"/>
        <v>0.43103840387325143</v>
      </c>
      <c r="GA83">
        <f t="shared" si="1073"/>
        <v>0.42883212804146847</v>
      </c>
      <c r="GB83">
        <f t="shared" si="1073"/>
        <v>0.42665343065758271</v>
      </c>
      <c r="GC83">
        <f t="shared" si="1073"/>
        <v>0.42450196699099557</v>
      </c>
      <c r="GD83">
        <f t="shared" si="1073"/>
        <v>0.42237739662024082</v>
      </c>
      <c r="GE83">
        <f t="shared" si="1073"/>
        <v>0.42027938337912041</v>
      </c>
      <c r="GF83">
        <f t="shared" si="1073"/>
        <v>0.41820759530351398</v>
      </c>
      <c r="GG83">
        <f t="shared" si="1073"/>
        <v>0.41616170457885265</v>
      </c>
      <c r="GH83">
        <f t="shared" si="1073"/>
        <v>0.41414138748824969</v>
      </c>
      <c r="GI83">
        <f t="shared" si="1073"/>
        <v>0.41214632436127924</v>
      </c>
      <c r="GJ83">
        <f t="shared" si="1073"/>
        <v>0.4101761995233959</v>
      </c>
      <c r="GK83">
        <f t="shared" si="1073"/>
        <v>0.40823070124598604</v>
      </c>
      <c r="GL83">
        <f t="shared" si="1073"/>
        <v>0.40630952169704382</v>
      </c>
      <c r="GM83">
        <f t="shared" si="1073"/>
        <v>0.40441235689246341</v>
      </c>
      <c r="GN83">
        <f t="shared" ref="GN83:IV83" si="1074">MIN(1,GN49*GN102)</f>
        <v>0.40253890664794029</v>
      </c>
      <c r="GO83">
        <f t="shared" si="1074"/>
        <v>0.40068887453147367</v>
      </c>
      <c r="GP83">
        <f t="shared" si="1074"/>
        <v>0.39886196781646283</v>
      </c>
      <c r="GQ83">
        <f t="shared" si="1074"/>
        <v>0.39705789743538972</v>
      </c>
      <c r="GR83">
        <f t="shared" si="1074"/>
        <v>0.39527637793407999</v>
      </c>
      <c r="GS83">
        <f t="shared" si="1074"/>
        <v>0.39351712742653661</v>
      </c>
      <c r="GT83">
        <f t="shared" si="1074"/>
        <v>0.3917798675503375</v>
      </c>
      <c r="GU83">
        <f t="shared" si="1074"/>
        <v>0.39006432342259095</v>
      </c>
      <c r="GV83">
        <f t="shared" si="1074"/>
        <v>0.38837022359644119</v>
      </c>
      <c r="GW83">
        <f t="shared" si="1074"/>
        <v>0.38669730001811825</v>
      </c>
      <c r="GX83">
        <f t="shared" si="1074"/>
        <v>0.38504528798452442</v>
      </c>
      <c r="GY83">
        <f t="shared" si="1074"/>
        <v>0.3834139261013505</v>
      </c>
      <c r="GZ83">
        <f t="shared" si="1074"/>
        <v>0.38180295624171628</v>
      </c>
      <c r="HA83">
        <f t="shared" si="1074"/>
        <v>0.3802121235053274</v>
      </c>
      <c r="HB83">
        <f t="shared" si="1074"/>
        <v>0.37864117617814347</v>
      </c>
      <c r="HC83">
        <f t="shared" si="1074"/>
        <v>0.37708986569254926</v>
      </c>
      <c r="HD83">
        <f t="shared" si="1074"/>
        <v>0.37555794658802505</v>
      </c>
      <c r="HE83">
        <f t="shared" si="1074"/>
        <v>0.37404517647230739</v>
      </c>
      <c r="HF83">
        <f t="shared" si="1074"/>
        <v>0.3725513159830362</v>
      </c>
      <c r="HG83">
        <f t="shared" si="1074"/>
        <v>0.37107612874988088</v>
      </c>
      <c r="HH83">
        <f t="shared" si="1074"/>
        <v>0.36961938135714001</v>
      </c>
      <c r="HI83">
        <f t="shared" si="1074"/>
        <v>0.36818084330680845</v>
      </c>
      <c r="HJ83">
        <f t="shared" si="1074"/>
        <v>0.36676028698210594</v>
      </c>
      <c r="HK83">
        <f t="shared" si="1074"/>
        <v>0.36535748761146225</v>
      </c>
      <c r="HL83">
        <f t="shared" si="1074"/>
        <v>0.36397222323295159</v>
      </c>
      <c r="HM83">
        <f t="shared" si="1074"/>
        <v>0.36260427465917239</v>
      </c>
      <c r="HN83">
        <f t="shared" si="1074"/>
        <v>0.36125342544256533</v>
      </c>
      <c r="HO83">
        <f t="shared" si="1074"/>
        <v>0.35991946184116597</v>
      </c>
      <c r="HP83">
        <f t="shared" si="1074"/>
        <v>0.35860217278478401</v>
      </c>
      <c r="HQ83">
        <f t="shared" si="1074"/>
        <v>0.35730134984160677</v>
      </c>
      <c r="HR83">
        <f t="shared" si="1074"/>
        <v>0.35601678718521934</v>
      </c>
      <c r="HS83">
        <f t="shared" si="1074"/>
        <v>0.3547482815620368</v>
      </c>
      <c r="HT83">
        <f t="shared" si="1074"/>
        <v>0.35349563225914399</v>
      </c>
      <c r="HU83">
        <f t="shared" si="1074"/>
        <v>0.35225864107253729</v>
      </c>
      <c r="HV83">
        <f t="shared" si="1074"/>
        <v>0.35103711227576317</v>
      </c>
      <c r="HW83">
        <f t="shared" si="1074"/>
        <v>0.3498308525889488</v>
      </c>
      <c r="HX83">
        <f t="shared" si="1074"/>
        <v>0.34863967114821953</v>
      </c>
      <c r="HY83">
        <f t="shared" si="1074"/>
        <v>0.34746337947549943</v>
      </c>
      <c r="HZ83">
        <f t="shared" si="1074"/>
        <v>0.34630179144868833</v>
      </c>
      <c r="IA83">
        <f t="shared" si="1074"/>
        <v>0.34515472327221236</v>
      </c>
      <c r="IB83">
        <f t="shared" si="1074"/>
        <v>0.34402199344794232</v>
      </c>
      <c r="IC83">
        <f t="shared" si="1074"/>
        <v>0.34290342274647573</v>
      </c>
      <c r="ID83">
        <f t="shared" si="1074"/>
        <v>0.34179883417877732</v>
      </c>
      <c r="IE83">
        <f t="shared" si="1074"/>
        <v>0.34070805296817525</v>
      </c>
      <c r="IF83">
        <f t="shared" si="1074"/>
        <v>0.33963090652270572</v>
      </c>
      <c r="IG83">
        <f t="shared" si="1074"/>
        <v>0.33856722440780451</v>
      </c>
      <c r="IH83">
        <f t="shared" si="1074"/>
        <v>0.33751683831933965</v>
      </c>
      <c r="II83">
        <f t="shared" si="1074"/>
        <v>0.33647958205698053</v>
      </c>
      <c r="IJ83">
        <f t="shared" si="1074"/>
        <v>0.33545529149790088</v>
      </c>
      <c r="IK83">
        <f t="shared" si="1074"/>
        <v>0.3344438045708098</v>
      </c>
      <c r="IL83">
        <f t="shared" si="1074"/>
        <v>0.33344496123030726</v>
      </c>
      <c r="IM83">
        <f t="shared" si="1074"/>
        <v>0.33245860343156103</v>
      </c>
      <c r="IN83">
        <f t="shared" si="1074"/>
        <v>0.33148457510529916</v>
      </c>
      <c r="IO83">
        <f t="shared" si="1074"/>
        <v>0.33052272213311562</v>
      </c>
      <c r="IP83">
        <f t="shared" si="1074"/>
        <v>0.32957289232308423</v>
      </c>
      <c r="IQ83">
        <f t="shared" si="1074"/>
        <v>0.32863493538567834</v>
      </c>
      <c r="IR83">
        <f t="shared" si="1074"/>
        <v>0.32770870290998999</v>
      </c>
      <c r="IS83">
        <f t="shared" si="1074"/>
        <v>0.32679404834024778</v>
      </c>
      <c r="IT83">
        <f t="shared" si="1074"/>
        <v>0.32589082695262733</v>
      </c>
      <c r="IU83">
        <f t="shared" si="1074"/>
        <v>0.32499889583235214</v>
      </c>
      <c r="IV83">
        <f t="shared" si="1074"/>
        <v>0.32411811385108041</v>
      </c>
    </row>
    <row r="84" spans="1:256" x14ac:dyDescent="0.2">
      <c r="A84" t="s">
        <v>555</v>
      </c>
      <c r="B84">
        <f>MIN(1,B50)</f>
        <v>1</v>
      </c>
      <c r="C84">
        <f>MIN(1,C50)</f>
        <v>1</v>
      </c>
      <c r="D84">
        <f t="shared" ref="D84:BO84" si="1075">MIN(1,D50)</f>
        <v>1</v>
      </c>
      <c r="E84">
        <f t="shared" si="1075"/>
        <v>1</v>
      </c>
      <c r="F84">
        <f t="shared" si="1075"/>
        <v>1</v>
      </c>
      <c r="G84">
        <f t="shared" si="1075"/>
        <v>1</v>
      </c>
      <c r="H84">
        <f t="shared" si="1075"/>
        <v>1</v>
      </c>
      <c r="I84">
        <f t="shared" si="1075"/>
        <v>1</v>
      </c>
      <c r="J84">
        <f t="shared" si="1075"/>
        <v>0.78378221304046125</v>
      </c>
      <c r="K84">
        <f t="shared" si="1075"/>
        <v>0.78378221304046125</v>
      </c>
      <c r="L84">
        <f t="shared" si="1075"/>
        <v>0.78378221304046125</v>
      </c>
      <c r="M84">
        <f t="shared" si="1075"/>
        <v>0.78378221304046125</v>
      </c>
      <c r="N84">
        <f t="shared" si="1075"/>
        <v>0.78378221304046125</v>
      </c>
      <c r="O84">
        <f t="shared" si="1075"/>
        <v>0.78378221304046125</v>
      </c>
      <c r="P84">
        <f t="shared" si="1075"/>
        <v>0.78378221304046125</v>
      </c>
      <c r="Q84">
        <f t="shared" si="1075"/>
        <v>0.78378221304046125</v>
      </c>
      <c r="R84">
        <f t="shared" si="1075"/>
        <v>1</v>
      </c>
      <c r="S84">
        <f t="shared" si="1075"/>
        <v>1</v>
      </c>
      <c r="T84">
        <f t="shared" si="1075"/>
        <v>1</v>
      </c>
      <c r="U84">
        <f t="shared" si="1075"/>
        <v>1</v>
      </c>
      <c r="V84">
        <f t="shared" si="1075"/>
        <v>1</v>
      </c>
      <c r="W84">
        <f t="shared" si="1075"/>
        <v>1</v>
      </c>
      <c r="X84">
        <f t="shared" si="1075"/>
        <v>1</v>
      </c>
      <c r="Y84">
        <f t="shared" si="1075"/>
        <v>1</v>
      </c>
      <c r="Z84">
        <f t="shared" si="1075"/>
        <v>1</v>
      </c>
      <c r="AA84">
        <f t="shared" si="1075"/>
        <v>1</v>
      </c>
      <c r="AB84">
        <f t="shared" si="1075"/>
        <v>1</v>
      </c>
      <c r="AC84">
        <f t="shared" si="1075"/>
        <v>1</v>
      </c>
      <c r="AD84">
        <f t="shared" si="1075"/>
        <v>1</v>
      </c>
      <c r="AE84">
        <f t="shared" si="1075"/>
        <v>1</v>
      </c>
      <c r="AF84">
        <f t="shared" si="1075"/>
        <v>1</v>
      </c>
      <c r="AG84">
        <f t="shared" si="1075"/>
        <v>1</v>
      </c>
      <c r="AH84">
        <f t="shared" si="1075"/>
        <v>0.42901557922363281</v>
      </c>
      <c r="AI84">
        <f t="shared" si="1075"/>
        <v>0.42901557922363281</v>
      </c>
      <c r="AJ84">
        <f t="shared" si="1075"/>
        <v>0.42901557922363281</v>
      </c>
      <c r="AK84">
        <f t="shared" si="1075"/>
        <v>0.42901557922363281</v>
      </c>
      <c r="AL84">
        <f t="shared" si="1075"/>
        <v>0.42901557922363281</v>
      </c>
      <c r="AM84">
        <f t="shared" si="1075"/>
        <v>0.42901557922363281</v>
      </c>
      <c r="AN84">
        <f t="shared" si="1075"/>
        <v>0.42901557922363281</v>
      </c>
      <c r="AO84">
        <f t="shared" si="1075"/>
        <v>0.42901557922363281</v>
      </c>
      <c r="AP84">
        <f t="shared" si="1075"/>
        <v>0.85803115844726563</v>
      </c>
      <c r="AQ84">
        <f t="shared" si="1075"/>
        <v>0.85803115844726563</v>
      </c>
      <c r="AR84">
        <f t="shared" si="1075"/>
        <v>0.85803115844726563</v>
      </c>
      <c r="AS84">
        <f t="shared" si="1075"/>
        <v>0.85803115844726563</v>
      </c>
      <c r="AT84">
        <f t="shared" si="1075"/>
        <v>0.85803115844726563</v>
      </c>
      <c r="AU84">
        <f t="shared" si="1075"/>
        <v>0.85803115844726563</v>
      </c>
      <c r="AV84">
        <f t="shared" si="1075"/>
        <v>0.85803115844726563</v>
      </c>
      <c r="AW84">
        <f t="shared" si="1075"/>
        <v>0.85803115844726563</v>
      </c>
      <c r="AX84">
        <f t="shared" si="1075"/>
        <v>0.99999890295439675</v>
      </c>
      <c r="AY84">
        <f t="shared" si="1075"/>
        <v>0.99999890295439675</v>
      </c>
      <c r="AZ84">
        <f t="shared" si="1075"/>
        <v>0.99999890295439675</v>
      </c>
      <c r="BA84">
        <f t="shared" si="1075"/>
        <v>0.99999890295439675</v>
      </c>
      <c r="BB84">
        <f t="shared" si="1075"/>
        <v>0.99999890295439675</v>
      </c>
      <c r="BC84">
        <f t="shared" si="1075"/>
        <v>0.99999890295439675</v>
      </c>
      <c r="BD84">
        <f t="shared" si="1075"/>
        <v>0.99999890295439675</v>
      </c>
      <c r="BE84">
        <f t="shared" si="1075"/>
        <v>0.99999890295439675</v>
      </c>
      <c r="BF84">
        <f t="shared" si="1075"/>
        <v>0.99999890295439675</v>
      </c>
      <c r="BG84">
        <f t="shared" si="1075"/>
        <v>0.99999890295439675</v>
      </c>
      <c r="BH84">
        <f t="shared" si="1075"/>
        <v>0.99999890295439675</v>
      </c>
      <c r="BI84">
        <f t="shared" si="1075"/>
        <v>0.99999890295439675</v>
      </c>
      <c r="BJ84">
        <f t="shared" si="1075"/>
        <v>0.99999890295439675</v>
      </c>
      <c r="BK84">
        <f t="shared" si="1075"/>
        <v>0.99999890295439675</v>
      </c>
      <c r="BL84">
        <f t="shared" si="1075"/>
        <v>0.99999890295439675</v>
      </c>
      <c r="BM84">
        <f t="shared" si="1075"/>
        <v>0.99999890295439675</v>
      </c>
      <c r="BN84">
        <f t="shared" si="1075"/>
        <v>0.99999890295439675</v>
      </c>
      <c r="BO84">
        <f t="shared" si="1075"/>
        <v>0.99999890295439675</v>
      </c>
      <c r="BP84">
        <f t="shared" ref="BP84:EA84" si="1076">MIN(1,BP50)</f>
        <v>0.99999890295439675</v>
      </c>
      <c r="BQ84">
        <f t="shared" si="1076"/>
        <v>0.99999890295439675</v>
      </c>
      <c r="BR84">
        <f t="shared" si="1076"/>
        <v>0.99999890295439675</v>
      </c>
      <c r="BS84">
        <f t="shared" si="1076"/>
        <v>0.99999890295439675</v>
      </c>
      <c r="BT84">
        <f t="shared" si="1076"/>
        <v>0.99999890295439675</v>
      </c>
      <c r="BU84">
        <f t="shared" si="1076"/>
        <v>0.99999890295439675</v>
      </c>
      <c r="BV84">
        <f t="shared" si="1076"/>
        <v>0.99999890295439675</v>
      </c>
      <c r="BW84">
        <f t="shared" si="1076"/>
        <v>0.99999890295439675</v>
      </c>
      <c r="BX84">
        <f t="shared" si="1076"/>
        <v>0.99999890295439675</v>
      </c>
      <c r="BY84">
        <f t="shared" si="1076"/>
        <v>0.99999890295439675</v>
      </c>
      <c r="BZ84">
        <f t="shared" si="1076"/>
        <v>0.99999890295439675</v>
      </c>
      <c r="CA84">
        <f t="shared" si="1076"/>
        <v>0.99999890295439675</v>
      </c>
      <c r="CB84">
        <f t="shared" si="1076"/>
        <v>0.99999890295439675</v>
      </c>
      <c r="CC84">
        <f t="shared" si="1076"/>
        <v>0.99999890295439675</v>
      </c>
      <c r="CD84">
        <f t="shared" si="1076"/>
        <v>0.99999890295439675</v>
      </c>
      <c r="CE84">
        <f t="shared" si="1076"/>
        <v>0.99999890295439675</v>
      </c>
      <c r="CF84">
        <f t="shared" si="1076"/>
        <v>0.99999890295439675</v>
      </c>
      <c r="CG84">
        <f t="shared" si="1076"/>
        <v>0.99999890295439675</v>
      </c>
      <c r="CH84">
        <f t="shared" si="1076"/>
        <v>0.99999890295439675</v>
      </c>
      <c r="CI84">
        <f t="shared" si="1076"/>
        <v>0.99999890295439675</v>
      </c>
      <c r="CJ84">
        <f t="shared" si="1076"/>
        <v>0.99999890295439675</v>
      </c>
      <c r="CK84">
        <f t="shared" si="1076"/>
        <v>0.99999890295439675</v>
      </c>
      <c r="CL84">
        <f t="shared" si="1076"/>
        <v>0.99999890295439675</v>
      </c>
      <c r="CM84">
        <f t="shared" si="1076"/>
        <v>0.99999890295439675</v>
      </c>
      <c r="CN84">
        <f t="shared" si="1076"/>
        <v>0.99999890295439675</v>
      </c>
      <c r="CO84">
        <f t="shared" si="1076"/>
        <v>0.99999890295439675</v>
      </c>
      <c r="CP84">
        <f t="shared" si="1076"/>
        <v>0.99999890295439675</v>
      </c>
      <c r="CQ84">
        <f t="shared" si="1076"/>
        <v>0.99999890295439675</v>
      </c>
      <c r="CR84">
        <f t="shared" si="1076"/>
        <v>0.99999890295439675</v>
      </c>
      <c r="CS84">
        <f t="shared" si="1076"/>
        <v>0.99999890295439675</v>
      </c>
      <c r="CT84">
        <f t="shared" si="1076"/>
        <v>0.99999890295439675</v>
      </c>
      <c r="CU84">
        <f t="shared" si="1076"/>
        <v>0.99999890295439675</v>
      </c>
      <c r="CV84">
        <f t="shared" si="1076"/>
        <v>0.99999890295439675</v>
      </c>
      <c r="CW84">
        <f t="shared" si="1076"/>
        <v>0.99999890295439675</v>
      </c>
      <c r="CX84">
        <f t="shared" si="1076"/>
        <v>0.99999890295439675</v>
      </c>
      <c r="CY84">
        <f t="shared" si="1076"/>
        <v>0.99999890295439675</v>
      </c>
      <c r="CZ84">
        <f t="shared" si="1076"/>
        <v>0.99999890295439675</v>
      </c>
      <c r="DA84">
        <f t="shared" si="1076"/>
        <v>0.99999890295439675</v>
      </c>
      <c r="DB84">
        <f t="shared" si="1076"/>
        <v>0.99999890295439675</v>
      </c>
      <c r="DC84">
        <f t="shared" si="1076"/>
        <v>0.99999890295439675</v>
      </c>
      <c r="DD84">
        <f t="shared" si="1076"/>
        <v>0.99999890295439675</v>
      </c>
      <c r="DE84">
        <f t="shared" si="1076"/>
        <v>0.99999890295439675</v>
      </c>
      <c r="DF84">
        <f t="shared" si="1076"/>
        <v>0.99999890295439675</v>
      </c>
      <c r="DG84">
        <f t="shared" si="1076"/>
        <v>0.99999890295439675</v>
      </c>
      <c r="DH84">
        <f t="shared" si="1076"/>
        <v>0.99999890295439675</v>
      </c>
      <c r="DI84">
        <f t="shared" si="1076"/>
        <v>0.99999890295439675</v>
      </c>
      <c r="DJ84">
        <f t="shared" si="1076"/>
        <v>0.99999890295439675</v>
      </c>
      <c r="DK84">
        <f t="shared" si="1076"/>
        <v>0.99999890295439675</v>
      </c>
      <c r="DL84">
        <f t="shared" si="1076"/>
        <v>0.99999890295439675</v>
      </c>
      <c r="DM84">
        <f t="shared" si="1076"/>
        <v>0.99999890295439675</v>
      </c>
      <c r="DN84">
        <f t="shared" si="1076"/>
        <v>0.99999890295439675</v>
      </c>
      <c r="DO84">
        <f t="shared" si="1076"/>
        <v>0.99999890295439675</v>
      </c>
      <c r="DP84">
        <f t="shared" si="1076"/>
        <v>0.99999890295439675</v>
      </c>
      <c r="DQ84">
        <f t="shared" si="1076"/>
        <v>0.99999890295439675</v>
      </c>
      <c r="DR84">
        <f t="shared" si="1076"/>
        <v>0.99999890295439675</v>
      </c>
      <c r="DS84">
        <f t="shared" si="1076"/>
        <v>0.99999890295439675</v>
      </c>
      <c r="DT84">
        <f t="shared" si="1076"/>
        <v>0.99999890295439675</v>
      </c>
      <c r="DU84">
        <f t="shared" si="1076"/>
        <v>0.99999890295439675</v>
      </c>
      <c r="DV84">
        <f t="shared" si="1076"/>
        <v>0.99999890295439675</v>
      </c>
      <c r="DW84">
        <f t="shared" si="1076"/>
        <v>0.99999890295439675</v>
      </c>
      <c r="DX84">
        <f t="shared" si="1076"/>
        <v>0.99999890295439675</v>
      </c>
      <c r="DY84">
        <f t="shared" si="1076"/>
        <v>0.99999890295439675</v>
      </c>
      <c r="DZ84">
        <f t="shared" si="1076"/>
        <v>0.99999890295439675</v>
      </c>
      <c r="EA84">
        <f t="shared" si="1076"/>
        <v>0.99999890295439675</v>
      </c>
      <c r="EB84">
        <f t="shared" ref="EB84:GM84" si="1077">MIN(1,EB50)</f>
        <v>0.99999890295439675</v>
      </c>
      <c r="EC84">
        <f t="shared" si="1077"/>
        <v>0.99999890295439675</v>
      </c>
      <c r="ED84">
        <f t="shared" si="1077"/>
        <v>0.99999890295439675</v>
      </c>
      <c r="EE84">
        <f t="shared" si="1077"/>
        <v>0.99999890295439675</v>
      </c>
      <c r="EF84">
        <f t="shared" si="1077"/>
        <v>0.99999890295439675</v>
      </c>
      <c r="EG84">
        <f t="shared" si="1077"/>
        <v>0.99999890295439675</v>
      </c>
      <c r="EH84">
        <f t="shared" si="1077"/>
        <v>0.99999890295439675</v>
      </c>
      <c r="EI84">
        <f t="shared" si="1077"/>
        <v>0.99999890295439675</v>
      </c>
      <c r="EJ84">
        <f t="shared" si="1077"/>
        <v>0.99999890295439675</v>
      </c>
      <c r="EK84">
        <f t="shared" si="1077"/>
        <v>0.99999890295439675</v>
      </c>
      <c r="EL84">
        <f t="shared" si="1077"/>
        <v>0.99999890295439675</v>
      </c>
      <c r="EM84">
        <f t="shared" si="1077"/>
        <v>0.99999890295439675</v>
      </c>
      <c r="EN84">
        <f t="shared" si="1077"/>
        <v>0.99999890295439675</v>
      </c>
      <c r="EO84">
        <f t="shared" si="1077"/>
        <v>0.99999890295439675</v>
      </c>
      <c r="EP84">
        <f t="shared" si="1077"/>
        <v>0.99999890295439675</v>
      </c>
      <c r="EQ84">
        <f t="shared" si="1077"/>
        <v>0.99999890295439675</v>
      </c>
      <c r="ER84">
        <f t="shared" si="1077"/>
        <v>0.99999890295439675</v>
      </c>
      <c r="ES84">
        <f t="shared" si="1077"/>
        <v>0.99999890295439675</v>
      </c>
      <c r="ET84">
        <f t="shared" si="1077"/>
        <v>0.99999890295439675</v>
      </c>
      <c r="EU84">
        <f t="shared" si="1077"/>
        <v>0.99999890295439675</v>
      </c>
      <c r="EV84">
        <f t="shared" si="1077"/>
        <v>0.99999890295439675</v>
      </c>
      <c r="EW84">
        <f t="shared" si="1077"/>
        <v>0.99999890295439675</v>
      </c>
      <c r="EX84">
        <f t="shared" si="1077"/>
        <v>0.99999890295439675</v>
      </c>
      <c r="EY84">
        <f t="shared" si="1077"/>
        <v>0.99999890295439675</v>
      </c>
      <c r="EZ84">
        <f t="shared" si="1077"/>
        <v>0.99999890295439675</v>
      </c>
      <c r="FA84">
        <f t="shared" si="1077"/>
        <v>0.99999890295439675</v>
      </c>
      <c r="FB84">
        <f t="shared" si="1077"/>
        <v>0.99999890295439675</v>
      </c>
      <c r="FC84">
        <f t="shared" si="1077"/>
        <v>0.99999890295439675</v>
      </c>
      <c r="FD84">
        <f t="shared" si="1077"/>
        <v>0.99999890295439675</v>
      </c>
      <c r="FE84">
        <f t="shared" si="1077"/>
        <v>0.99999890295439675</v>
      </c>
      <c r="FF84">
        <f t="shared" si="1077"/>
        <v>0.99999890295439675</v>
      </c>
      <c r="FG84">
        <f t="shared" si="1077"/>
        <v>0.99999890295439675</v>
      </c>
      <c r="FH84">
        <f t="shared" si="1077"/>
        <v>0.99999890295439675</v>
      </c>
      <c r="FI84">
        <f t="shared" si="1077"/>
        <v>0.99999890295439675</v>
      </c>
      <c r="FJ84">
        <f t="shared" si="1077"/>
        <v>0.99999890295439675</v>
      </c>
      <c r="FK84">
        <f t="shared" si="1077"/>
        <v>0.99999890295439675</v>
      </c>
      <c r="FL84">
        <f t="shared" si="1077"/>
        <v>0.99999890295439675</v>
      </c>
      <c r="FM84">
        <f t="shared" si="1077"/>
        <v>0.99999890295439675</v>
      </c>
      <c r="FN84">
        <f t="shared" si="1077"/>
        <v>0.99999890295439675</v>
      </c>
      <c r="FO84">
        <f t="shared" si="1077"/>
        <v>0.99999890295439675</v>
      </c>
      <c r="FP84">
        <f t="shared" si="1077"/>
        <v>0.99999890295439675</v>
      </c>
      <c r="FQ84">
        <f t="shared" si="1077"/>
        <v>0.99999890295439675</v>
      </c>
      <c r="FR84">
        <f t="shared" si="1077"/>
        <v>0.99999890295439675</v>
      </c>
      <c r="FS84">
        <f t="shared" si="1077"/>
        <v>0.99999890295439675</v>
      </c>
      <c r="FT84">
        <f t="shared" si="1077"/>
        <v>0.99999890295439675</v>
      </c>
      <c r="FU84">
        <f t="shared" si="1077"/>
        <v>0.99999890295439675</v>
      </c>
      <c r="FV84">
        <f t="shared" si="1077"/>
        <v>0.99999890295439675</v>
      </c>
      <c r="FW84">
        <f t="shared" si="1077"/>
        <v>0.99999890295439675</v>
      </c>
      <c r="FX84">
        <f t="shared" si="1077"/>
        <v>0.99999890295439675</v>
      </c>
      <c r="FY84">
        <f t="shared" si="1077"/>
        <v>0.99999890295439675</v>
      </c>
      <c r="FZ84">
        <f t="shared" si="1077"/>
        <v>0.99999890295439675</v>
      </c>
      <c r="GA84">
        <f t="shared" si="1077"/>
        <v>0.99999890295439675</v>
      </c>
      <c r="GB84">
        <f t="shared" si="1077"/>
        <v>0.99999890295439675</v>
      </c>
      <c r="GC84">
        <f t="shared" si="1077"/>
        <v>0.99999890295439675</v>
      </c>
      <c r="GD84">
        <f t="shared" si="1077"/>
        <v>0.99999890295439675</v>
      </c>
      <c r="GE84">
        <f t="shared" si="1077"/>
        <v>0.99999890295439675</v>
      </c>
      <c r="GF84">
        <f t="shared" si="1077"/>
        <v>0.99999890295439675</v>
      </c>
      <c r="GG84">
        <f t="shared" si="1077"/>
        <v>0.99999890295439675</v>
      </c>
      <c r="GH84">
        <f t="shared" si="1077"/>
        <v>0.99999890295439675</v>
      </c>
      <c r="GI84">
        <f t="shared" si="1077"/>
        <v>0.99999890295439675</v>
      </c>
      <c r="GJ84">
        <f t="shared" si="1077"/>
        <v>0.99999890295439675</v>
      </c>
      <c r="GK84">
        <f t="shared" si="1077"/>
        <v>0.99999890295439675</v>
      </c>
      <c r="GL84">
        <f t="shared" si="1077"/>
        <v>0.99999890295439675</v>
      </c>
      <c r="GM84">
        <f t="shared" si="1077"/>
        <v>0.99999890295439675</v>
      </c>
      <c r="GN84">
        <f t="shared" ref="GN84:IV84" si="1078">MIN(1,GN50)</f>
        <v>0.99999890295439675</v>
      </c>
      <c r="GO84">
        <f t="shared" si="1078"/>
        <v>0.99999890295439675</v>
      </c>
      <c r="GP84">
        <f t="shared" si="1078"/>
        <v>0.99999890295439675</v>
      </c>
      <c r="GQ84">
        <f t="shared" si="1078"/>
        <v>0.99999890295439675</v>
      </c>
      <c r="GR84">
        <f t="shared" si="1078"/>
        <v>0.99999890295439675</v>
      </c>
      <c r="GS84">
        <f t="shared" si="1078"/>
        <v>0.99999890295439675</v>
      </c>
      <c r="GT84">
        <f t="shared" si="1078"/>
        <v>0.99999890295439675</v>
      </c>
      <c r="GU84">
        <f t="shared" si="1078"/>
        <v>0.99999890295439675</v>
      </c>
      <c r="GV84">
        <f t="shared" si="1078"/>
        <v>0.99999890295439675</v>
      </c>
      <c r="GW84">
        <f t="shared" si="1078"/>
        <v>0.99999890295439675</v>
      </c>
      <c r="GX84">
        <f t="shared" si="1078"/>
        <v>0.99999890295439675</v>
      </c>
      <c r="GY84">
        <f t="shared" si="1078"/>
        <v>0.99999890295439675</v>
      </c>
      <c r="GZ84">
        <f t="shared" si="1078"/>
        <v>0.99999890295439675</v>
      </c>
      <c r="HA84">
        <f t="shared" si="1078"/>
        <v>0.99999890295439675</v>
      </c>
      <c r="HB84">
        <f t="shared" si="1078"/>
        <v>0.99999890295439675</v>
      </c>
      <c r="HC84">
        <f t="shared" si="1078"/>
        <v>0.99999890295439675</v>
      </c>
      <c r="HD84">
        <f t="shared" si="1078"/>
        <v>0.99999890295439675</v>
      </c>
      <c r="HE84">
        <f t="shared" si="1078"/>
        <v>0.99999890295439675</v>
      </c>
      <c r="HF84">
        <f t="shared" si="1078"/>
        <v>0.99999890295439675</v>
      </c>
      <c r="HG84">
        <f t="shared" si="1078"/>
        <v>0.99999890295439675</v>
      </c>
      <c r="HH84">
        <f t="shared" si="1078"/>
        <v>0.99999890295439675</v>
      </c>
      <c r="HI84">
        <f t="shared" si="1078"/>
        <v>0.99999890295439675</v>
      </c>
      <c r="HJ84">
        <f t="shared" si="1078"/>
        <v>0.99999890295439675</v>
      </c>
      <c r="HK84">
        <f t="shared" si="1078"/>
        <v>0.99999890295439675</v>
      </c>
      <c r="HL84">
        <f t="shared" si="1078"/>
        <v>0.99999890295439675</v>
      </c>
      <c r="HM84">
        <f t="shared" si="1078"/>
        <v>0.99999890295439675</v>
      </c>
      <c r="HN84">
        <f t="shared" si="1078"/>
        <v>0.99999890295439675</v>
      </c>
      <c r="HO84">
        <f t="shared" si="1078"/>
        <v>0.99999890295439675</v>
      </c>
      <c r="HP84">
        <f t="shared" si="1078"/>
        <v>0.99999890295439675</v>
      </c>
      <c r="HQ84">
        <f t="shared" si="1078"/>
        <v>0.99999890295439675</v>
      </c>
      <c r="HR84">
        <f t="shared" si="1078"/>
        <v>0.99999890295439675</v>
      </c>
      <c r="HS84">
        <f t="shared" si="1078"/>
        <v>0.99999890295439675</v>
      </c>
      <c r="HT84">
        <f t="shared" si="1078"/>
        <v>0.99999890295439675</v>
      </c>
      <c r="HU84">
        <f t="shared" si="1078"/>
        <v>0.99999890295439675</v>
      </c>
      <c r="HV84">
        <f t="shared" si="1078"/>
        <v>0.99999890295439675</v>
      </c>
      <c r="HW84">
        <f t="shared" si="1078"/>
        <v>0.99999890295439675</v>
      </c>
      <c r="HX84">
        <f t="shared" si="1078"/>
        <v>0.99999890295439675</v>
      </c>
      <c r="HY84">
        <f t="shared" si="1078"/>
        <v>0.99999890295439675</v>
      </c>
      <c r="HZ84">
        <f t="shared" si="1078"/>
        <v>0.99999890295439675</v>
      </c>
      <c r="IA84">
        <f t="shared" si="1078"/>
        <v>0.99999890295439675</v>
      </c>
      <c r="IB84">
        <f t="shared" si="1078"/>
        <v>0.99999890295439675</v>
      </c>
      <c r="IC84">
        <f t="shared" si="1078"/>
        <v>0.99999890295439675</v>
      </c>
      <c r="ID84">
        <f t="shared" si="1078"/>
        <v>0.99999890295439675</v>
      </c>
      <c r="IE84">
        <f t="shared" si="1078"/>
        <v>0.99999890295439675</v>
      </c>
      <c r="IF84">
        <f t="shared" si="1078"/>
        <v>0.99999890295439675</v>
      </c>
      <c r="IG84">
        <f t="shared" si="1078"/>
        <v>0.99999890295439675</v>
      </c>
      <c r="IH84">
        <f t="shared" si="1078"/>
        <v>0.99999890295439675</v>
      </c>
      <c r="II84">
        <f t="shared" si="1078"/>
        <v>0.99999890295439675</v>
      </c>
      <c r="IJ84">
        <f t="shared" si="1078"/>
        <v>0.99999890295439675</v>
      </c>
      <c r="IK84">
        <f t="shared" si="1078"/>
        <v>0.99999890295439675</v>
      </c>
      <c r="IL84">
        <f t="shared" si="1078"/>
        <v>0.99999890295439675</v>
      </c>
      <c r="IM84">
        <f t="shared" si="1078"/>
        <v>0.99999890295439675</v>
      </c>
      <c r="IN84">
        <f t="shared" si="1078"/>
        <v>0.99999890295439675</v>
      </c>
      <c r="IO84">
        <f t="shared" si="1078"/>
        <v>0.99999890295439675</v>
      </c>
      <c r="IP84">
        <f t="shared" si="1078"/>
        <v>0.99999890295439675</v>
      </c>
      <c r="IQ84">
        <f t="shared" si="1078"/>
        <v>0.99999890295439675</v>
      </c>
      <c r="IR84">
        <f t="shared" si="1078"/>
        <v>0.99999890295439675</v>
      </c>
      <c r="IS84">
        <f t="shared" si="1078"/>
        <v>0.99999890295439675</v>
      </c>
      <c r="IT84">
        <f t="shared" si="1078"/>
        <v>0.99999890295439675</v>
      </c>
      <c r="IU84">
        <f t="shared" si="1078"/>
        <v>0.99999890295439675</v>
      </c>
      <c r="IV84">
        <f t="shared" si="1078"/>
        <v>0.99999890295439675</v>
      </c>
    </row>
    <row r="85" spans="1:256" x14ac:dyDescent="0.2">
      <c r="A85" t="s">
        <v>556</v>
      </c>
      <c r="B85">
        <f>MIN(1,B51)</f>
        <v>0.37530305113551871</v>
      </c>
      <c r="C85">
        <f>MIN(1,C51)</f>
        <v>0.37530305113551871</v>
      </c>
      <c r="D85">
        <f t="shared" ref="D85:BO85" si="1079">MIN(1,D51)</f>
        <v>0.37530305113551871</v>
      </c>
      <c r="E85">
        <f t="shared" si="1079"/>
        <v>0.37530305113551871</v>
      </c>
      <c r="F85">
        <f t="shared" si="1079"/>
        <v>0.37530305113551871</v>
      </c>
      <c r="G85">
        <f t="shared" si="1079"/>
        <v>0.37530305113551871</v>
      </c>
      <c r="H85">
        <f t="shared" si="1079"/>
        <v>0.37530305113551871</v>
      </c>
      <c r="I85">
        <f t="shared" si="1079"/>
        <v>0.37530305113551871</v>
      </c>
      <c r="J85">
        <f t="shared" si="1079"/>
        <v>0.75060610227103752</v>
      </c>
      <c r="K85">
        <f t="shared" si="1079"/>
        <v>0.75060610227103752</v>
      </c>
      <c r="L85">
        <f t="shared" si="1079"/>
        <v>0.75060610227103752</v>
      </c>
      <c r="M85">
        <f t="shared" si="1079"/>
        <v>0.75060610227103752</v>
      </c>
      <c r="N85">
        <f t="shared" si="1079"/>
        <v>0.75060610227103752</v>
      </c>
      <c r="O85">
        <f t="shared" si="1079"/>
        <v>0.75060610227103752</v>
      </c>
      <c r="P85">
        <f t="shared" si="1079"/>
        <v>0.75060610227103752</v>
      </c>
      <c r="Q85">
        <f t="shared" si="1079"/>
        <v>0.75060610227103752</v>
      </c>
      <c r="R85">
        <f t="shared" si="1079"/>
        <v>0.64659921769035633</v>
      </c>
      <c r="S85">
        <f t="shared" si="1079"/>
        <v>0.64659921769035633</v>
      </c>
      <c r="T85">
        <f t="shared" si="1079"/>
        <v>0.64659921769035633</v>
      </c>
      <c r="U85">
        <f t="shared" si="1079"/>
        <v>0.64659921769035633</v>
      </c>
      <c r="V85">
        <f t="shared" si="1079"/>
        <v>0.64659921769035633</v>
      </c>
      <c r="W85">
        <f t="shared" si="1079"/>
        <v>0.64659921769035633</v>
      </c>
      <c r="X85">
        <f t="shared" si="1079"/>
        <v>0.64659921769035633</v>
      </c>
      <c r="Y85">
        <f t="shared" si="1079"/>
        <v>0.64659921769035633</v>
      </c>
      <c r="Z85">
        <f t="shared" si="1079"/>
        <v>0.53978941844687023</v>
      </c>
      <c r="AA85">
        <f t="shared" si="1079"/>
        <v>0.53978941844687023</v>
      </c>
      <c r="AB85">
        <f t="shared" si="1079"/>
        <v>0.53978941844687023</v>
      </c>
      <c r="AC85">
        <f t="shared" si="1079"/>
        <v>0.53978941844687023</v>
      </c>
      <c r="AD85">
        <f t="shared" si="1079"/>
        <v>0.53978941844687023</v>
      </c>
      <c r="AE85">
        <f t="shared" si="1079"/>
        <v>0.53978941844687023</v>
      </c>
      <c r="AF85">
        <f t="shared" si="1079"/>
        <v>0.53978941844687023</v>
      </c>
      <c r="AG85">
        <f t="shared" si="1079"/>
        <v>0.53978941844687023</v>
      </c>
      <c r="AH85">
        <f t="shared" si="1079"/>
        <v>0.46971038818359373</v>
      </c>
      <c r="AI85">
        <f t="shared" si="1079"/>
        <v>0.46971038818359373</v>
      </c>
      <c r="AJ85">
        <f t="shared" si="1079"/>
        <v>0.46971038818359373</v>
      </c>
      <c r="AK85">
        <f t="shared" si="1079"/>
        <v>0.46971038818359373</v>
      </c>
      <c r="AL85">
        <f t="shared" si="1079"/>
        <v>0.46971038818359373</v>
      </c>
      <c r="AM85">
        <f t="shared" si="1079"/>
        <v>0.46971038818359373</v>
      </c>
      <c r="AN85">
        <f t="shared" si="1079"/>
        <v>0.46971038818359373</v>
      </c>
      <c r="AO85">
        <f t="shared" si="1079"/>
        <v>0.46971038818359373</v>
      </c>
      <c r="AP85">
        <f t="shared" si="1079"/>
        <v>0.1</v>
      </c>
      <c r="AQ85">
        <f t="shared" si="1079"/>
        <v>0.1</v>
      </c>
      <c r="AR85">
        <f t="shared" si="1079"/>
        <v>0.1</v>
      </c>
      <c r="AS85">
        <f t="shared" si="1079"/>
        <v>0.1</v>
      </c>
      <c r="AT85">
        <f t="shared" si="1079"/>
        <v>0.1</v>
      </c>
      <c r="AU85">
        <f t="shared" si="1079"/>
        <v>0.1</v>
      </c>
      <c r="AV85">
        <f t="shared" si="1079"/>
        <v>0.1</v>
      </c>
      <c r="AW85">
        <f t="shared" si="1079"/>
        <v>0.1</v>
      </c>
      <c r="AX85">
        <f t="shared" si="1079"/>
        <v>0.1</v>
      </c>
      <c r="AY85">
        <f t="shared" si="1079"/>
        <v>0.1</v>
      </c>
      <c r="AZ85">
        <f t="shared" si="1079"/>
        <v>0.1</v>
      </c>
      <c r="BA85">
        <f t="shared" si="1079"/>
        <v>0.1</v>
      </c>
      <c r="BB85">
        <f t="shared" si="1079"/>
        <v>0.1</v>
      </c>
      <c r="BC85">
        <f t="shared" si="1079"/>
        <v>0.1</v>
      </c>
      <c r="BD85">
        <f t="shared" si="1079"/>
        <v>0.1</v>
      </c>
      <c r="BE85">
        <f t="shared" si="1079"/>
        <v>0.1</v>
      </c>
      <c r="BF85">
        <f t="shared" si="1079"/>
        <v>0.1</v>
      </c>
      <c r="BG85">
        <f t="shared" si="1079"/>
        <v>0.1</v>
      </c>
      <c r="BH85">
        <f t="shared" si="1079"/>
        <v>0.1</v>
      </c>
      <c r="BI85">
        <f t="shared" si="1079"/>
        <v>0.1</v>
      </c>
      <c r="BJ85">
        <f t="shared" si="1079"/>
        <v>0.1</v>
      </c>
      <c r="BK85">
        <f t="shared" si="1079"/>
        <v>0.1</v>
      </c>
      <c r="BL85">
        <f t="shared" si="1079"/>
        <v>0.1</v>
      </c>
      <c r="BM85">
        <f t="shared" si="1079"/>
        <v>0.1</v>
      </c>
      <c r="BN85">
        <f t="shared" si="1079"/>
        <v>0.1</v>
      </c>
      <c r="BO85">
        <f t="shared" si="1079"/>
        <v>0.1</v>
      </c>
      <c r="BP85">
        <f t="shared" ref="BP85:EA85" si="1080">MIN(1,BP51)</f>
        <v>0.1</v>
      </c>
      <c r="BQ85">
        <f t="shared" si="1080"/>
        <v>0.1</v>
      </c>
      <c r="BR85">
        <f t="shared" si="1080"/>
        <v>0.1</v>
      </c>
      <c r="BS85">
        <f t="shared" si="1080"/>
        <v>0.1</v>
      </c>
      <c r="BT85">
        <f t="shared" si="1080"/>
        <v>0.1</v>
      </c>
      <c r="BU85">
        <f t="shared" si="1080"/>
        <v>0.1</v>
      </c>
      <c r="BV85">
        <f t="shared" si="1080"/>
        <v>0.1</v>
      </c>
      <c r="BW85">
        <f t="shared" si="1080"/>
        <v>0.1</v>
      </c>
      <c r="BX85">
        <f t="shared" si="1080"/>
        <v>0.1</v>
      </c>
      <c r="BY85">
        <f t="shared" si="1080"/>
        <v>0.1</v>
      </c>
      <c r="BZ85">
        <f t="shared" si="1080"/>
        <v>0.1</v>
      </c>
      <c r="CA85">
        <f t="shared" si="1080"/>
        <v>0.1</v>
      </c>
      <c r="CB85">
        <f t="shared" si="1080"/>
        <v>0.1</v>
      </c>
      <c r="CC85">
        <f t="shared" si="1080"/>
        <v>0.1</v>
      </c>
      <c r="CD85">
        <f t="shared" si="1080"/>
        <v>0.1</v>
      </c>
      <c r="CE85">
        <f t="shared" si="1080"/>
        <v>0.1</v>
      </c>
      <c r="CF85">
        <f t="shared" si="1080"/>
        <v>0.1</v>
      </c>
      <c r="CG85">
        <f t="shared" si="1080"/>
        <v>0.1</v>
      </c>
      <c r="CH85">
        <f t="shared" si="1080"/>
        <v>0.1</v>
      </c>
      <c r="CI85">
        <f t="shared" si="1080"/>
        <v>0.1</v>
      </c>
      <c r="CJ85">
        <f t="shared" si="1080"/>
        <v>0.1</v>
      </c>
      <c r="CK85">
        <f t="shared" si="1080"/>
        <v>0.1</v>
      </c>
      <c r="CL85">
        <f t="shared" si="1080"/>
        <v>0.1</v>
      </c>
      <c r="CM85">
        <f t="shared" si="1080"/>
        <v>0.1</v>
      </c>
      <c r="CN85">
        <f t="shared" si="1080"/>
        <v>0.1</v>
      </c>
      <c r="CO85">
        <f t="shared" si="1080"/>
        <v>0.1</v>
      </c>
      <c r="CP85">
        <f t="shared" si="1080"/>
        <v>0.1</v>
      </c>
      <c r="CQ85">
        <f t="shared" si="1080"/>
        <v>0.1</v>
      </c>
      <c r="CR85">
        <f t="shared" si="1080"/>
        <v>0.1</v>
      </c>
      <c r="CS85">
        <f t="shared" si="1080"/>
        <v>0.1</v>
      </c>
      <c r="CT85">
        <f t="shared" si="1080"/>
        <v>0.1</v>
      </c>
      <c r="CU85">
        <f t="shared" si="1080"/>
        <v>0.1</v>
      </c>
      <c r="CV85">
        <f t="shared" si="1080"/>
        <v>0.1</v>
      </c>
      <c r="CW85">
        <f t="shared" si="1080"/>
        <v>0.1</v>
      </c>
      <c r="CX85">
        <f t="shared" si="1080"/>
        <v>0.1</v>
      </c>
      <c r="CY85">
        <f t="shared" si="1080"/>
        <v>0.1</v>
      </c>
      <c r="CZ85">
        <f t="shared" si="1080"/>
        <v>0.1</v>
      </c>
      <c r="DA85">
        <f t="shared" si="1080"/>
        <v>0.1</v>
      </c>
      <c r="DB85">
        <f t="shared" si="1080"/>
        <v>0.1</v>
      </c>
      <c r="DC85">
        <f t="shared" si="1080"/>
        <v>0.1</v>
      </c>
      <c r="DD85">
        <f t="shared" si="1080"/>
        <v>0.1</v>
      </c>
      <c r="DE85">
        <f t="shared" si="1080"/>
        <v>0.1</v>
      </c>
      <c r="DF85">
        <f t="shared" si="1080"/>
        <v>0.1</v>
      </c>
      <c r="DG85">
        <f t="shared" si="1080"/>
        <v>0.1</v>
      </c>
      <c r="DH85">
        <f t="shared" si="1080"/>
        <v>0.1</v>
      </c>
      <c r="DI85">
        <f t="shared" si="1080"/>
        <v>0.1</v>
      </c>
      <c r="DJ85">
        <f t="shared" si="1080"/>
        <v>0.1</v>
      </c>
      <c r="DK85">
        <f t="shared" si="1080"/>
        <v>0.1</v>
      </c>
      <c r="DL85">
        <f t="shared" si="1080"/>
        <v>0.1</v>
      </c>
      <c r="DM85">
        <f t="shared" si="1080"/>
        <v>0.1</v>
      </c>
      <c r="DN85">
        <f t="shared" si="1080"/>
        <v>0.1</v>
      </c>
      <c r="DO85">
        <f t="shared" si="1080"/>
        <v>0.1</v>
      </c>
      <c r="DP85">
        <f t="shared" si="1080"/>
        <v>0.1</v>
      </c>
      <c r="DQ85">
        <f t="shared" si="1080"/>
        <v>0.1</v>
      </c>
      <c r="DR85">
        <f t="shared" si="1080"/>
        <v>0.1</v>
      </c>
      <c r="DS85">
        <f t="shared" si="1080"/>
        <v>0.1</v>
      </c>
      <c r="DT85">
        <f t="shared" si="1080"/>
        <v>0.1</v>
      </c>
      <c r="DU85">
        <f t="shared" si="1080"/>
        <v>0.1</v>
      </c>
      <c r="DV85">
        <f t="shared" si="1080"/>
        <v>0.1</v>
      </c>
      <c r="DW85">
        <f t="shared" si="1080"/>
        <v>0.1</v>
      </c>
      <c r="DX85">
        <f t="shared" si="1080"/>
        <v>0.1</v>
      </c>
      <c r="DY85">
        <f t="shared" si="1080"/>
        <v>0.1</v>
      </c>
      <c r="DZ85">
        <f t="shared" si="1080"/>
        <v>0.1</v>
      </c>
      <c r="EA85">
        <f t="shared" si="1080"/>
        <v>0.1</v>
      </c>
      <c r="EB85">
        <f t="shared" ref="EB85:GM85" si="1081">MIN(1,EB51)</f>
        <v>0.1</v>
      </c>
      <c r="EC85">
        <f t="shared" si="1081"/>
        <v>0.1</v>
      </c>
      <c r="ED85">
        <f t="shared" si="1081"/>
        <v>0.1</v>
      </c>
      <c r="EE85">
        <f t="shared" si="1081"/>
        <v>0.1</v>
      </c>
      <c r="EF85">
        <f t="shared" si="1081"/>
        <v>0.1</v>
      </c>
      <c r="EG85">
        <f t="shared" si="1081"/>
        <v>0.1</v>
      </c>
      <c r="EH85">
        <f t="shared" si="1081"/>
        <v>0.1</v>
      </c>
      <c r="EI85">
        <f t="shared" si="1081"/>
        <v>0.1</v>
      </c>
      <c r="EJ85">
        <f t="shared" si="1081"/>
        <v>0.1</v>
      </c>
      <c r="EK85">
        <f t="shared" si="1081"/>
        <v>0.1</v>
      </c>
      <c r="EL85">
        <f t="shared" si="1081"/>
        <v>0.1</v>
      </c>
      <c r="EM85">
        <f t="shared" si="1081"/>
        <v>0.1</v>
      </c>
      <c r="EN85">
        <f t="shared" si="1081"/>
        <v>0.1</v>
      </c>
      <c r="EO85">
        <f t="shared" si="1081"/>
        <v>0.1</v>
      </c>
      <c r="EP85">
        <f t="shared" si="1081"/>
        <v>0.1</v>
      </c>
      <c r="EQ85">
        <f t="shared" si="1081"/>
        <v>0.1</v>
      </c>
      <c r="ER85">
        <f t="shared" si="1081"/>
        <v>0.1</v>
      </c>
      <c r="ES85">
        <f t="shared" si="1081"/>
        <v>0.1</v>
      </c>
      <c r="ET85">
        <f t="shared" si="1081"/>
        <v>0.1</v>
      </c>
      <c r="EU85">
        <f t="shared" si="1081"/>
        <v>0.1</v>
      </c>
      <c r="EV85">
        <f t="shared" si="1081"/>
        <v>0.1</v>
      </c>
      <c r="EW85">
        <f t="shared" si="1081"/>
        <v>0.1</v>
      </c>
      <c r="EX85">
        <f t="shared" si="1081"/>
        <v>0.1</v>
      </c>
      <c r="EY85">
        <f t="shared" si="1081"/>
        <v>0.1</v>
      </c>
      <c r="EZ85">
        <f t="shared" si="1081"/>
        <v>0.1</v>
      </c>
      <c r="FA85">
        <f t="shared" si="1081"/>
        <v>0.1</v>
      </c>
      <c r="FB85">
        <f t="shared" si="1081"/>
        <v>0.1</v>
      </c>
      <c r="FC85">
        <f t="shared" si="1081"/>
        <v>0.1</v>
      </c>
      <c r="FD85">
        <f t="shared" si="1081"/>
        <v>0.1</v>
      </c>
      <c r="FE85">
        <f t="shared" si="1081"/>
        <v>0.1</v>
      </c>
      <c r="FF85">
        <f t="shared" si="1081"/>
        <v>0.1</v>
      </c>
      <c r="FG85">
        <f t="shared" si="1081"/>
        <v>0.1</v>
      </c>
      <c r="FH85">
        <f t="shared" si="1081"/>
        <v>0.1</v>
      </c>
      <c r="FI85">
        <f t="shared" si="1081"/>
        <v>0.1</v>
      </c>
      <c r="FJ85">
        <f t="shared" si="1081"/>
        <v>0.1</v>
      </c>
      <c r="FK85">
        <f t="shared" si="1081"/>
        <v>0.1</v>
      </c>
      <c r="FL85">
        <f t="shared" si="1081"/>
        <v>0.1</v>
      </c>
      <c r="FM85">
        <f t="shared" si="1081"/>
        <v>0.1</v>
      </c>
      <c r="FN85">
        <f t="shared" si="1081"/>
        <v>0.1</v>
      </c>
      <c r="FO85">
        <f t="shared" si="1081"/>
        <v>0.1</v>
      </c>
      <c r="FP85">
        <f t="shared" si="1081"/>
        <v>0.1</v>
      </c>
      <c r="FQ85">
        <f t="shared" si="1081"/>
        <v>0.1</v>
      </c>
      <c r="FR85">
        <f t="shared" si="1081"/>
        <v>0.1</v>
      </c>
      <c r="FS85">
        <f t="shared" si="1081"/>
        <v>0.1</v>
      </c>
      <c r="FT85">
        <f t="shared" si="1081"/>
        <v>0.1</v>
      </c>
      <c r="FU85">
        <f t="shared" si="1081"/>
        <v>0.1</v>
      </c>
      <c r="FV85">
        <f t="shared" si="1081"/>
        <v>0.1</v>
      </c>
      <c r="FW85">
        <f t="shared" si="1081"/>
        <v>0.1</v>
      </c>
      <c r="FX85">
        <f t="shared" si="1081"/>
        <v>0.1</v>
      </c>
      <c r="FY85">
        <f t="shared" si="1081"/>
        <v>0.1</v>
      </c>
      <c r="FZ85">
        <f t="shared" si="1081"/>
        <v>0.1</v>
      </c>
      <c r="GA85">
        <f t="shared" si="1081"/>
        <v>0.1</v>
      </c>
      <c r="GB85">
        <f t="shared" si="1081"/>
        <v>0.1</v>
      </c>
      <c r="GC85">
        <f t="shared" si="1081"/>
        <v>0.1</v>
      </c>
      <c r="GD85">
        <f t="shared" si="1081"/>
        <v>0.1</v>
      </c>
      <c r="GE85">
        <f t="shared" si="1081"/>
        <v>0.1</v>
      </c>
      <c r="GF85">
        <f t="shared" si="1081"/>
        <v>0.1</v>
      </c>
      <c r="GG85">
        <f t="shared" si="1081"/>
        <v>0.1</v>
      </c>
      <c r="GH85">
        <f t="shared" si="1081"/>
        <v>0.1</v>
      </c>
      <c r="GI85">
        <f t="shared" si="1081"/>
        <v>0.1</v>
      </c>
      <c r="GJ85">
        <f t="shared" si="1081"/>
        <v>0.1</v>
      </c>
      <c r="GK85">
        <f t="shared" si="1081"/>
        <v>0.1</v>
      </c>
      <c r="GL85">
        <f t="shared" si="1081"/>
        <v>0.1</v>
      </c>
      <c r="GM85">
        <f t="shared" si="1081"/>
        <v>0.1</v>
      </c>
      <c r="GN85">
        <f t="shared" ref="GN85:IV85" si="1082">MIN(1,GN51)</f>
        <v>0.1</v>
      </c>
      <c r="GO85">
        <f t="shared" si="1082"/>
        <v>0.1</v>
      </c>
      <c r="GP85">
        <f t="shared" si="1082"/>
        <v>0.1</v>
      </c>
      <c r="GQ85">
        <f t="shared" si="1082"/>
        <v>0.1</v>
      </c>
      <c r="GR85">
        <f t="shared" si="1082"/>
        <v>0.1</v>
      </c>
      <c r="GS85">
        <f t="shared" si="1082"/>
        <v>0.1</v>
      </c>
      <c r="GT85">
        <f t="shared" si="1082"/>
        <v>0.1</v>
      </c>
      <c r="GU85">
        <f t="shared" si="1082"/>
        <v>0.1</v>
      </c>
      <c r="GV85">
        <f t="shared" si="1082"/>
        <v>0.1</v>
      </c>
      <c r="GW85">
        <f t="shared" si="1082"/>
        <v>0.1</v>
      </c>
      <c r="GX85">
        <f t="shared" si="1082"/>
        <v>0.1</v>
      </c>
      <c r="GY85">
        <f t="shared" si="1082"/>
        <v>0.1</v>
      </c>
      <c r="GZ85">
        <f t="shared" si="1082"/>
        <v>0.1</v>
      </c>
      <c r="HA85">
        <f t="shared" si="1082"/>
        <v>0.1</v>
      </c>
      <c r="HB85">
        <f t="shared" si="1082"/>
        <v>0.1</v>
      </c>
      <c r="HC85">
        <f t="shared" si="1082"/>
        <v>0.1</v>
      </c>
      <c r="HD85">
        <f t="shared" si="1082"/>
        <v>0.1</v>
      </c>
      <c r="HE85">
        <f t="shared" si="1082"/>
        <v>0.1</v>
      </c>
      <c r="HF85">
        <f t="shared" si="1082"/>
        <v>0.1</v>
      </c>
      <c r="HG85">
        <f t="shared" si="1082"/>
        <v>0.1</v>
      </c>
      <c r="HH85">
        <f t="shared" si="1082"/>
        <v>0.1</v>
      </c>
      <c r="HI85">
        <f t="shared" si="1082"/>
        <v>0.1</v>
      </c>
      <c r="HJ85">
        <f t="shared" si="1082"/>
        <v>0.1</v>
      </c>
      <c r="HK85">
        <f t="shared" si="1082"/>
        <v>0.1</v>
      </c>
      <c r="HL85">
        <f t="shared" si="1082"/>
        <v>0.1</v>
      </c>
      <c r="HM85">
        <f t="shared" si="1082"/>
        <v>0.1</v>
      </c>
      <c r="HN85">
        <f t="shared" si="1082"/>
        <v>0.1</v>
      </c>
      <c r="HO85">
        <f t="shared" si="1082"/>
        <v>0.1</v>
      </c>
      <c r="HP85">
        <f t="shared" si="1082"/>
        <v>0.1</v>
      </c>
      <c r="HQ85">
        <f t="shared" si="1082"/>
        <v>0.1</v>
      </c>
      <c r="HR85">
        <f t="shared" si="1082"/>
        <v>0.1</v>
      </c>
      <c r="HS85">
        <f t="shared" si="1082"/>
        <v>0.1</v>
      </c>
      <c r="HT85">
        <f t="shared" si="1082"/>
        <v>0.1</v>
      </c>
      <c r="HU85">
        <f t="shared" si="1082"/>
        <v>0.1</v>
      </c>
      <c r="HV85">
        <f t="shared" si="1082"/>
        <v>0.1</v>
      </c>
      <c r="HW85">
        <f t="shared" si="1082"/>
        <v>0.1</v>
      </c>
      <c r="HX85">
        <f t="shared" si="1082"/>
        <v>0.1</v>
      </c>
      <c r="HY85">
        <f t="shared" si="1082"/>
        <v>0.1</v>
      </c>
      <c r="HZ85">
        <f t="shared" si="1082"/>
        <v>0.1</v>
      </c>
      <c r="IA85">
        <f t="shared" si="1082"/>
        <v>0.1</v>
      </c>
      <c r="IB85">
        <f t="shared" si="1082"/>
        <v>0.1</v>
      </c>
      <c r="IC85">
        <f t="shared" si="1082"/>
        <v>0.1</v>
      </c>
      <c r="ID85">
        <f t="shared" si="1082"/>
        <v>0.1</v>
      </c>
      <c r="IE85">
        <f t="shared" si="1082"/>
        <v>0.1</v>
      </c>
      <c r="IF85">
        <f t="shared" si="1082"/>
        <v>0.1</v>
      </c>
      <c r="IG85">
        <f t="shared" si="1082"/>
        <v>0.1</v>
      </c>
      <c r="IH85">
        <f t="shared" si="1082"/>
        <v>0.1</v>
      </c>
      <c r="II85">
        <f t="shared" si="1082"/>
        <v>0.1</v>
      </c>
      <c r="IJ85">
        <f t="shared" si="1082"/>
        <v>0.1</v>
      </c>
      <c r="IK85">
        <f t="shared" si="1082"/>
        <v>0.1</v>
      </c>
      <c r="IL85">
        <f t="shared" si="1082"/>
        <v>0.1</v>
      </c>
      <c r="IM85">
        <f t="shared" si="1082"/>
        <v>0.1</v>
      </c>
      <c r="IN85">
        <f t="shared" si="1082"/>
        <v>0.1</v>
      </c>
      <c r="IO85">
        <f t="shared" si="1082"/>
        <v>0.1</v>
      </c>
      <c r="IP85">
        <f t="shared" si="1082"/>
        <v>0.1</v>
      </c>
      <c r="IQ85">
        <f t="shared" si="1082"/>
        <v>0.1</v>
      </c>
      <c r="IR85">
        <f t="shared" si="1082"/>
        <v>0.1</v>
      </c>
      <c r="IS85">
        <f t="shared" si="1082"/>
        <v>0.1</v>
      </c>
      <c r="IT85">
        <f t="shared" si="1082"/>
        <v>0.1</v>
      </c>
      <c r="IU85">
        <f t="shared" si="1082"/>
        <v>0.1</v>
      </c>
      <c r="IV85">
        <f t="shared" si="1082"/>
        <v>0.1</v>
      </c>
    </row>
    <row r="86" spans="1:256" x14ac:dyDescent="0.2">
      <c r="A86" t="s">
        <v>557</v>
      </c>
      <c r="B86">
        <f>MIN(1,B52*B91*B92*B95*B97*B98)</f>
        <v>4.696254543148342E-2</v>
      </c>
      <c r="C86">
        <f>MIN(1,C52*C91*C92*C95*C97*C98)</f>
        <v>1</v>
      </c>
      <c r="D86">
        <f t="shared" ref="D86:BO86" si="1083">MIN(1,D52*D91*D92*D95*D97*D98)</f>
        <v>1</v>
      </c>
      <c r="E86">
        <f t="shared" si="1083"/>
        <v>1</v>
      </c>
      <c r="F86">
        <f t="shared" si="1083"/>
        <v>1</v>
      </c>
      <c r="G86">
        <f t="shared" si="1083"/>
        <v>1</v>
      </c>
      <c r="H86">
        <f t="shared" si="1083"/>
        <v>1</v>
      </c>
      <c r="I86">
        <f t="shared" si="1083"/>
        <v>1</v>
      </c>
      <c r="J86">
        <f t="shared" si="1083"/>
        <v>0.13630346578068714</v>
      </c>
      <c r="K86">
        <f t="shared" si="1083"/>
        <v>0.13593509533930623</v>
      </c>
      <c r="L86">
        <f t="shared" si="1083"/>
        <v>0.13549438063823116</v>
      </c>
      <c r="M86">
        <f t="shared" si="1083"/>
        <v>0.13498533356483408</v>
      </c>
      <c r="N86">
        <f t="shared" si="1083"/>
        <v>0.13441178554813266</v>
      </c>
      <c r="O86">
        <f t="shared" si="1083"/>
        <v>0.13377739538402211</v>
      </c>
      <c r="P86">
        <f t="shared" si="1083"/>
        <v>0.13308565675792075</v>
      </c>
      <c r="Q86">
        <f t="shared" si="1083"/>
        <v>0.13233990547910893</v>
      </c>
      <c r="R86">
        <f t="shared" si="1083"/>
        <v>0.18156157000516504</v>
      </c>
      <c r="S86">
        <f t="shared" si="1083"/>
        <v>0.1805856325288612</v>
      </c>
      <c r="T86">
        <f t="shared" si="1083"/>
        <v>0.17949802504144055</v>
      </c>
      <c r="U86">
        <f t="shared" si="1083"/>
        <v>0.17830603062767489</v>
      </c>
      <c r="V86">
        <f t="shared" si="1083"/>
        <v>0.17701654456915245</v>
      </c>
      <c r="W86">
        <f t="shared" si="1083"/>
        <v>0.17563609993202667</v>
      </c>
      <c r="X86">
        <f t="shared" si="1083"/>
        <v>0.17417089120395782</v>
      </c>
      <c r="Y86">
        <f t="shared" si="1083"/>
        <v>0.17262679612526444</v>
      </c>
      <c r="Z86">
        <f t="shared" si="1083"/>
        <v>0.3420187916982339</v>
      </c>
      <c r="AA86">
        <f t="shared" si="1083"/>
        <v>0.34441178521009391</v>
      </c>
      <c r="AB86">
        <f t="shared" si="1083"/>
        <v>0.34677342021452173</v>
      </c>
      <c r="AC86">
        <f t="shared" si="1083"/>
        <v>0.34910569248158868</v>
      </c>
      <c r="AD86">
        <f t="shared" si="1083"/>
        <v>0.35141029588331874</v>
      </c>
      <c r="AE86">
        <f t="shared" si="1083"/>
        <v>0.35368865106228004</v>
      </c>
      <c r="AF86">
        <f t="shared" si="1083"/>
        <v>0.3559419318612092</v>
      </c>
      <c r="AG86">
        <f t="shared" si="1083"/>
        <v>0.35817108966956723</v>
      </c>
      <c r="AH86">
        <f t="shared" si="1083"/>
        <v>0.7127100753979102</v>
      </c>
      <c r="AI86">
        <f t="shared" si="1083"/>
        <v>0.71627416971977675</v>
      </c>
      <c r="AJ86">
        <f t="shared" si="1083"/>
        <v>0.71992889108671887</v>
      </c>
      <c r="AK86">
        <f t="shared" si="1083"/>
        <v>0.7236768030539571</v>
      </c>
      <c r="AL86">
        <f t="shared" si="1083"/>
        <v>0.72752050576925154</v>
      </c>
      <c r="AM86">
        <f t="shared" si="1083"/>
        <v>0.7314626410998577</v>
      </c>
      <c r="AN86">
        <f t="shared" si="1083"/>
        <v>0.73550589740149264</v>
      </c>
      <c r="AO86">
        <f t="shared" si="1083"/>
        <v>0.73965301402225714</v>
      </c>
      <c r="AP86">
        <f t="shared" si="1083"/>
        <v>0.10715034963184554</v>
      </c>
      <c r="AQ86">
        <f t="shared" si="1083"/>
        <v>0.10884263584555019</v>
      </c>
      <c r="AR86">
        <f t="shared" si="1083"/>
        <v>0.11056809487122725</v>
      </c>
      <c r="AS86">
        <f t="shared" si="1083"/>
        <v>0.11232667274837091</v>
      </c>
      <c r="AT86">
        <f t="shared" si="1083"/>
        <v>0.11411833486429249</v>
      </c>
      <c r="AU86">
        <f t="shared" si="1083"/>
        <v>0.11594306646872762</v>
      </c>
      <c r="AV86">
        <f t="shared" si="1083"/>
        <v>0.11780087312875473</v>
      </c>
      <c r="AW86">
        <f t="shared" si="1083"/>
        <v>0.11969178113034082</v>
      </c>
      <c r="AX86">
        <f t="shared" si="1083"/>
        <v>0.12161583783282975</v>
      </c>
      <c r="AY86">
        <f t="shared" si="1083"/>
        <v>0.12204846354942016</v>
      </c>
      <c r="AZ86">
        <f t="shared" si="1083"/>
        <v>0.12260034468063469</v>
      </c>
      <c r="BA86">
        <f t="shared" si="1083"/>
        <v>0.12327740463563491</v>
      </c>
      <c r="BB86">
        <f t="shared" si="1083"/>
        <v>0.12408622172220539</v>
      </c>
      <c r="BC86">
        <f t="shared" si="1083"/>
        <v>0.12503410858448874</v>
      </c>
      <c r="BD86">
        <f t="shared" si="1083"/>
        <v>0.12612920227701904</v>
      </c>
      <c r="BE86">
        <f t="shared" si="1083"/>
        <v>0.12738056677703033</v>
      </c>
      <c r="BF86">
        <f t="shared" si="1083"/>
        <v>0.12879831006135012</v>
      </c>
      <c r="BG86">
        <f t="shared" si="1083"/>
        <v>0.13039371826668433</v>
      </c>
      <c r="BH86">
        <f t="shared" si="1083"/>
        <v>0.13217940992835994</v>
      </c>
      <c r="BI86">
        <f t="shared" si="1083"/>
        <v>0.13416951387221585</v>
      </c>
      <c r="BJ86">
        <f t="shared" si="1083"/>
        <v>0.13637825924923969</v>
      </c>
      <c r="BK86">
        <f t="shared" si="1083"/>
        <v>0.1388181016014996</v>
      </c>
      <c r="BL86">
        <f t="shared" si="1083"/>
        <v>0.14150297872586792</v>
      </c>
      <c r="BM86">
        <f t="shared" si="1083"/>
        <v>0.14444846532212383</v>
      </c>
      <c r="BN86">
        <f t="shared" si="1083"/>
        <v>0.14760959112250285</v>
      </c>
      <c r="BO86">
        <f t="shared" si="1083"/>
        <v>0.15092092212936567</v>
      </c>
      <c r="BP86">
        <f t="shared" ref="BP86:EA86" si="1084">MIN(1,BP52*BP91*BP92*BP95*BP97*BP98)</f>
        <v>0.1543887915705649</v>
      </c>
      <c r="BQ86">
        <f t="shared" si="1084"/>
        <v>0.15801986152005976</v>
      </c>
      <c r="BR86">
        <f t="shared" si="1084"/>
        <v>0.16182115160009922</v>
      </c>
      <c r="BS86">
        <f t="shared" si="1084"/>
        <v>0.1657815849267745</v>
      </c>
      <c r="BT86">
        <f t="shared" si="1084"/>
        <v>0.16980988471212266</v>
      </c>
      <c r="BU86">
        <f t="shared" si="1084"/>
        <v>0.17390956241047906</v>
      </c>
      <c r="BV86">
        <f t="shared" si="1084"/>
        <v>0.17808388470685452</v>
      </c>
      <c r="BW86">
        <f t="shared" si="1084"/>
        <v>0.18233599302989595</v>
      </c>
      <c r="BX86">
        <f t="shared" si="1084"/>
        <v>0.186669075414337</v>
      </c>
      <c r="BY86">
        <f t="shared" si="1084"/>
        <v>0.19108636827584757</v>
      </c>
      <c r="BZ86">
        <f t="shared" si="1084"/>
        <v>0.19559115833598253</v>
      </c>
      <c r="CA86">
        <f t="shared" si="1084"/>
        <v>0.20018678470564613</v>
      </c>
      <c r="CB86">
        <f t="shared" si="1084"/>
        <v>0.20487664113608658</v>
      </c>
      <c r="CC86">
        <f t="shared" si="1084"/>
        <v>0.20966417844697027</v>
      </c>
      <c r="CD86">
        <f t="shared" si="1084"/>
        <v>0.21455290714155076</v>
      </c>
      <c r="CE86">
        <f t="shared" si="1084"/>
        <v>0.2195464002193592</v>
      </c>
      <c r="CF86">
        <f t="shared" si="1084"/>
        <v>0.22464829619720073</v>
      </c>
      <c r="CG86">
        <f t="shared" si="1084"/>
        <v>0.22986230234954994</v>
      </c>
      <c r="CH86">
        <f t="shared" si="1084"/>
        <v>0.23519219817970577</v>
      </c>
      <c r="CI86">
        <f t="shared" si="1084"/>
        <v>0.24064183913329709</v>
      </c>
      <c r="CJ86">
        <f t="shared" si="1084"/>
        <v>0.24621516056592865</v>
      </c>
      <c r="CK86">
        <f t="shared" si="1084"/>
        <v>0.25191618197693227</v>
      </c>
      <c r="CL86">
        <f t="shared" si="1084"/>
        <v>0.25774901152134477</v>
      </c>
      <c r="CM86">
        <f t="shared" si="1084"/>
        <v>0.26371785081237364</v>
      </c>
      <c r="CN86">
        <f t="shared" si="1084"/>
        <v>0.26982700002674914</v>
      </c>
      <c r="CO86">
        <f t="shared" si="1084"/>
        <v>0.27604956414119486</v>
      </c>
      <c r="CP86">
        <f t="shared" si="1084"/>
        <v>0.28237737344819419</v>
      </c>
      <c r="CQ86">
        <f t="shared" si="1084"/>
        <v>0.28881393473393335</v>
      </c>
      <c r="CR86">
        <f t="shared" si="1084"/>
        <v>0.29536284695094017</v>
      </c>
      <c r="CS86">
        <f t="shared" si="1084"/>
        <v>0.3020278038880278</v>
      </c>
      <c r="CT86">
        <f t="shared" si="1084"/>
        <v>0.30881259716730691</v>
      </c>
      <c r="CU86">
        <f t="shared" si="1084"/>
        <v>0.31572111956603394</v>
      </c>
      <c r="CV86">
        <f t="shared" si="1084"/>
        <v>0.32275736866110849</v>
      </c>
      <c r="CW86">
        <f t="shared" si="1084"/>
        <v>0.32992545079413926</v>
      </c>
      <c r="CX86">
        <f t="shared" si="1084"/>
        <v>0.33722949083767706</v>
      </c>
      <c r="CY86">
        <f t="shared" si="1084"/>
        <v>0.34467363439105098</v>
      </c>
      <c r="CZ86">
        <f t="shared" si="1084"/>
        <v>0.35226212512395033</v>
      </c>
      <c r="DA86">
        <f t="shared" si="1084"/>
        <v>0.3599993088020067</v>
      </c>
      <c r="DB86">
        <f t="shared" si="1084"/>
        <v>0.36788963758498083</v>
      </c>
      <c r="DC86">
        <f t="shared" si="1084"/>
        <v>0.37593767459238026</v>
      </c>
      <c r="DD86">
        <f t="shared" si="1084"/>
        <v>0.38414809873152889</v>
      </c>
      <c r="DE86">
        <f t="shared" si="1084"/>
        <v>0.39252570978337947</v>
      </c>
      <c r="DF86">
        <f t="shared" si="1084"/>
        <v>0.40107543374165527</v>
      </c>
      <c r="DG86">
        <f t="shared" si="1084"/>
        <v>0.40980232840126452</v>
      </c>
      <c r="DH86">
        <f t="shared" si="1084"/>
        <v>0.41871158919232732</v>
      </c>
      <c r="DI86">
        <f t="shared" si="1084"/>
        <v>0.42780855525658212</v>
      </c>
      <c r="DJ86">
        <f t="shared" si="1084"/>
        <v>0.43709871576341569</v>
      </c>
      <c r="DK86">
        <f t="shared" si="1084"/>
        <v>0.44658771646327</v>
      </c>
      <c r="DL86">
        <f t="shared" si="1084"/>
        <v>0.45628136647671214</v>
      </c>
      <c r="DM86">
        <f t="shared" si="1084"/>
        <v>0.46618564531803014</v>
      </c>
      <c r="DN86">
        <f t="shared" si="1084"/>
        <v>0.47630671015280801</v>
      </c>
      <c r="DO86">
        <f t="shared" si="1084"/>
        <v>0.48665090328956434</v>
      </c>
      <c r="DP86">
        <f t="shared" si="1084"/>
        <v>0.49722475990617299</v>
      </c>
      <c r="DQ86">
        <f t="shared" si="1084"/>
        <v>0.50803501601246392</v>
      </c>
      <c r="DR86">
        <f t="shared" si="1084"/>
        <v>0.51908861665107364</v>
      </c>
      <c r="DS86">
        <f t="shared" si="1084"/>
        <v>0.5303927243393286</v>
      </c>
      <c r="DT86">
        <f t="shared" si="1084"/>
        <v>0.54195472775565323</v>
      </c>
      <c r="DU86">
        <f t="shared" si="1084"/>
        <v>0.55378225067473041</v>
      </c>
      <c r="DV86">
        <f t="shared" si="1084"/>
        <v>0.56588316115637793</v>
      </c>
      <c r="DW86">
        <f t="shared" si="1084"/>
        <v>0.57826558099386483</v>
      </c>
      <c r="DX86">
        <f t="shared" si="1084"/>
        <v>0.59093789542814379</v>
      </c>
      <c r="DY86">
        <f t="shared" si="1084"/>
        <v>0.60390876313525221</v>
      </c>
      <c r="DZ86">
        <f t="shared" si="1084"/>
        <v>0.6171871264949037</v>
      </c>
      <c r="EA86">
        <f t="shared" si="1084"/>
        <v>0.63078222214908364</v>
      </c>
      <c r="EB86">
        <f t="shared" ref="EB86:GM86" si="1085">MIN(1,EB52*EB91*EB92*EB95*EB97*EB98)</f>
        <v>0.64470359186023252</v>
      </c>
      <c r="EC86">
        <f t="shared" si="1085"/>
        <v>0.65896109367941424</v>
      </c>
      <c r="ED86">
        <f t="shared" si="1085"/>
        <v>0.67356491343564129</v>
      </c>
      <c r="EE86">
        <f t="shared" si="1085"/>
        <v>0.68821161546064069</v>
      </c>
      <c r="EF86">
        <f t="shared" si="1085"/>
        <v>0.70288461960972515</v>
      </c>
      <c r="EG86">
        <f t="shared" si="1085"/>
        <v>0.71758033731327631</v>
      </c>
      <c r="EH86">
        <f t="shared" si="1085"/>
        <v>0.73229524448876582</v>
      </c>
      <c r="EI86">
        <f t="shared" si="1085"/>
        <v>0.74702588202630771</v>
      </c>
      <c r="EJ86">
        <f t="shared" si="1085"/>
        <v>0.76176885619277024</v>
      </c>
      <c r="EK86">
        <f t="shared" si="1085"/>
        <v>0.77652083895793744</v>
      </c>
      <c r="EL86">
        <f t="shared" si="1085"/>
        <v>0.79127856824610798</v>
      </c>
      <c r="EM86">
        <f t="shared" si="1085"/>
        <v>0.80603884811644932</v>
      </c>
      <c r="EN86">
        <f t="shared" si="1085"/>
        <v>0.82079854887533477</v>
      </c>
      <c r="EO86">
        <f t="shared" si="1085"/>
        <v>0.83555460712380725</v>
      </c>
      <c r="EP86">
        <f t="shared" si="1085"/>
        <v>0.85030402574323805</v>
      </c>
      <c r="EQ86">
        <f t="shared" si="1085"/>
        <v>0.86504387382215187</v>
      </c>
      <c r="ER86">
        <f t="shared" si="1085"/>
        <v>0.87977128652711845</v>
      </c>
      <c r="ES86">
        <f t="shared" si="1085"/>
        <v>0.89448346492052067</v>
      </c>
      <c r="ET86">
        <f t="shared" si="1085"/>
        <v>0.90917767572792918</v>
      </c>
      <c r="EU86">
        <f t="shared" si="1085"/>
        <v>0.92385125105773525</v>
      </c>
      <c r="EV86">
        <f t="shared" si="1085"/>
        <v>0.93850158807560358</v>
      </c>
      <c r="EW86">
        <f t="shared" si="1085"/>
        <v>0.95312614863623735</v>
      </c>
      <c r="EX86">
        <f t="shared" si="1085"/>
        <v>0.96772245887486552</v>
      </c>
      <c r="EY86">
        <f t="shared" si="1085"/>
        <v>0.98228810876077433</v>
      </c>
      <c r="EZ86">
        <f t="shared" si="1085"/>
        <v>0.9968207516151486</v>
      </c>
      <c r="FA86">
        <f t="shared" si="1085"/>
        <v>1</v>
      </c>
      <c r="FB86">
        <f t="shared" si="1085"/>
        <v>1</v>
      </c>
      <c r="FC86">
        <f t="shared" si="1085"/>
        <v>1</v>
      </c>
      <c r="FD86">
        <f t="shared" si="1085"/>
        <v>1</v>
      </c>
      <c r="FE86">
        <f t="shared" si="1085"/>
        <v>1</v>
      </c>
      <c r="FF86">
        <f t="shared" si="1085"/>
        <v>1</v>
      </c>
      <c r="FG86">
        <f t="shared" si="1085"/>
        <v>1</v>
      </c>
      <c r="FH86">
        <f t="shared" si="1085"/>
        <v>1</v>
      </c>
      <c r="FI86">
        <f t="shared" si="1085"/>
        <v>1</v>
      </c>
      <c r="FJ86">
        <f t="shared" si="1085"/>
        <v>1</v>
      </c>
      <c r="FK86">
        <f t="shared" si="1085"/>
        <v>1</v>
      </c>
      <c r="FL86">
        <f t="shared" si="1085"/>
        <v>1</v>
      </c>
      <c r="FM86">
        <f t="shared" si="1085"/>
        <v>1</v>
      </c>
      <c r="FN86">
        <f t="shared" si="1085"/>
        <v>1</v>
      </c>
      <c r="FO86">
        <f t="shared" si="1085"/>
        <v>1</v>
      </c>
      <c r="FP86">
        <f t="shared" si="1085"/>
        <v>1</v>
      </c>
      <c r="FQ86">
        <f t="shared" si="1085"/>
        <v>1</v>
      </c>
      <c r="FR86">
        <f t="shared" si="1085"/>
        <v>1</v>
      </c>
      <c r="FS86">
        <f t="shared" si="1085"/>
        <v>1</v>
      </c>
      <c r="FT86">
        <f t="shared" si="1085"/>
        <v>1</v>
      </c>
      <c r="FU86">
        <f t="shared" si="1085"/>
        <v>1</v>
      </c>
      <c r="FV86">
        <f t="shared" si="1085"/>
        <v>1</v>
      </c>
      <c r="FW86">
        <f t="shared" si="1085"/>
        <v>1</v>
      </c>
      <c r="FX86">
        <f t="shared" si="1085"/>
        <v>1</v>
      </c>
      <c r="FY86">
        <f t="shared" si="1085"/>
        <v>1</v>
      </c>
      <c r="FZ86">
        <f t="shared" si="1085"/>
        <v>1</v>
      </c>
      <c r="GA86">
        <f t="shared" si="1085"/>
        <v>1</v>
      </c>
      <c r="GB86">
        <f t="shared" si="1085"/>
        <v>1</v>
      </c>
      <c r="GC86">
        <f t="shared" si="1085"/>
        <v>1</v>
      </c>
      <c r="GD86">
        <f t="shared" si="1085"/>
        <v>1</v>
      </c>
      <c r="GE86">
        <f t="shared" si="1085"/>
        <v>1</v>
      </c>
      <c r="GF86">
        <f t="shared" si="1085"/>
        <v>1</v>
      </c>
      <c r="GG86">
        <f t="shared" si="1085"/>
        <v>1</v>
      </c>
      <c r="GH86">
        <f t="shared" si="1085"/>
        <v>1</v>
      </c>
      <c r="GI86">
        <f t="shared" si="1085"/>
        <v>1</v>
      </c>
      <c r="GJ86">
        <f t="shared" si="1085"/>
        <v>1</v>
      </c>
      <c r="GK86">
        <f t="shared" si="1085"/>
        <v>1</v>
      </c>
      <c r="GL86">
        <f t="shared" si="1085"/>
        <v>1</v>
      </c>
      <c r="GM86">
        <f t="shared" si="1085"/>
        <v>1</v>
      </c>
      <c r="GN86">
        <f t="shared" ref="GN86:IV86" si="1086">MIN(1,GN52*GN91*GN92*GN95*GN97*GN98)</f>
        <v>1</v>
      </c>
      <c r="GO86">
        <f t="shared" si="1086"/>
        <v>1</v>
      </c>
      <c r="GP86">
        <f t="shared" si="1086"/>
        <v>1</v>
      </c>
      <c r="GQ86">
        <f t="shared" si="1086"/>
        <v>1</v>
      </c>
      <c r="GR86">
        <f t="shared" si="1086"/>
        <v>1</v>
      </c>
      <c r="GS86">
        <f t="shared" si="1086"/>
        <v>1</v>
      </c>
      <c r="GT86">
        <f t="shared" si="1086"/>
        <v>1</v>
      </c>
      <c r="GU86">
        <f t="shared" si="1086"/>
        <v>1</v>
      </c>
      <c r="GV86">
        <f t="shared" si="1086"/>
        <v>1</v>
      </c>
      <c r="GW86">
        <f t="shared" si="1086"/>
        <v>1</v>
      </c>
      <c r="GX86">
        <f t="shared" si="1086"/>
        <v>1</v>
      </c>
      <c r="GY86">
        <f t="shared" si="1086"/>
        <v>1</v>
      </c>
      <c r="GZ86">
        <f t="shared" si="1086"/>
        <v>1</v>
      </c>
      <c r="HA86">
        <f t="shared" si="1086"/>
        <v>1</v>
      </c>
      <c r="HB86">
        <f t="shared" si="1086"/>
        <v>1</v>
      </c>
      <c r="HC86">
        <f t="shared" si="1086"/>
        <v>1</v>
      </c>
      <c r="HD86">
        <f t="shared" si="1086"/>
        <v>1</v>
      </c>
      <c r="HE86">
        <f t="shared" si="1086"/>
        <v>1</v>
      </c>
      <c r="HF86">
        <f t="shared" si="1086"/>
        <v>1</v>
      </c>
      <c r="HG86">
        <f t="shared" si="1086"/>
        <v>1</v>
      </c>
      <c r="HH86">
        <f t="shared" si="1086"/>
        <v>1</v>
      </c>
      <c r="HI86">
        <f t="shared" si="1086"/>
        <v>1</v>
      </c>
      <c r="HJ86">
        <f t="shared" si="1086"/>
        <v>1</v>
      </c>
      <c r="HK86">
        <f t="shared" si="1086"/>
        <v>1</v>
      </c>
      <c r="HL86">
        <f t="shared" si="1086"/>
        <v>1</v>
      </c>
      <c r="HM86">
        <f t="shared" si="1086"/>
        <v>1</v>
      </c>
      <c r="HN86">
        <f t="shared" si="1086"/>
        <v>1</v>
      </c>
      <c r="HO86">
        <f t="shared" si="1086"/>
        <v>1</v>
      </c>
      <c r="HP86">
        <f t="shared" si="1086"/>
        <v>1</v>
      </c>
      <c r="HQ86">
        <f t="shared" si="1086"/>
        <v>1</v>
      </c>
      <c r="HR86">
        <f t="shared" si="1086"/>
        <v>1</v>
      </c>
      <c r="HS86">
        <f t="shared" si="1086"/>
        <v>1</v>
      </c>
      <c r="HT86">
        <f t="shared" si="1086"/>
        <v>1</v>
      </c>
      <c r="HU86">
        <f t="shared" si="1086"/>
        <v>1</v>
      </c>
      <c r="HV86">
        <f t="shared" si="1086"/>
        <v>1</v>
      </c>
      <c r="HW86">
        <f t="shared" si="1086"/>
        <v>1</v>
      </c>
      <c r="HX86">
        <f t="shared" si="1086"/>
        <v>1</v>
      </c>
      <c r="HY86">
        <f t="shared" si="1086"/>
        <v>1</v>
      </c>
      <c r="HZ86">
        <f t="shared" si="1086"/>
        <v>1</v>
      </c>
      <c r="IA86">
        <f t="shared" si="1086"/>
        <v>1</v>
      </c>
      <c r="IB86">
        <f t="shared" si="1086"/>
        <v>1</v>
      </c>
      <c r="IC86">
        <f t="shared" si="1086"/>
        <v>1</v>
      </c>
      <c r="ID86">
        <f t="shared" si="1086"/>
        <v>1</v>
      </c>
      <c r="IE86">
        <f t="shared" si="1086"/>
        <v>1</v>
      </c>
      <c r="IF86">
        <f t="shared" si="1086"/>
        <v>1</v>
      </c>
      <c r="IG86">
        <f t="shared" si="1086"/>
        <v>1</v>
      </c>
      <c r="IH86">
        <f t="shared" si="1086"/>
        <v>1</v>
      </c>
      <c r="II86">
        <f t="shared" si="1086"/>
        <v>1</v>
      </c>
      <c r="IJ86">
        <f t="shared" si="1086"/>
        <v>1</v>
      </c>
      <c r="IK86">
        <f t="shared" si="1086"/>
        <v>1</v>
      </c>
      <c r="IL86">
        <f t="shared" si="1086"/>
        <v>1</v>
      </c>
      <c r="IM86">
        <f t="shared" si="1086"/>
        <v>1</v>
      </c>
      <c r="IN86">
        <f t="shared" si="1086"/>
        <v>1</v>
      </c>
      <c r="IO86">
        <f t="shared" si="1086"/>
        <v>1</v>
      </c>
      <c r="IP86">
        <f t="shared" si="1086"/>
        <v>1</v>
      </c>
      <c r="IQ86">
        <f t="shared" si="1086"/>
        <v>1</v>
      </c>
      <c r="IR86">
        <f t="shared" si="1086"/>
        <v>1</v>
      </c>
      <c r="IS86">
        <f t="shared" si="1086"/>
        <v>1</v>
      </c>
      <c r="IT86">
        <f t="shared" si="1086"/>
        <v>1</v>
      </c>
      <c r="IU86">
        <f t="shared" si="1086"/>
        <v>1</v>
      </c>
      <c r="IV86">
        <f t="shared" si="1086"/>
        <v>1</v>
      </c>
    </row>
    <row r="87" spans="1:256" x14ac:dyDescent="0.2">
      <c r="A87" t="s">
        <v>558</v>
      </c>
      <c r="B87">
        <f>MIN(1,B53)</f>
        <v>0.4681082558625711</v>
      </c>
      <c r="C87">
        <f>MIN(1,C53)</f>
        <v>0.4681082558625711</v>
      </c>
      <c r="D87">
        <f t="shared" ref="D87:BO87" si="1087">MIN(1,D53)</f>
        <v>0.4681082558625711</v>
      </c>
      <c r="E87">
        <f t="shared" si="1087"/>
        <v>0.4681082558625711</v>
      </c>
      <c r="F87">
        <f t="shared" si="1087"/>
        <v>0.4681082558625711</v>
      </c>
      <c r="G87">
        <f t="shared" si="1087"/>
        <v>0.4681082558625711</v>
      </c>
      <c r="H87">
        <f t="shared" si="1087"/>
        <v>0.4681082558625711</v>
      </c>
      <c r="I87">
        <f t="shared" si="1087"/>
        <v>0.4681082558625711</v>
      </c>
      <c r="J87">
        <f t="shared" si="1087"/>
        <v>0.9362165117251422</v>
      </c>
      <c r="K87">
        <f t="shared" si="1087"/>
        <v>0.9362165117251422</v>
      </c>
      <c r="L87">
        <f t="shared" si="1087"/>
        <v>0.9362165117251422</v>
      </c>
      <c r="M87">
        <f t="shared" si="1087"/>
        <v>0.9362165117251422</v>
      </c>
      <c r="N87">
        <f t="shared" si="1087"/>
        <v>0.9362165117251422</v>
      </c>
      <c r="O87">
        <f t="shared" si="1087"/>
        <v>0.9362165117251422</v>
      </c>
      <c r="P87">
        <f t="shared" si="1087"/>
        <v>0.9362165117251422</v>
      </c>
      <c r="Q87">
        <f t="shared" si="1087"/>
        <v>0.9362165117251422</v>
      </c>
      <c r="R87">
        <f t="shared" si="1087"/>
        <v>9.9999999999999978E-2</v>
      </c>
      <c r="S87">
        <f t="shared" si="1087"/>
        <v>9.9999999999999978E-2</v>
      </c>
      <c r="T87">
        <f t="shared" si="1087"/>
        <v>9.9999999999999978E-2</v>
      </c>
      <c r="U87">
        <f t="shared" si="1087"/>
        <v>9.9999999999999978E-2</v>
      </c>
      <c r="V87">
        <f t="shared" si="1087"/>
        <v>9.9999999999999978E-2</v>
      </c>
      <c r="W87">
        <f t="shared" si="1087"/>
        <v>9.9999999999999978E-2</v>
      </c>
      <c r="X87">
        <f t="shared" si="1087"/>
        <v>9.9999999999999978E-2</v>
      </c>
      <c r="Y87">
        <f t="shared" si="1087"/>
        <v>9.9999999999999978E-2</v>
      </c>
      <c r="Z87">
        <f t="shared" si="1087"/>
        <v>0.19999999999999996</v>
      </c>
      <c r="AA87">
        <f t="shared" si="1087"/>
        <v>0.19999999999999996</v>
      </c>
      <c r="AB87">
        <f t="shared" si="1087"/>
        <v>0.19999999999999996</v>
      </c>
      <c r="AC87">
        <f t="shared" si="1087"/>
        <v>0.19999999999999996</v>
      </c>
      <c r="AD87">
        <f t="shared" si="1087"/>
        <v>0.19999999999999996</v>
      </c>
      <c r="AE87">
        <f t="shared" si="1087"/>
        <v>0.19999999999999996</v>
      </c>
      <c r="AF87">
        <f t="shared" si="1087"/>
        <v>0.19999999999999996</v>
      </c>
      <c r="AG87">
        <f t="shared" si="1087"/>
        <v>0.19999999999999996</v>
      </c>
      <c r="AH87">
        <f t="shared" si="1087"/>
        <v>0.51738662719726558</v>
      </c>
      <c r="AI87">
        <f t="shared" si="1087"/>
        <v>0.51738662719726558</v>
      </c>
      <c r="AJ87">
        <f t="shared" si="1087"/>
        <v>0.51738662719726558</v>
      </c>
      <c r="AK87">
        <f t="shared" si="1087"/>
        <v>0.51738662719726558</v>
      </c>
      <c r="AL87">
        <f t="shared" si="1087"/>
        <v>0.51738662719726558</v>
      </c>
      <c r="AM87">
        <f t="shared" si="1087"/>
        <v>0.51738662719726558</v>
      </c>
      <c r="AN87">
        <f t="shared" si="1087"/>
        <v>0.51738662719726558</v>
      </c>
      <c r="AO87">
        <f t="shared" si="1087"/>
        <v>0.51738662719726558</v>
      </c>
      <c r="AP87">
        <f t="shared" si="1087"/>
        <v>1</v>
      </c>
      <c r="AQ87">
        <f t="shared" si="1087"/>
        <v>1</v>
      </c>
      <c r="AR87">
        <f t="shared" si="1087"/>
        <v>1</v>
      </c>
      <c r="AS87">
        <f t="shared" si="1087"/>
        <v>1</v>
      </c>
      <c r="AT87">
        <f t="shared" si="1087"/>
        <v>1</v>
      </c>
      <c r="AU87">
        <f t="shared" si="1087"/>
        <v>1</v>
      </c>
      <c r="AV87">
        <f t="shared" si="1087"/>
        <v>1</v>
      </c>
      <c r="AW87">
        <f t="shared" si="1087"/>
        <v>1</v>
      </c>
      <c r="AX87">
        <f t="shared" si="1087"/>
        <v>0.99999992473849342</v>
      </c>
      <c r="AY87">
        <f t="shared" si="1087"/>
        <v>0.99999992473849342</v>
      </c>
      <c r="AZ87">
        <f t="shared" si="1087"/>
        <v>0.99999992473849342</v>
      </c>
      <c r="BA87">
        <f t="shared" si="1087"/>
        <v>0.99999992473849342</v>
      </c>
      <c r="BB87">
        <f t="shared" si="1087"/>
        <v>0.99999992473849342</v>
      </c>
      <c r="BC87">
        <f t="shared" si="1087"/>
        <v>0.99999992473849342</v>
      </c>
      <c r="BD87">
        <f t="shared" si="1087"/>
        <v>0.99999992473849342</v>
      </c>
      <c r="BE87">
        <f t="shared" si="1087"/>
        <v>0.99999992473849342</v>
      </c>
      <c r="BF87">
        <f t="shared" si="1087"/>
        <v>0.99999992473849342</v>
      </c>
      <c r="BG87">
        <f t="shared" si="1087"/>
        <v>0.99999992473849342</v>
      </c>
      <c r="BH87">
        <f t="shared" si="1087"/>
        <v>0.99999992473849342</v>
      </c>
      <c r="BI87">
        <f t="shared" si="1087"/>
        <v>0.99999992473849342</v>
      </c>
      <c r="BJ87">
        <f t="shared" si="1087"/>
        <v>0.99999992473849342</v>
      </c>
      <c r="BK87">
        <f t="shared" si="1087"/>
        <v>0.99999992473849342</v>
      </c>
      <c r="BL87">
        <f t="shared" si="1087"/>
        <v>0.99999992473849342</v>
      </c>
      <c r="BM87">
        <f t="shared" si="1087"/>
        <v>0.99999992473849342</v>
      </c>
      <c r="BN87">
        <f t="shared" si="1087"/>
        <v>0.99999992473849342</v>
      </c>
      <c r="BO87">
        <f t="shared" si="1087"/>
        <v>0.99999992473849342</v>
      </c>
      <c r="BP87">
        <f t="shared" ref="BP87:EA87" si="1088">MIN(1,BP53)</f>
        <v>0.99999992473849342</v>
      </c>
      <c r="BQ87">
        <f t="shared" si="1088"/>
        <v>0.99999992473849342</v>
      </c>
      <c r="BR87">
        <f t="shared" si="1088"/>
        <v>0.99999992473849342</v>
      </c>
      <c r="BS87">
        <f t="shared" si="1088"/>
        <v>0.99999992473849342</v>
      </c>
      <c r="BT87">
        <f t="shared" si="1088"/>
        <v>0.99999992473849342</v>
      </c>
      <c r="BU87">
        <f t="shared" si="1088"/>
        <v>0.99999992473849342</v>
      </c>
      <c r="BV87">
        <f t="shared" si="1088"/>
        <v>0.99999992473849342</v>
      </c>
      <c r="BW87">
        <f t="shared" si="1088"/>
        <v>0.99999992473849342</v>
      </c>
      <c r="BX87">
        <f t="shared" si="1088"/>
        <v>0.99999992473849342</v>
      </c>
      <c r="BY87">
        <f t="shared" si="1088"/>
        <v>0.99999992473849342</v>
      </c>
      <c r="BZ87">
        <f t="shared" si="1088"/>
        <v>0.99999992473849342</v>
      </c>
      <c r="CA87">
        <f t="shared" si="1088"/>
        <v>0.99999992473849342</v>
      </c>
      <c r="CB87">
        <f t="shared" si="1088"/>
        <v>0.99999992473849342</v>
      </c>
      <c r="CC87">
        <f t="shared" si="1088"/>
        <v>0.99999992473849342</v>
      </c>
      <c r="CD87">
        <f t="shared" si="1088"/>
        <v>0.99999992473849342</v>
      </c>
      <c r="CE87">
        <f t="shared" si="1088"/>
        <v>0.99999992473849342</v>
      </c>
      <c r="CF87">
        <f t="shared" si="1088"/>
        <v>0.99999992473849342</v>
      </c>
      <c r="CG87">
        <f t="shared" si="1088"/>
        <v>0.99999992473849342</v>
      </c>
      <c r="CH87">
        <f t="shared" si="1088"/>
        <v>0.99999992473849342</v>
      </c>
      <c r="CI87">
        <f t="shared" si="1088"/>
        <v>0.99999992473849342</v>
      </c>
      <c r="CJ87">
        <f t="shared" si="1088"/>
        <v>0.99999992473849342</v>
      </c>
      <c r="CK87">
        <f t="shared" si="1088"/>
        <v>0.99999992473849342</v>
      </c>
      <c r="CL87">
        <f t="shared" si="1088"/>
        <v>0.99999992473849342</v>
      </c>
      <c r="CM87">
        <f t="shared" si="1088"/>
        <v>0.99999992473849342</v>
      </c>
      <c r="CN87">
        <f t="shared" si="1088"/>
        <v>0.99999992473849342</v>
      </c>
      <c r="CO87">
        <f t="shared" si="1088"/>
        <v>0.99999992473849342</v>
      </c>
      <c r="CP87">
        <f t="shared" si="1088"/>
        <v>0.99999992473849342</v>
      </c>
      <c r="CQ87">
        <f t="shared" si="1088"/>
        <v>0.99999992473849342</v>
      </c>
      <c r="CR87">
        <f t="shared" si="1088"/>
        <v>0.99999992473849342</v>
      </c>
      <c r="CS87">
        <f t="shared" si="1088"/>
        <v>0.99999992473849342</v>
      </c>
      <c r="CT87">
        <f t="shared" si="1088"/>
        <v>0.99999992473849342</v>
      </c>
      <c r="CU87">
        <f t="shared" si="1088"/>
        <v>0.99999992473849342</v>
      </c>
      <c r="CV87">
        <f t="shared" si="1088"/>
        <v>0.99999992473849342</v>
      </c>
      <c r="CW87">
        <f t="shared" si="1088"/>
        <v>0.99999992473849342</v>
      </c>
      <c r="CX87">
        <f t="shared" si="1088"/>
        <v>0.99999992473849342</v>
      </c>
      <c r="CY87">
        <f t="shared" si="1088"/>
        <v>0.99999992473849342</v>
      </c>
      <c r="CZ87">
        <f t="shared" si="1088"/>
        <v>0.99999992473849342</v>
      </c>
      <c r="DA87">
        <f t="shared" si="1088"/>
        <v>0.99999992473849342</v>
      </c>
      <c r="DB87">
        <f t="shared" si="1088"/>
        <v>0.99999992473849342</v>
      </c>
      <c r="DC87">
        <f t="shared" si="1088"/>
        <v>0.99999992473849342</v>
      </c>
      <c r="DD87">
        <f t="shared" si="1088"/>
        <v>0.99999992473849342</v>
      </c>
      <c r="DE87">
        <f t="shared" si="1088"/>
        <v>0.99999992473849342</v>
      </c>
      <c r="DF87">
        <f t="shared" si="1088"/>
        <v>0.99999992473849342</v>
      </c>
      <c r="DG87">
        <f t="shared" si="1088"/>
        <v>0.99999992473849342</v>
      </c>
      <c r="DH87">
        <f t="shared" si="1088"/>
        <v>0.99999992473849342</v>
      </c>
      <c r="DI87">
        <f t="shared" si="1088"/>
        <v>0.99999992473849342</v>
      </c>
      <c r="DJ87">
        <f t="shared" si="1088"/>
        <v>0.99999992473849342</v>
      </c>
      <c r="DK87">
        <f t="shared" si="1088"/>
        <v>0.99999992473849342</v>
      </c>
      <c r="DL87">
        <f t="shared" si="1088"/>
        <v>0.99999992473849342</v>
      </c>
      <c r="DM87">
        <f t="shared" si="1088"/>
        <v>0.99999992473849342</v>
      </c>
      <c r="DN87">
        <f t="shared" si="1088"/>
        <v>0.99999992473849342</v>
      </c>
      <c r="DO87">
        <f t="shared" si="1088"/>
        <v>0.99999992473849342</v>
      </c>
      <c r="DP87">
        <f t="shared" si="1088"/>
        <v>0.99999992473849342</v>
      </c>
      <c r="DQ87">
        <f t="shared" si="1088"/>
        <v>0.99999992473849342</v>
      </c>
      <c r="DR87">
        <f t="shared" si="1088"/>
        <v>0.99999992473849342</v>
      </c>
      <c r="DS87">
        <f t="shared" si="1088"/>
        <v>0.99999992473849342</v>
      </c>
      <c r="DT87">
        <f t="shared" si="1088"/>
        <v>0.99999992473849342</v>
      </c>
      <c r="DU87">
        <f t="shared" si="1088"/>
        <v>0.99999992473849342</v>
      </c>
      <c r="DV87">
        <f t="shared" si="1088"/>
        <v>0.99999992473849342</v>
      </c>
      <c r="DW87">
        <f t="shared" si="1088"/>
        <v>0.99999992473849342</v>
      </c>
      <c r="DX87">
        <f t="shared" si="1088"/>
        <v>0.99999992473849342</v>
      </c>
      <c r="DY87">
        <f t="shared" si="1088"/>
        <v>0.99999992473849342</v>
      </c>
      <c r="DZ87">
        <f t="shared" si="1088"/>
        <v>0.99999992473849342</v>
      </c>
      <c r="EA87">
        <f t="shared" si="1088"/>
        <v>0.99999992473849342</v>
      </c>
      <c r="EB87">
        <f t="shared" ref="EB87:GM87" si="1089">MIN(1,EB53)</f>
        <v>0.99999992473849342</v>
      </c>
      <c r="EC87">
        <f t="shared" si="1089"/>
        <v>0.99999992473849342</v>
      </c>
      <c r="ED87">
        <f t="shared" si="1089"/>
        <v>0.99999992473849342</v>
      </c>
      <c r="EE87">
        <f t="shared" si="1089"/>
        <v>0.99999992473849342</v>
      </c>
      <c r="EF87">
        <f t="shared" si="1089"/>
        <v>0.99999992473849342</v>
      </c>
      <c r="EG87">
        <f t="shared" si="1089"/>
        <v>0.99999992473849342</v>
      </c>
      <c r="EH87">
        <f t="shared" si="1089"/>
        <v>0.99999992473849342</v>
      </c>
      <c r="EI87">
        <f t="shared" si="1089"/>
        <v>0.99999992473849342</v>
      </c>
      <c r="EJ87">
        <f t="shared" si="1089"/>
        <v>0.99999992473849342</v>
      </c>
      <c r="EK87">
        <f t="shared" si="1089"/>
        <v>0.99999992473849342</v>
      </c>
      <c r="EL87">
        <f t="shared" si="1089"/>
        <v>0.99999992473849342</v>
      </c>
      <c r="EM87">
        <f t="shared" si="1089"/>
        <v>0.99999992473849342</v>
      </c>
      <c r="EN87">
        <f t="shared" si="1089"/>
        <v>0.99999992473849342</v>
      </c>
      <c r="EO87">
        <f t="shared" si="1089"/>
        <v>0.99999992473849342</v>
      </c>
      <c r="EP87">
        <f t="shared" si="1089"/>
        <v>0.99999992473849342</v>
      </c>
      <c r="EQ87">
        <f t="shared" si="1089"/>
        <v>0.99999992473849342</v>
      </c>
      <c r="ER87">
        <f t="shared" si="1089"/>
        <v>0.99999992473849342</v>
      </c>
      <c r="ES87">
        <f t="shared" si="1089"/>
        <v>0.99999992473849342</v>
      </c>
      <c r="ET87">
        <f t="shared" si="1089"/>
        <v>0.99999992473849342</v>
      </c>
      <c r="EU87">
        <f t="shared" si="1089"/>
        <v>0.99999992473849342</v>
      </c>
      <c r="EV87">
        <f t="shared" si="1089"/>
        <v>0.99999992473849342</v>
      </c>
      <c r="EW87">
        <f t="shared" si="1089"/>
        <v>0.99999992473849342</v>
      </c>
      <c r="EX87">
        <f t="shared" si="1089"/>
        <v>0.99999992473849342</v>
      </c>
      <c r="EY87">
        <f t="shared" si="1089"/>
        <v>0.99999992473849342</v>
      </c>
      <c r="EZ87">
        <f t="shared" si="1089"/>
        <v>0.99999992473849342</v>
      </c>
      <c r="FA87">
        <f t="shared" si="1089"/>
        <v>0.99999992473849342</v>
      </c>
      <c r="FB87">
        <f t="shared" si="1089"/>
        <v>0.99999992473849342</v>
      </c>
      <c r="FC87">
        <f t="shared" si="1089"/>
        <v>0.99999992473849342</v>
      </c>
      <c r="FD87">
        <f t="shared" si="1089"/>
        <v>0.99999992473849342</v>
      </c>
      <c r="FE87">
        <f t="shared" si="1089"/>
        <v>0.99999992473849342</v>
      </c>
      <c r="FF87">
        <f t="shared" si="1089"/>
        <v>0.99999992473849342</v>
      </c>
      <c r="FG87">
        <f t="shared" si="1089"/>
        <v>0.99999992473849342</v>
      </c>
      <c r="FH87">
        <f t="shared" si="1089"/>
        <v>0.99999992473849342</v>
      </c>
      <c r="FI87">
        <f t="shared" si="1089"/>
        <v>0.99999992473849342</v>
      </c>
      <c r="FJ87">
        <f t="shared" si="1089"/>
        <v>0.99999992473849342</v>
      </c>
      <c r="FK87">
        <f t="shared" si="1089"/>
        <v>0.99999992473849342</v>
      </c>
      <c r="FL87">
        <f t="shared" si="1089"/>
        <v>0.99999992473849342</v>
      </c>
      <c r="FM87">
        <f t="shared" si="1089"/>
        <v>0.99999992473849342</v>
      </c>
      <c r="FN87">
        <f t="shared" si="1089"/>
        <v>0.99999992473849342</v>
      </c>
      <c r="FO87">
        <f t="shared" si="1089"/>
        <v>0.99999992473849342</v>
      </c>
      <c r="FP87">
        <f t="shared" si="1089"/>
        <v>0.99999992473849342</v>
      </c>
      <c r="FQ87">
        <f t="shared" si="1089"/>
        <v>0.99999992473849342</v>
      </c>
      <c r="FR87">
        <f t="shared" si="1089"/>
        <v>0.99999992473849342</v>
      </c>
      <c r="FS87">
        <f t="shared" si="1089"/>
        <v>0.99999992473849342</v>
      </c>
      <c r="FT87">
        <f t="shared" si="1089"/>
        <v>0.99999992473849342</v>
      </c>
      <c r="FU87">
        <f t="shared" si="1089"/>
        <v>0.99999992473849342</v>
      </c>
      <c r="FV87">
        <f t="shared" si="1089"/>
        <v>0.99999992473849342</v>
      </c>
      <c r="FW87">
        <f t="shared" si="1089"/>
        <v>0.99999992473849342</v>
      </c>
      <c r="FX87">
        <f t="shared" si="1089"/>
        <v>0.99999992473849342</v>
      </c>
      <c r="FY87">
        <f t="shared" si="1089"/>
        <v>0.99999992473849342</v>
      </c>
      <c r="FZ87">
        <f t="shared" si="1089"/>
        <v>0.99999992473849342</v>
      </c>
      <c r="GA87">
        <f t="shared" si="1089"/>
        <v>0.99999992473849342</v>
      </c>
      <c r="GB87">
        <f t="shared" si="1089"/>
        <v>0.99999992473849342</v>
      </c>
      <c r="GC87">
        <f t="shared" si="1089"/>
        <v>0.99999992473849342</v>
      </c>
      <c r="GD87">
        <f t="shared" si="1089"/>
        <v>0.99999992473849342</v>
      </c>
      <c r="GE87">
        <f t="shared" si="1089"/>
        <v>0.99999992473849342</v>
      </c>
      <c r="GF87">
        <f t="shared" si="1089"/>
        <v>0.99999992473849342</v>
      </c>
      <c r="GG87">
        <f t="shared" si="1089"/>
        <v>0.99999992473849342</v>
      </c>
      <c r="GH87">
        <f t="shared" si="1089"/>
        <v>0.99999992473849342</v>
      </c>
      <c r="GI87">
        <f t="shared" si="1089"/>
        <v>0.99999992473849342</v>
      </c>
      <c r="GJ87">
        <f t="shared" si="1089"/>
        <v>0.99999992473849342</v>
      </c>
      <c r="GK87">
        <f t="shared" si="1089"/>
        <v>0.99999992473849342</v>
      </c>
      <c r="GL87">
        <f t="shared" si="1089"/>
        <v>0.99999992473849342</v>
      </c>
      <c r="GM87">
        <f t="shared" si="1089"/>
        <v>0.99999992473849342</v>
      </c>
      <c r="GN87">
        <f t="shared" ref="GN87:IV87" si="1090">MIN(1,GN53)</f>
        <v>0.99999992473849342</v>
      </c>
      <c r="GO87">
        <f t="shared" si="1090"/>
        <v>0.99999992473849342</v>
      </c>
      <c r="GP87">
        <f t="shared" si="1090"/>
        <v>0.99999992473849342</v>
      </c>
      <c r="GQ87">
        <f t="shared" si="1090"/>
        <v>0.99999992473849342</v>
      </c>
      <c r="GR87">
        <f t="shared" si="1090"/>
        <v>0.99999992473849342</v>
      </c>
      <c r="GS87">
        <f t="shared" si="1090"/>
        <v>0.99999992473849342</v>
      </c>
      <c r="GT87">
        <f t="shared" si="1090"/>
        <v>0.99999992473849342</v>
      </c>
      <c r="GU87">
        <f t="shared" si="1090"/>
        <v>0.99999992473849342</v>
      </c>
      <c r="GV87">
        <f t="shared" si="1090"/>
        <v>0.99999992473849342</v>
      </c>
      <c r="GW87">
        <f t="shared" si="1090"/>
        <v>0.99999992473849342</v>
      </c>
      <c r="GX87">
        <f t="shared" si="1090"/>
        <v>0.99999992473849342</v>
      </c>
      <c r="GY87">
        <f t="shared" si="1090"/>
        <v>0.99999992473849342</v>
      </c>
      <c r="GZ87">
        <f t="shared" si="1090"/>
        <v>0.99999992473849342</v>
      </c>
      <c r="HA87">
        <f t="shared" si="1090"/>
        <v>0.99999992473849342</v>
      </c>
      <c r="HB87">
        <f t="shared" si="1090"/>
        <v>0.99999992473849342</v>
      </c>
      <c r="HC87">
        <f t="shared" si="1090"/>
        <v>0.99999992473849342</v>
      </c>
      <c r="HD87">
        <f t="shared" si="1090"/>
        <v>0.99999992473849342</v>
      </c>
      <c r="HE87">
        <f t="shared" si="1090"/>
        <v>0.99999992473849342</v>
      </c>
      <c r="HF87">
        <f t="shared" si="1090"/>
        <v>0.99999992473849342</v>
      </c>
      <c r="HG87">
        <f t="shared" si="1090"/>
        <v>0.99999992473849342</v>
      </c>
      <c r="HH87">
        <f t="shared" si="1090"/>
        <v>0.99999992473849342</v>
      </c>
      <c r="HI87">
        <f t="shared" si="1090"/>
        <v>0.99999992473849342</v>
      </c>
      <c r="HJ87">
        <f t="shared" si="1090"/>
        <v>0.99999992473849342</v>
      </c>
      <c r="HK87">
        <f t="shared" si="1090"/>
        <v>0.99999992473849342</v>
      </c>
      <c r="HL87">
        <f t="shared" si="1090"/>
        <v>0.99999992473849342</v>
      </c>
      <c r="HM87">
        <f t="shared" si="1090"/>
        <v>0.99999992473849342</v>
      </c>
      <c r="HN87">
        <f t="shared" si="1090"/>
        <v>0.99999992473849342</v>
      </c>
      <c r="HO87">
        <f t="shared" si="1090"/>
        <v>0.99999992473849342</v>
      </c>
      <c r="HP87">
        <f t="shared" si="1090"/>
        <v>0.99999992473849342</v>
      </c>
      <c r="HQ87">
        <f t="shared" si="1090"/>
        <v>0.99999992473849342</v>
      </c>
      <c r="HR87">
        <f t="shared" si="1090"/>
        <v>0.99999992473849342</v>
      </c>
      <c r="HS87">
        <f t="shared" si="1090"/>
        <v>0.99999992473849342</v>
      </c>
      <c r="HT87">
        <f t="shared" si="1090"/>
        <v>0.99999992473849342</v>
      </c>
      <c r="HU87">
        <f t="shared" si="1090"/>
        <v>0.99999992473849342</v>
      </c>
      <c r="HV87">
        <f t="shared" si="1090"/>
        <v>0.99999992473849342</v>
      </c>
      <c r="HW87">
        <f t="shared" si="1090"/>
        <v>0.99999992473849342</v>
      </c>
      <c r="HX87">
        <f t="shared" si="1090"/>
        <v>0.99999992473849342</v>
      </c>
      <c r="HY87">
        <f t="shared" si="1090"/>
        <v>0.99999992473849342</v>
      </c>
      <c r="HZ87">
        <f t="shared" si="1090"/>
        <v>0.99999992473849342</v>
      </c>
      <c r="IA87">
        <f t="shared" si="1090"/>
        <v>0.99999992473849342</v>
      </c>
      <c r="IB87">
        <f t="shared" si="1090"/>
        <v>0.99999992473849342</v>
      </c>
      <c r="IC87">
        <f t="shared" si="1090"/>
        <v>0.99999992473849342</v>
      </c>
      <c r="ID87">
        <f t="shared" si="1090"/>
        <v>0.99999992473849342</v>
      </c>
      <c r="IE87">
        <f t="shared" si="1090"/>
        <v>0.99999992473849342</v>
      </c>
      <c r="IF87">
        <f t="shared" si="1090"/>
        <v>0.99999992473849342</v>
      </c>
      <c r="IG87">
        <f t="shared" si="1090"/>
        <v>0.99999992473849342</v>
      </c>
      <c r="IH87">
        <f t="shared" si="1090"/>
        <v>0.99999992473849342</v>
      </c>
      <c r="II87">
        <f t="shared" si="1090"/>
        <v>0.99999992473849342</v>
      </c>
      <c r="IJ87">
        <f t="shared" si="1090"/>
        <v>0.99999992473849342</v>
      </c>
      <c r="IK87">
        <f t="shared" si="1090"/>
        <v>0.99999992473849342</v>
      </c>
      <c r="IL87">
        <f t="shared" si="1090"/>
        <v>0.99999992473849342</v>
      </c>
      <c r="IM87">
        <f t="shared" si="1090"/>
        <v>0.99999992473849342</v>
      </c>
      <c r="IN87">
        <f t="shared" si="1090"/>
        <v>0.99999992473849342</v>
      </c>
      <c r="IO87">
        <f t="shared" si="1090"/>
        <v>0.99999992473849342</v>
      </c>
      <c r="IP87">
        <f t="shared" si="1090"/>
        <v>0.99999992473849342</v>
      </c>
      <c r="IQ87">
        <f t="shared" si="1090"/>
        <v>0.99999992473849342</v>
      </c>
      <c r="IR87">
        <f t="shared" si="1090"/>
        <v>0.99999992473849342</v>
      </c>
      <c r="IS87">
        <f t="shared" si="1090"/>
        <v>0.99999992473849342</v>
      </c>
      <c r="IT87">
        <f t="shared" si="1090"/>
        <v>0.99999992473849342</v>
      </c>
      <c r="IU87">
        <f t="shared" si="1090"/>
        <v>0.99999992473849342</v>
      </c>
      <c r="IV87">
        <f t="shared" si="1090"/>
        <v>0.99999992473849342</v>
      </c>
    </row>
    <row r="88" spans="1:256" x14ac:dyDescent="0.2">
      <c r="A88" t="s">
        <v>559</v>
      </c>
      <c r="B88">
        <v>0.93385078430175783</v>
      </c>
      <c r="C88">
        <f t="shared" ref="C88:BN88" si="1091">C3/$B$105</f>
        <v>0.98778779098007674</v>
      </c>
      <c r="D88">
        <f t="shared" si="1091"/>
        <v>0.98882587969260505</v>
      </c>
      <c r="E88">
        <f t="shared" si="1091"/>
        <v>0.98985099229622686</v>
      </c>
      <c r="F88">
        <f t="shared" si="1091"/>
        <v>0.9908632909923033</v>
      </c>
      <c r="G88">
        <f t="shared" si="1091"/>
        <v>0.99186293595467878</v>
      </c>
      <c r="H88">
        <f t="shared" si="1091"/>
        <v>0.99285008535502461</v>
      </c>
      <c r="I88">
        <f t="shared" si="1091"/>
        <v>0.99382489538786623</v>
      </c>
      <c r="J88">
        <f t="shared" si="1091"/>
        <v>0.99478752029529727</v>
      </c>
      <c r="K88">
        <f t="shared" si="1091"/>
        <v>0.99573811239138532</v>
      </c>
      <c r="L88">
        <f t="shared" si="1091"/>
        <v>0.9966768220862724</v>
      </c>
      <c r="M88">
        <f t="shared" si="1091"/>
        <v>0.99760379790997333</v>
      </c>
      <c r="N88">
        <f t="shared" si="1091"/>
        <v>0.9985191865358779</v>
      </c>
      <c r="O88">
        <f t="shared" si="1091"/>
        <v>0.99942313280395878</v>
      </c>
      <c r="P88">
        <f t="shared" si="1091"/>
        <v>1.0003157797436888</v>
      </c>
      <c r="Q88">
        <f t="shared" si="1091"/>
        <v>1.0011972685966719</v>
      </c>
      <c r="R88">
        <f t="shared" si="1091"/>
        <v>1.0020677388389929</v>
      </c>
      <c r="S88">
        <f t="shared" si="1091"/>
        <v>1.0029273282032849</v>
      </c>
      <c r="T88">
        <f t="shared" si="1091"/>
        <v>1.0037761727005232</v>
      </c>
      <c r="U88">
        <f t="shared" si="1091"/>
        <v>1.0046144066415459</v>
      </c>
      <c r="V88">
        <f t="shared" si="1091"/>
        <v>1.0054421626583059</v>
      </c>
      <c r="W88">
        <f t="shared" si="1091"/>
        <v>1.0062595717248564</v>
      </c>
      <c r="X88">
        <f t="shared" si="1091"/>
        <v>1.0070667631780752</v>
      </c>
      <c r="Y88">
        <f t="shared" si="1091"/>
        <v>1.0078638647381284</v>
      </c>
      <c r="Z88">
        <f t="shared" si="1091"/>
        <v>1.0086510025286812</v>
      </c>
      <c r="AA88">
        <f t="shared" si="1091"/>
        <v>0.99776656209249115</v>
      </c>
      <c r="AB88">
        <f t="shared" si="1091"/>
        <v>0.98704254686123383</v>
      </c>
      <c r="AC88">
        <f t="shared" si="1091"/>
        <v>0.97647613113012988</v>
      </c>
      <c r="AD88">
        <f t="shared" si="1091"/>
        <v>0.96606453785559787</v>
      </c>
      <c r="AE88">
        <f t="shared" si="1091"/>
        <v>0.95580503790542337</v>
      </c>
      <c r="AF88">
        <f t="shared" si="1091"/>
        <v>0.94569494931040399</v>
      </c>
      <c r="AG88">
        <f t="shared" si="1091"/>
        <v>0.93573163652286229</v>
      </c>
      <c r="AH88">
        <f t="shared" si="1091"/>
        <v>0.92591250968612693</v>
      </c>
      <c r="AI88">
        <f t="shared" si="1091"/>
        <v>0.92772403941482973</v>
      </c>
      <c r="AJ88">
        <f t="shared" si="1091"/>
        <v>0.92951292502192362</v>
      </c>
      <c r="AK88">
        <f t="shared" si="1091"/>
        <v>0.93127944955892894</v>
      </c>
      <c r="AL88">
        <f t="shared" si="1091"/>
        <v>0.93302389253922169</v>
      </c>
      <c r="AM88">
        <f t="shared" si="1091"/>
        <v>0.93474652998226082</v>
      </c>
      <c r="AN88">
        <f t="shared" si="1091"/>
        <v>0.93644763445726187</v>
      </c>
      <c r="AO88">
        <f t="shared" si="1091"/>
        <v>0.93812747512632544</v>
      </c>
      <c r="AP88">
        <f t="shared" si="1091"/>
        <v>0.9397863177870257</v>
      </c>
      <c r="AQ88">
        <f t="shared" si="1091"/>
        <v>0.94142442491446721</v>
      </c>
      <c r="AR88">
        <f t="shared" si="1091"/>
        <v>0.94304205570281574</v>
      </c>
      <c r="AS88">
        <f t="shared" si="1091"/>
        <v>0.94463946610630989</v>
      </c>
      <c r="AT88">
        <f t="shared" si="1091"/>
        <v>0.94621690887976029</v>
      </c>
      <c r="AU88">
        <f t="shared" si="1091"/>
        <v>0.94777463361854264</v>
      </c>
      <c r="AV88">
        <f t="shared" si="1091"/>
        <v>0.94931288679809023</v>
      </c>
      <c r="AW88">
        <f t="shared" si="1091"/>
        <v>0.95083191181289339</v>
      </c>
      <c r="AX88">
        <f t="shared" si="1091"/>
        <v>0.95233194901501161</v>
      </c>
      <c r="AY88">
        <f t="shared" si="1091"/>
        <v>0.95042060973298059</v>
      </c>
      <c r="AZ88">
        <f t="shared" si="1091"/>
        <v>0.94870113584276605</v>
      </c>
      <c r="BA88">
        <f t="shared" si="1091"/>
        <v>0.94718025869307798</v>
      </c>
      <c r="BB88">
        <f t="shared" si="1091"/>
        <v>0.94586522282830243</v>
      </c>
      <c r="BC88">
        <f t="shared" si="1091"/>
        <v>0.94476382249016744</v>
      </c>
      <c r="BD88">
        <f t="shared" si="1091"/>
        <v>0.94388444201060151</v>
      </c>
      <c r="BE88">
        <f t="shared" si="1091"/>
        <v>0.94323610051503726</v>
      </c>
      <c r="BF88">
        <f t="shared" si="1091"/>
        <v>0.94282850141238317</v>
      </c>
      <c r="BG88">
        <f t="shared" si="1091"/>
        <v>0.94267208721337015</v>
      </c>
      <c r="BH88">
        <f t="shared" si="1091"/>
        <v>0.94277810029443665</v>
      </c>
      <c r="BI88">
        <f t="shared" si="1091"/>
        <v>0.94315865031150714</v>
      </c>
      <c r="BJ88">
        <f t="shared" si="1091"/>
        <v>0.94382439114660366</v>
      </c>
      <c r="BK88">
        <f t="shared" si="1091"/>
        <v>0.94478162027485701</v>
      </c>
      <c r="BL88">
        <f t="shared" si="1091"/>
        <v>0.94603702446753857</v>
      </c>
      <c r="BM88">
        <f t="shared" si="1091"/>
        <v>0.94759699776147366</v>
      </c>
      <c r="BN88">
        <f t="shared" si="1091"/>
        <v>0.94913747138923465</v>
      </c>
      <c r="BO88">
        <f t="shared" ref="BO88:DZ88" si="1092">BO3/$B$105</f>
        <v>0.95065868909664852</v>
      </c>
      <c r="BP88">
        <f t="shared" si="1092"/>
        <v>0.95216089158271977</v>
      </c>
      <c r="BQ88">
        <f t="shared" si="1092"/>
        <v>0.9536443165377152</v>
      </c>
      <c r="BR88">
        <f t="shared" si="1092"/>
        <v>0.95510919868077315</v>
      </c>
      <c r="BS88">
        <f t="shared" si="1092"/>
        <v>0.95655576979704271</v>
      </c>
      <c r="BT88">
        <f t="shared" si="1092"/>
        <v>0.957984258774359</v>
      </c>
      <c r="BU88">
        <f t="shared" si="1092"/>
        <v>0.95939489163945879</v>
      </c>
      <c r="BV88">
        <f t="shared" si="1092"/>
        <v>0.96078789159374489</v>
      </c>
      <c r="BW88">
        <f t="shared" si="1092"/>
        <v>0.96216347904860244</v>
      </c>
      <c r="BX88">
        <f t="shared" si="1092"/>
        <v>0.96352187166027425</v>
      </c>
      <c r="BY88">
        <f t="shared" si="1092"/>
        <v>0.96486328436430013</v>
      </c>
      <c r="BZ88">
        <f t="shared" si="1092"/>
        <v>0.96618792940952569</v>
      </c>
      <c r="CA88">
        <f t="shared" si="1092"/>
        <v>0.96749601639168603</v>
      </c>
      <c r="CB88">
        <f t="shared" si="1092"/>
        <v>0.96878775228656921</v>
      </c>
      <c r="CC88">
        <f t="shared" si="1092"/>
        <v>0.97006334148276641</v>
      </c>
      <c r="CD88">
        <f t="shared" si="1092"/>
        <v>0.97132298581401122</v>
      </c>
      <c r="CE88">
        <f t="shared" si="1092"/>
        <v>0.9725668845911154</v>
      </c>
      <c r="CF88">
        <f t="shared" si="1092"/>
        <v>0.97379523463350581</v>
      </c>
      <c r="CG88">
        <f t="shared" si="1092"/>
        <v>0.97500823030036632</v>
      </c>
      <c r="CH88">
        <f t="shared" si="1092"/>
        <v>0.97620606352139105</v>
      </c>
      <c r="CI88">
        <f t="shared" si="1092"/>
        <v>0.97738892382715303</v>
      </c>
      <c r="CJ88">
        <f t="shared" si="1092"/>
        <v>0.97855699837909293</v>
      </c>
      <c r="CK88">
        <f t="shared" si="1092"/>
        <v>0.97971047199913364</v>
      </c>
      <c r="CL88">
        <f t="shared" si="1092"/>
        <v>0.98084952719892382</v>
      </c>
      <c r="CM88">
        <f t="shared" si="1092"/>
        <v>0.98197434420871654</v>
      </c>
      <c r="CN88">
        <f t="shared" si="1092"/>
        <v>0.98308510100588697</v>
      </c>
      <c r="CO88">
        <f t="shared" si="1092"/>
        <v>0.98418197334309276</v>
      </c>
      <c r="CP88">
        <f t="shared" si="1092"/>
        <v>0.98526513477608346</v>
      </c>
      <c r="CQ88">
        <f t="shared" si="1092"/>
        <v>0.98633475669116177</v>
      </c>
      <c r="CR88">
        <f t="shared" si="1092"/>
        <v>0.98739100833230165</v>
      </c>
      <c r="CS88">
        <f t="shared" si="1092"/>
        <v>0.98843405682792718</v>
      </c>
      <c r="CT88">
        <f t="shared" si="1092"/>
        <v>0.98946406721735747</v>
      </c>
      <c r="CU88">
        <f t="shared" si="1092"/>
        <v>0.99048120247691995</v>
      </c>
      <c r="CV88">
        <f t="shared" si="1092"/>
        <v>0.99148562354573777</v>
      </c>
      <c r="CW88">
        <f t="shared" si="1092"/>
        <v>0.9924774893511954</v>
      </c>
      <c r="CX88">
        <f t="shared" si="1092"/>
        <v>0.99345695683408475</v>
      </c>
      <c r="CY88">
        <f t="shared" si="1092"/>
        <v>0.99442418097343799</v>
      </c>
      <c r="CZ88">
        <f t="shared" si="1092"/>
        <v>0.99537931481104935</v>
      </c>
      <c r="DA88">
        <f t="shared" si="1092"/>
        <v>0.99632250947569057</v>
      </c>
      <c r="DB88">
        <f t="shared" si="1092"/>
        <v>0.99725391420702381</v>
      </c>
      <c r="DC88">
        <f t="shared" si="1092"/>
        <v>0.99817367637921528</v>
      </c>
      <c r="DD88">
        <f t="shared" si="1092"/>
        <v>0.99908194152425445</v>
      </c>
      <c r="DE88">
        <f t="shared" si="1092"/>
        <v>0.9999788533549806</v>
      </c>
      <c r="DF88">
        <f t="shared" si="1092"/>
        <v>1.0008645537878227</v>
      </c>
      <c r="DG88">
        <f t="shared" si="1092"/>
        <v>1.0017391829652542</v>
      </c>
      <c r="DH88">
        <f t="shared" si="1092"/>
        <v>1.0026028792779678</v>
      </c>
      <c r="DI88">
        <f t="shared" si="1092"/>
        <v>1.0034557793867727</v>
      </c>
      <c r="DJ88">
        <f t="shared" si="1092"/>
        <v>1.0042980182442172</v>
      </c>
      <c r="DK88">
        <f t="shared" si="1092"/>
        <v>1.005129729115944</v>
      </c>
      <c r="DL88">
        <f t="shared" si="1092"/>
        <v>1.005951043601774</v>
      </c>
      <c r="DM88">
        <f t="shared" si="1092"/>
        <v>1.0067620916565312</v>
      </c>
      <c r="DN88">
        <f t="shared" si="1092"/>
        <v>1.0075630016106039</v>
      </c>
      <c r="DO88">
        <f t="shared" si="1092"/>
        <v>1.0083539001902506</v>
      </c>
      <c r="DP88">
        <f t="shared" si="1092"/>
        <v>1.0091349125376519</v>
      </c>
      <c r="DQ88">
        <f t="shared" si="1092"/>
        <v>1.0099061622307106</v>
      </c>
      <c r="DR88">
        <f t="shared" si="1092"/>
        <v>1.010667771302606</v>
      </c>
      <c r="DS88">
        <f t="shared" si="1092"/>
        <v>1.0114198602611029</v>
      </c>
      <c r="DT88">
        <f t="shared" si="1092"/>
        <v>1.0121625481076184</v>
      </c>
      <c r="DU88">
        <f t="shared" si="1092"/>
        <v>1.0128959523560526</v>
      </c>
      <c r="DV88">
        <f t="shared" si="1092"/>
        <v>1.0136201890513812</v>
      </c>
      <c r="DW88">
        <f t="shared" si="1092"/>
        <v>1.0143353727880182</v>
      </c>
      <c r="DX88">
        <f t="shared" si="1092"/>
        <v>1.0150416167279472</v>
      </c>
      <c r="DY88">
        <f t="shared" si="1092"/>
        <v>1.0157390326186273</v>
      </c>
      <c r="DZ88">
        <f t="shared" si="1092"/>
        <v>1.0164277308106737</v>
      </c>
      <c r="EA88">
        <f t="shared" ref="EA88:GL88" si="1093">EA3/$B$105</f>
        <v>1.0171078202753197</v>
      </c>
      <c r="EB88">
        <f t="shared" si="1093"/>
        <v>1.0177794086216576</v>
      </c>
      <c r="EC88">
        <f t="shared" si="1093"/>
        <v>1.0184426021136661</v>
      </c>
      <c r="ED88">
        <f t="shared" si="1093"/>
        <v>1.0190975056870246</v>
      </c>
      <c r="EE88">
        <f t="shared" si="1093"/>
        <v>1.0197442229657163</v>
      </c>
      <c r="EF88">
        <f t="shared" si="1093"/>
        <v>1.0203828562784241</v>
      </c>
      <c r="EG88">
        <f t="shared" si="1093"/>
        <v>1.0210135066747232</v>
      </c>
      <c r="EH88">
        <f t="shared" si="1093"/>
        <v>1.0216362739410685</v>
      </c>
      <c r="EI88">
        <f t="shared" si="1093"/>
        <v>1.0222512566165844</v>
      </c>
      <c r="EJ88">
        <f t="shared" si="1093"/>
        <v>1.0228585520086564</v>
      </c>
      <c r="EK88">
        <f t="shared" si="1093"/>
        <v>1.0234582562083276</v>
      </c>
      <c r="EL88">
        <f t="shared" si="1093"/>
        <v>1.0240504641055028</v>
      </c>
      <c r="EM88">
        <f t="shared" si="1093"/>
        <v>1.0246352694039633</v>
      </c>
      <c r="EN88">
        <f t="shared" si="1093"/>
        <v>1.025212764636193</v>
      </c>
      <c r="EO88">
        <f t="shared" si="1093"/>
        <v>1.02578304117802</v>
      </c>
      <c r="EP88">
        <f t="shared" si="1093"/>
        <v>1.0263461892630741</v>
      </c>
      <c r="EQ88">
        <f t="shared" si="1093"/>
        <v>1.0269022979970652</v>
      </c>
      <c r="ER88">
        <f t="shared" si="1093"/>
        <v>1.0274514553718812</v>
      </c>
      <c r="ES88">
        <f t="shared" si="1093"/>
        <v>1.0279937482795121</v>
      </c>
      <c r="ET88">
        <f t="shared" si="1093"/>
        <v>1.0285292625257976</v>
      </c>
      <c r="EU88">
        <f t="shared" si="1093"/>
        <v>1.0290580828440044</v>
      </c>
      <c r="EV88">
        <f t="shared" si="1093"/>
        <v>1.0295802929082336</v>
      </c>
      <c r="EW88">
        <f t="shared" si="1093"/>
        <v>1.0300959753466601</v>
      </c>
      <c r="EX88">
        <f t="shared" si="1093"/>
        <v>1.0306052117546063</v>
      </c>
      <c r="EY88">
        <f t="shared" si="1093"/>
        <v>1.031108082707453</v>
      </c>
      <c r="EZ88">
        <f t="shared" si="1093"/>
        <v>1.031604667773389</v>
      </c>
      <c r="FA88">
        <f t="shared" si="1093"/>
        <v>1.0320950455260012</v>
      </c>
      <c r="FB88">
        <f t="shared" si="1093"/>
        <v>1.0325792935567053</v>
      </c>
      <c r="FC88">
        <f t="shared" si="1093"/>
        <v>1.0330574884870258</v>
      </c>
      <c r="FD88">
        <f t="shared" si="1093"/>
        <v>1.0335297059807174</v>
      </c>
      <c r="FE88">
        <f t="shared" si="1093"/>
        <v>1.0339960207557377</v>
      </c>
      <c r="FF88">
        <f t="shared" si="1093"/>
        <v>1.0344565065960705</v>
      </c>
      <c r="FG88">
        <f t="shared" si="1093"/>
        <v>1.0349112363633988</v>
      </c>
      <c r="FH88">
        <f t="shared" si="1093"/>
        <v>1.0353602820086358</v>
      </c>
      <c r="FI88">
        <f t="shared" si="1093"/>
        <v>1.0358037145833072</v>
      </c>
      <c r="FJ88">
        <f t="shared" si="1093"/>
        <v>1.0362416042507951</v>
      </c>
      <c r="FK88">
        <f t="shared" si="1093"/>
        <v>1.0366740202974396</v>
      </c>
      <c r="FL88">
        <f t="shared" si="1093"/>
        <v>1.0371010311435009</v>
      </c>
      <c r="FM88">
        <f t="shared" si="1093"/>
        <v>1.0375227043539865</v>
      </c>
      <c r="FN88">
        <f t="shared" si="1093"/>
        <v>1.0379391066493411</v>
      </c>
      <c r="FO88">
        <f t="shared" si="1093"/>
        <v>1.0383503039160036</v>
      </c>
      <c r="FP88">
        <f t="shared" si="1093"/>
        <v>1.0387563612168329</v>
      </c>
      <c r="FQ88">
        <f t="shared" si="1093"/>
        <v>1.0391573428014018</v>
      </c>
      <c r="FR88">
        <f t="shared" si="1093"/>
        <v>1.0395533121161638</v>
      </c>
      <c r="FS88">
        <f t="shared" si="1093"/>
        <v>1.039944331814491</v>
      </c>
      <c r="FT88">
        <f t="shared" si="1093"/>
        <v>1.0403304637665891</v>
      </c>
      <c r="FU88">
        <f t="shared" si="1093"/>
        <v>1.0407117690692862</v>
      </c>
      <c r="FV88">
        <f t="shared" si="1093"/>
        <v>1.0410883080556994</v>
      </c>
      <c r="FW88">
        <f t="shared" si="1093"/>
        <v>1.0414601403047825</v>
      </c>
      <c r="FX88">
        <f t="shared" si="1093"/>
        <v>1.0418273246507519</v>
      </c>
      <c r="FY88">
        <f t="shared" si="1093"/>
        <v>1.0421899191923969</v>
      </c>
      <c r="FZ88">
        <f t="shared" si="1093"/>
        <v>1.0425479813022713</v>
      </c>
      <c r="GA88">
        <f t="shared" si="1093"/>
        <v>1.0429015676357725</v>
      </c>
      <c r="GB88">
        <f t="shared" si="1093"/>
        <v>1.0432507341401045</v>
      </c>
      <c r="GC88">
        <f t="shared" si="1093"/>
        <v>1.0435955360631326</v>
      </c>
      <c r="GD88">
        <f t="shared" si="1093"/>
        <v>1.0439360279621228</v>
      </c>
      <c r="GE88">
        <f t="shared" si="1093"/>
        <v>1.0442722637123756</v>
      </c>
      <c r="GF88">
        <f t="shared" si="1093"/>
        <v>1.0446042965157503</v>
      </c>
      <c r="GG88">
        <f t="shared" si="1093"/>
        <v>1.0449321789090826</v>
      </c>
      <c r="GH88">
        <f t="shared" si="1093"/>
        <v>1.0452559627724984</v>
      </c>
      <c r="GI88">
        <f t="shared" si="1093"/>
        <v>1.0455756993376217</v>
      </c>
      <c r="GJ88">
        <f t="shared" si="1093"/>
        <v>1.0458914391956808</v>
      </c>
      <c r="GK88">
        <f t="shared" si="1093"/>
        <v>1.0462032323055142</v>
      </c>
      <c r="GL88">
        <f t="shared" si="1093"/>
        <v>1.0465111280014745</v>
      </c>
      <c r="GM88">
        <f t="shared" ref="GM88:IV88" si="1094">GM3/$B$105</f>
        <v>1.0468151750012353</v>
      </c>
      <c r="GN88">
        <f t="shared" si="1094"/>
        <v>1.0471154214134992</v>
      </c>
      <c r="GO88">
        <f t="shared" si="1094"/>
        <v>1.0474119147456098</v>
      </c>
      <c r="GP88">
        <f t="shared" si="1094"/>
        <v>1.047704701911069</v>
      </c>
      <c r="GQ88">
        <f t="shared" si="1094"/>
        <v>1.0479938292369599</v>
      </c>
      <c r="GR88">
        <f t="shared" si="1094"/>
        <v>1.0482793424712773</v>
      </c>
      <c r="GS88">
        <f t="shared" si="1094"/>
        <v>1.0485612867901657</v>
      </c>
      <c r="GT88">
        <f t="shared" si="1094"/>
        <v>1.0488397068050681</v>
      </c>
      <c r="GU88">
        <f t="shared" si="1094"/>
        <v>1.049114646569784</v>
      </c>
      <c r="GV88">
        <f t="shared" si="1094"/>
        <v>1.049386149587441</v>
      </c>
      <c r="GW88">
        <f t="shared" si="1094"/>
        <v>1.0496542588173774</v>
      </c>
      <c r="GX88">
        <f t="shared" si="1094"/>
        <v>1.0499190166819397</v>
      </c>
      <c r="GY88">
        <f t="shared" si="1094"/>
        <v>1.0501804650731947</v>
      </c>
      <c r="GZ88">
        <f t="shared" si="1094"/>
        <v>1.0504386453595591</v>
      </c>
      <c r="HA88">
        <f t="shared" si="1094"/>
        <v>1.050693598392344</v>
      </c>
      <c r="HB88">
        <f t="shared" si="1094"/>
        <v>1.0509453645122191</v>
      </c>
      <c r="HC88">
        <f t="shared" si="1094"/>
        <v>1.0511939835555957</v>
      </c>
      <c r="HD88">
        <f t="shared" si="1094"/>
        <v>1.05143949486093</v>
      </c>
      <c r="HE88">
        <f t="shared" si="1094"/>
        <v>1.0516819372749477</v>
      </c>
      <c r="HF88">
        <f t="shared" si="1094"/>
        <v>1.0519213491587902</v>
      </c>
      <c r="HG88">
        <f t="shared" si="1094"/>
        <v>1.0521577683940848</v>
      </c>
      <c r="HH88">
        <f t="shared" si="1094"/>
        <v>1.0523912323889382</v>
      </c>
      <c r="HI88">
        <f t="shared" si="1094"/>
        <v>1.0526217780838556</v>
      </c>
      <c r="HJ88">
        <f t="shared" si="1094"/>
        <v>1.0528494419575869</v>
      </c>
      <c r="HK88">
        <f t="shared" si="1094"/>
        <v>1.0530742600328964</v>
      </c>
      <c r="HL88">
        <f t="shared" si="1094"/>
        <v>1.0532962678822644</v>
      </c>
      <c r="HM88">
        <f t="shared" si="1094"/>
        <v>1.0535155006335155</v>
      </c>
      <c r="HN88">
        <f t="shared" si="1094"/>
        <v>1.0537319929753759</v>
      </c>
      <c r="HO88">
        <f t="shared" si="1094"/>
        <v>1.0539457791629632</v>
      </c>
      <c r="HP88">
        <f t="shared" si="1094"/>
        <v>1.0541568930232055</v>
      </c>
      <c r="HQ88">
        <f t="shared" si="1094"/>
        <v>1.0543653679601948</v>
      </c>
      <c r="HR88">
        <f t="shared" si="1094"/>
        <v>1.0545712369604716</v>
      </c>
      <c r="HS88">
        <f t="shared" si="1094"/>
        <v>1.0547745325982449</v>
      </c>
      <c r="HT88">
        <f t="shared" si="1094"/>
        <v>1.0549752870405462</v>
      </c>
      <c r="HU88">
        <f t="shared" si="1094"/>
        <v>1.0551735320523188</v>
      </c>
      <c r="HV88">
        <f t="shared" si="1094"/>
        <v>1.0553692990014441</v>
      </c>
      <c r="HW88">
        <f t="shared" si="1094"/>
        <v>1.0555626188637053</v>
      </c>
      <c r="HX88">
        <f t="shared" si="1094"/>
        <v>1.0557535222276884</v>
      </c>
      <c r="HY88">
        <f t="shared" si="1094"/>
        <v>1.0559420392996215</v>
      </c>
      <c r="HZ88">
        <f t="shared" si="1094"/>
        <v>1.0561281999081555</v>
      </c>
      <c r="IA88">
        <f t="shared" si="1094"/>
        <v>1.056312033509083</v>
      </c>
      <c r="IB88">
        <f t="shared" si="1094"/>
        <v>1.0564935691899988</v>
      </c>
      <c r="IC88">
        <f t="shared" si="1094"/>
        <v>1.0566728356749031</v>
      </c>
      <c r="ID88">
        <f t="shared" si="1094"/>
        <v>1.0568498613287463</v>
      </c>
      <c r="IE88">
        <f t="shared" si="1094"/>
        <v>1.0570246741619163</v>
      </c>
      <c r="IF88">
        <f t="shared" si="1094"/>
        <v>1.0571973018346716</v>
      </c>
      <c r="IG88">
        <f t="shared" si="1094"/>
        <v>1.0573677716615175</v>
      </c>
      <c r="IH88">
        <f t="shared" si="1094"/>
        <v>1.0575361106155279</v>
      </c>
      <c r="II88">
        <f t="shared" si="1094"/>
        <v>1.0577023453326131</v>
      </c>
      <c r="IJ88">
        <f t="shared" si="1094"/>
        <v>1.0578665021157347</v>
      </c>
      <c r="IK88">
        <f t="shared" si="1094"/>
        <v>1.0580286069390674</v>
      </c>
      <c r="IL88">
        <f t="shared" si="1094"/>
        <v>1.0581886854521085</v>
      </c>
      <c r="IM88">
        <f t="shared" si="1094"/>
        <v>1.0583467629837364</v>
      </c>
      <c r="IN88">
        <f t="shared" si="1094"/>
        <v>1.0585028645462191</v>
      </c>
      <c r="IO88">
        <f t="shared" si="1094"/>
        <v>1.0586570148391705</v>
      </c>
      <c r="IP88">
        <f t="shared" si="1094"/>
        <v>1.0588092382534602</v>
      </c>
      <c r="IQ88">
        <f t="shared" si="1094"/>
        <v>1.0589595588750713</v>
      </c>
      <c r="IR88">
        <f t="shared" si="1094"/>
        <v>1.0591080004889124</v>
      </c>
      <c r="IS88">
        <f t="shared" si="1094"/>
        <v>1.0592545865825802</v>
      </c>
      <c r="IT88">
        <f t="shared" si="1094"/>
        <v>1.0593993403500774</v>
      </c>
      <c r="IU88">
        <f t="shared" si="1094"/>
        <v>1.0595422846954807</v>
      </c>
      <c r="IV88">
        <f t="shared" si="1094"/>
        <v>1.0596834422365666</v>
      </c>
    </row>
    <row r="89" spans="1:256" x14ac:dyDescent="0.2">
      <c r="A89" t="s">
        <v>560</v>
      </c>
      <c r="B89">
        <v>0.36852024078369139</v>
      </c>
      <c r="C89">
        <f t="shared" ref="C89:BN89" si="1095">C4/$B$106</f>
        <v>1.0074762263530739</v>
      </c>
      <c r="D89">
        <f t="shared" si="1095"/>
        <v>1.0167838233770365</v>
      </c>
      <c r="E89">
        <f t="shared" si="1095"/>
        <v>1.0258394780716267</v>
      </c>
      <c r="F89">
        <f t="shared" si="1095"/>
        <v>1.0346515208753111</v>
      </c>
      <c r="G89">
        <f t="shared" si="1095"/>
        <v>1.0432278040719249</v>
      </c>
      <c r="H89">
        <f t="shared" si="1095"/>
        <v>1.0515757470581315</v>
      </c>
      <c r="I89">
        <f t="shared" si="1095"/>
        <v>1.059702376233723</v>
      </c>
      <c r="J89">
        <f t="shared" si="1095"/>
        <v>1.0676143602828863</v>
      </c>
      <c r="K89">
        <f t="shared" si="1095"/>
        <v>1.0818046522947811</v>
      </c>
      <c r="L89">
        <f t="shared" si="1095"/>
        <v>1.0954455530796572</v>
      </c>
      <c r="M89">
        <f t="shared" si="1095"/>
        <v>1.1085506343485816</v>
      </c>
      <c r="N89">
        <f t="shared" si="1095"/>
        <v>1.1211331466783503</v>
      </c>
      <c r="O89">
        <f t="shared" si="1095"/>
        <v>1.1332060278935432</v>
      </c>
      <c r="P89">
        <f t="shared" si="1095"/>
        <v>1.1447819111874551</v>
      </c>
      <c r="Q89">
        <f t="shared" si="1095"/>
        <v>1.1558731329918492</v>
      </c>
      <c r="R89">
        <f t="shared" si="1095"/>
        <v>1.1664917406050255</v>
      </c>
      <c r="S89">
        <f t="shared" si="1095"/>
        <v>1.1758660772442571</v>
      </c>
      <c r="T89">
        <f t="shared" si="1095"/>
        <v>1.1848110582128295</v>
      </c>
      <c r="U89">
        <f t="shared" si="1095"/>
        <v>1.1933374793273581</v>
      </c>
      <c r="V89">
        <f t="shared" si="1095"/>
        <v>1.2014558847044017</v>
      </c>
      <c r="W89">
        <f t="shared" si="1095"/>
        <v>1.2091765730895454</v>
      </c>
      <c r="X89">
        <f t="shared" si="1095"/>
        <v>1.2165096039997034</v>
      </c>
      <c r="Y89">
        <f t="shared" si="1095"/>
        <v>1.2234648036853328</v>
      </c>
      <c r="Z89">
        <f t="shared" si="1095"/>
        <v>1.230051770918956</v>
      </c>
      <c r="AA89">
        <f t="shared" si="1095"/>
        <v>1.2485955632504822</v>
      </c>
      <c r="AB89">
        <f t="shared" si="1095"/>
        <v>1.2669075581778639</v>
      </c>
      <c r="AC89">
        <f t="shared" si="1095"/>
        <v>1.2849906531686537</v>
      </c>
      <c r="AD89">
        <f t="shared" si="1095"/>
        <v>1.3028477094720585</v>
      </c>
      <c r="AE89">
        <f t="shared" si="1095"/>
        <v>1.3204815525716707</v>
      </c>
      <c r="AF89">
        <f t="shared" si="1095"/>
        <v>1.3378949726325378</v>
      </c>
      <c r="AG89">
        <f t="shared" si="1095"/>
        <v>1.355090724942644</v>
      </c>
      <c r="AH89">
        <f t="shared" si="1095"/>
        <v>1.372071530348874</v>
      </c>
      <c r="AI89">
        <f t="shared" si="1095"/>
        <v>1.3638038332929923</v>
      </c>
      <c r="AJ89">
        <f t="shared" si="1095"/>
        <v>1.3557287268579661</v>
      </c>
      <c r="AK89">
        <f t="shared" si="1095"/>
        <v>1.3478432277732701</v>
      </c>
      <c r="AL89">
        <f t="shared" si="1095"/>
        <v>1.3401443707030227</v>
      </c>
      <c r="AM89">
        <f t="shared" si="1095"/>
        <v>1.3326292090969747</v>
      </c>
      <c r="AN89">
        <f t="shared" si="1095"/>
        <v>1.3252948160653548</v>
      </c>
      <c r="AO89">
        <f t="shared" si="1095"/>
        <v>1.3181382852738988</v>
      </c>
      <c r="AP89">
        <f t="shared" si="1095"/>
        <v>1.3111567318553234</v>
      </c>
      <c r="AQ89">
        <f t="shared" si="1095"/>
        <v>1.3139273139598391</v>
      </c>
      <c r="AR89">
        <f t="shared" si="1095"/>
        <v>1.3166652921085389</v>
      </c>
      <c r="AS89">
        <f t="shared" si="1095"/>
        <v>1.3193783443520815</v>
      </c>
      <c r="AT89">
        <f t="shared" si="1095"/>
        <v>1.3220736002168614</v>
      </c>
      <c r="AU89">
        <f t="shared" si="1095"/>
        <v>1.3247576931053866</v>
      </c>
      <c r="AV89">
        <f t="shared" si="1095"/>
        <v>1.3274368066017024</v>
      </c>
      <c r="AW89">
        <f t="shared" si="1095"/>
        <v>1.3301167155243034</v>
      </c>
      <c r="AX89">
        <f t="shared" si="1095"/>
        <v>1.3328028224351198</v>
      </c>
      <c r="AY89">
        <f t="shared" si="1095"/>
        <v>1.3385848022593387</v>
      </c>
      <c r="AZ89">
        <f t="shared" si="1095"/>
        <v>1.3447652007227087</v>
      </c>
      <c r="BA89">
        <f t="shared" si="1095"/>
        <v>1.3513451000793149</v>
      </c>
      <c r="BB89">
        <f t="shared" si="1095"/>
        <v>1.3583256468651521</v>
      </c>
      <c r="BC89">
        <f t="shared" si="1095"/>
        <v>1.3657080530108709</v>
      </c>
      <c r="BD89">
        <f t="shared" si="1095"/>
        <v>1.3734935968475448</v>
      </c>
      <c r="BE89">
        <f t="shared" si="1095"/>
        <v>1.3816836240196171</v>
      </c>
      <c r="BF89">
        <f t="shared" si="1095"/>
        <v>1.3902795483168517</v>
      </c>
      <c r="BG89">
        <f t="shared" si="1095"/>
        <v>1.3992828524352123</v>
      </c>
      <c r="BH89">
        <f t="shared" si="1095"/>
        <v>1.4086950886750411</v>
      </c>
      <c r="BI89">
        <f t="shared" si="1095"/>
        <v>1.4185178795836388</v>
      </c>
      <c r="BJ89">
        <f t="shared" si="1095"/>
        <v>1.4287529185482859</v>
      </c>
      <c r="BK89">
        <f t="shared" si="1095"/>
        <v>1.4394019703448788</v>
      </c>
      <c r="BL89">
        <f t="shared" si="1095"/>
        <v>1.4504668715591973</v>
      </c>
      <c r="BM89">
        <f t="shared" si="1095"/>
        <v>1.4619495307895416</v>
      </c>
      <c r="BN89">
        <f t="shared" si="1095"/>
        <v>1.4738519288206124</v>
      </c>
      <c r="BO89">
        <f t="shared" ref="BO89:DZ89" si="1096">BO4/$B$106</f>
        <v>1.4861761187728808</v>
      </c>
      <c r="BP89">
        <f t="shared" si="1096"/>
        <v>1.498924220716191</v>
      </c>
      <c r="BQ89">
        <f t="shared" si="1096"/>
        <v>1.5120984149069268</v>
      </c>
      <c r="BR89">
        <f t="shared" si="1096"/>
        <v>1.5257009424594734</v>
      </c>
      <c r="BS89">
        <f t="shared" si="1096"/>
        <v>1.5397341061184067</v>
      </c>
      <c r="BT89">
        <f t="shared" si="1096"/>
        <v>1.554200271022999</v>
      </c>
      <c r="BU89">
        <f t="shared" si="1096"/>
        <v>1.5686922071032248</v>
      </c>
      <c r="BV89">
        <f t="shared" si="1096"/>
        <v>1.5830029939824473</v>
      </c>
      <c r="BW89">
        <f t="shared" si="1096"/>
        <v>1.5971348960256797</v>
      </c>
      <c r="BX89">
        <f t="shared" si="1096"/>
        <v>1.6110901492933716</v>
      </c>
      <c r="BY89">
        <f t="shared" si="1096"/>
        <v>1.6248709618952175</v>
      </c>
      <c r="BZ89">
        <f t="shared" si="1096"/>
        <v>1.6384795143395403</v>
      </c>
      <c r="CA89">
        <f t="shared" si="1096"/>
        <v>1.6519179598783091</v>
      </c>
      <c r="CB89">
        <f t="shared" si="1096"/>
        <v>1.6651884248478432</v>
      </c>
      <c r="CC89">
        <f t="shared" si="1096"/>
        <v>1.6782930090052584</v>
      </c>
      <c r="CD89">
        <f t="shared" si="1096"/>
        <v>1.6912337858607054</v>
      </c>
      <c r="CE89">
        <f t="shared" si="1096"/>
        <v>1.7040128030054598</v>
      </c>
      <c r="CF89">
        <f t="shared" si="1096"/>
        <v>1.7166320824359045</v>
      </c>
      <c r="CG89">
        <f t="shared" si="1096"/>
        <v>1.7290936208734686</v>
      </c>
      <c r="CH89">
        <f t="shared" si="1096"/>
        <v>1.7413993900805635</v>
      </c>
      <c r="CI89">
        <f t="shared" si="1096"/>
        <v>1.7535513371725695</v>
      </c>
      <c r="CJ89">
        <f t="shared" si="1096"/>
        <v>1.7655513849259254</v>
      </c>
      <c r="CK89">
        <f t="shared" si="1096"/>
        <v>1.7774014320823643</v>
      </c>
      <c r="CL89">
        <f t="shared" si="1096"/>
        <v>1.7891033536493479</v>
      </c>
      <c r="CM89">
        <f t="shared" si="1096"/>
        <v>1.800659001196744</v>
      </c>
      <c r="CN89">
        <f t="shared" si="1096"/>
        <v>1.8120702031497977</v>
      </c>
      <c r="CO89">
        <f t="shared" si="1096"/>
        <v>1.8233387650784383</v>
      </c>
      <c r="CP89">
        <f t="shared" si="1096"/>
        <v>1.8344664699829709</v>
      </c>
      <c r="CQ89">
        <f t="shared" si="1096"/>
        <v>1.845455078576197</v>
      </c>
      <c r="CR89">
        <f t="shared" si="1096"/>
        <v>1.8563063295620075</v>
      </c>
      <c r="CS89">
        <f t="shared" si="1096"/>
        <v>1.8670219399104955</v>
      </c>
      <c r="CT89">
        <f t="shared" si="1096"/>
        <v>1.8776036051296272</v>
      </c>
      <c r="CU89">
        <f t="shared" si="1096"/>
        <v>1.8880529995335198</v>
      </c>
      <c r="CV89">
        <f t="shared" si="1096"/>
        <v>1.898371776507364</v>
      </c>
      <c r="CW89">
        <f t="shared" si="1096"/>
        <v>1.9085615687690349</v>
      </c>
      <c r="CX89">
        <f t="shared" si="1096"/>
        <v>1.9186239886274352</v>
      </c>
      <c r="CY89">
        <f t="shared" si="1096"/>
        <v>1.9285606282376051</v>
      </c>
      <c r="CZ89">
        <f t="shared" si="1096"/>
        <v>1.9383730598526481</v>
      </c>
      <c r="DA89">
        <f t="shared" si="1096"/>
        <v>1.9480628360725032</v>
      </c>
      <c r="DB89">
        <f t="shared" si="1096"/>
        <v>1.9576314900896099</v>
      </c>
      <c r="DC89">
        <f t="shared" si="1096"/>
        <v>1.9670805359315029</v>
      </c>
      <c r="DD89">
        <f t="shared" si="1096"/>
        <v>1.9764114687003722</v>
      </c>
      <c r="DE89">
        <f t="shared" si="1096"/>
        <v>1.9856257648096307</v>
      </c>
      <c r="DF89">
        <f t="shared" si="1096"/>
        <v>1.9947248822175234</v>
      </c>
      <c r="DG89">
        <f t="shared" si="1096"/>
        <v>2.0037102606578174</v>
      </c>
      <c r="DH89">
        <f t="shared" si="1096"/>
        <v>2.0125833218676075</v>
      </c>
      <c r="DI89">
        <f t="shared" si="1096"/>
        <v>2.0213454698122755</v>
      </c>
      <c r="DJ89">
        <f t="shared" si="1096"/>
        <v>2.0299980909076352</v>
      </c>
      <c r="DK89">
        <f t="shared" si="1096"/>
        <v>2.038542554239303</v>
      </c>
      <c r="DL89">
        <f t="shared" si="1096"/>
        <v>2.0469802117793243</v>
      </c>
      <c r="DM89">
        <f t="shared" si="1096"/>
        <v>2.0553123986000958</v>
      </c>
      <c r="DN89">
        <f t="shared" si="1096"/>
        <v>2.0635404330856075</v>
      </c>
      <c r="DO89">
        <f t="shared" si="1096"/>
        <v>2.0716656171400505</v>
      </c>
      <c r="DP89">
        <f t="shared" si="1096"/>
        <v>2.0796892363938131</v>
      </c>
      <c r="DQ89">
        <f t="shared" si="1096"/>
        <v>2.0876125604069036</v>
      </c>
      <c r="DR89">
        <f t="shared" si="1096"/>
        <v>2.0954368428698302</v>
      </c>
      <c r="DS89">
        <f t="shared" si="1096"/>
        <v>2.1031633218019703</v>
      </c>
      <c r="DT89">
        <f t="shared" si="1096"/>
        <v>2.110793219747459</v>
      </c>
      <c r="DU89">
        <f t="shared" si="1096"/>
        <v>2.1183277439686288</v>
      </c>
      <c r="DV89">
        <f t="shared" si="1096"/>
        <v>2.1257680866370339</v>
      </c>
      <c r="DW89">
        <f t="shared" si="1096"/>
        <v>2.1331154250220838</v>
      </c>
      <c r="DX89">
        <f t="shared" si="1096"/>
        <v>2.140370921677321</v>
      </c>
      <c r="DY89">
        <f t="shared" si="1096"/>
        <v>2.1475357246243676</v>
      </c>
      <c r="DZ89">
        <f t="shared" si="1096"/>
        <v>2.1546109675345759</v>
      </c>
      <c r="EA89">
        <f t="shared" ref="EA89:GL89" si="1097">EA4/$B$106</f>
        <v>2.1615977699084068</v>
      </c>
      <c r="EB89">
        <f t="shared" si="1097"/>
        <v>2.1684972372525646</v>
      </c>
      <c r="EC89">
        <f t="shared" si="1097"/>
        <v>2.1753104612549206</v>
      </c>
      <c r="ED89">
        <f t="shared" si="1097"/>
        <v>2.1820385199572474</v>
      </c>
      <c r="EE89">
        <f t="shared" si="1097"/>
        <v>2.188682477925795</v>
      </c>
      <c r="EF89">
        <f t="shared" si="1097"/>
        <v>2.1952433864197354</v>
      </c>
      <c r="EG89">
        <f t="shared" si="1097"/>
        <v>2.2017222835575017</v>
      </c>
      <c r="EH89">
        <f t="shared" si="1097"/>
        <v>2.208120194481046</v>
      </c>
      <c r="EI89">
        <f t="shared" si="1097"/>
        <v>2.2144381315180457</v>
      </c>
      <c r="EJ89">
        <f t="shared" si="1097"/>
        <v>2.2206770943420833</v>
      </c>
      <c r="EK89">
        <f t="shared" si="1097"/>
        <v>2.2268380701308206</v>
      </c>
      <c r="EL89">
        <f t="shared" si="1097"/>
        <v>2.2329220337221982</v>
      </c>
      <c r="EM89">
        <f t="shared" si="1097"/>
        <v>2.2389299477686837</v>
      </c>
      <c r="EN89">
        <f t="shared" si="1097"/>
        <v>2.2448627628895883</v>
      </c>
      <c r="EO89">
        <f t="shared" si="1097"/>
        <v>2.2507214178214814</v>
      </c>
      <c r="EP89">
        <f t="shared" si="1097"/>
        <v>2.2565068395667258</v>
      </c>
      <c r="EQ89">
        <f t="shared" si="1097"/>
        <v>2.2622199435401549</v>
      </c>
      <c r="ER89">
        <f t="shared" si="1097"/>
        <v>2.2678616337139159</v>
      </c>
      <c r="ES89">
        <f t="shared" si="1097"/>
        <v>2.2734328027605049</v>
      </c>
      <c r="ET89">
        <f t="shared" si="1097"/>
        <v>2.2789343321940114</v>
      </c>
      <c r="EU89">
        <f t="shared" si="1097"/>
        <v>2.2843670925095991</v>
      </c>
      <c r="EV89">
        <f t="shared" si="1097"/>
        <v>2.2897319433212422</v>
      </c>
      <c r="EW89">
        <f t="shared" si="1097"/>
        <v>2.2950297334977394</v>
      </c>
      <c r="EX89">
        <f t="shared" si="1097"/>
        <v>2.3002613012970308</v>
      </c>
      <c r="EY89">
        <f t="shared" si="1097"/>
        <v>2.3054274744988312</v>
      </c>
      <c r="EZ89">
        <f t="shared" si="1097"/>
        <v>2.3105290705356087</v>
      </c>
      <c r="FA89">
        <f t="shared" si="1097"/>
        <v>2.3155668966219265</v>
      </c>
      <c r="FB89">
        <f t="shared" si="1097"/>
        <v>2.3205417498821657</v>
      </c>
      <c r="FC89">
        <f t="shared" si="1097"/>
        <v>2.3254544174766512</v>
      </c>
      <c r="FD89">
        <f t="shared" si="1097"/>
        <v>2.3303056767262063</v>
      </c>
      <c r="FE89">
        <f t="shared" si="1097"/>
        <v>2.3350962952351417</v>
      </c>
      <c r="FF89">
        <f t="shared" si="1097"/>
        <v>2.3398270310127152</v>
      </c>
      <c r="FG89">
        <f t="shared" si="1097"/>
        <v>2.3444986325930692</v>
      </c>
      <c r="FH89">
        <f t="shared" si="1097"/>
        <v>2.3491118391536689</v>
      </c>
      <c r="FI89">
        <f t="shared" si="1097"/>
        <v>2.3536673806322614</v>
      </c>
      <c r="FJ89">
        <f t="shared" si="1097"/>
        <v>2.3581659778423711</v>
      </c>
      <c r="FK89">
        <f t="shared" si="1097"/>
        <v>2.3626083425873543</v>
      </c>
      <c r="FL89">
        <f t="shared" si="1097"/>
        <v>2.3669951777730254</v>
      </c>
      <c r="FM89">
        <f t="shared" si="1097"/>
        <v>2.3713271775188756</v>
      </c>
      <c r="FN89">
        <f t="shared" si="1097"/>
        <v>2.3756050272679028</v>
      </c>
      <c r="FO89">
        <f t="shared" si="1097"/>
        <v>2.3798294038950667</v>
      </c>
      <c r="FP89">
        <f t="shared" si="1097"/>
        <v>2.3840009758143914</v>
      </c>
      <c r="FQ89">
        <f t="shared" si="1097"/>
        <v>2.3881204030847245</v>
      </c>
      <c r="FR89">
        <f t="shared" si="1097"/>
        <v>2.3921883375141784</v>
      </c>
      <c r="FS89">
        <f t="shared" si="1097"/>
        <v>2.3962054227632641</v>
      </c>
      <c r="FT89">
        <f t="shared" si="1097"/>
        <v>2.4001722944467363</v>
      </c>
      <c r="FU89">
        <f t="shared" si="1097"/>
        <v>2.4040895802341651</v>
      </c>
      <c r="FV89">
        <f t="shared" si="1097"/>
        <v>2.4079578999492508</v>
      </c>
      <c r="FW89">
        <f t="shared" si="1097"/>
        <v>2.4117778656678985</v>
      </c>
      <c r="FX89">
        <f t="shared" si="1097"/>
        <v>2.4155500818150628</v>
      </c>
      <c r="FY89">
        <f t="shared" si="1097"/>
        <v>2.4192751452603876</v>
      </c>
      <c r="FZ89">
        <f t="shared" si="1097"/>
        <v>2.4229536454126457</v>
      </c>
      <c r="GA89">
        <f t="shared" si="1097"/>
        <v>2.4265861643130009</v>
      </c>
      <c r="GB89">
        <f t="shared" si="1097"/>
        <v>2.4301732767271012</v>
      </c>
      <c r="GC89">
        <f t="shared" si="1097"/>
        <v>2.4337155502360255</v>
      </c>
      <c r="GD89">
        <f t="shared" si="1097"/>
        <v>2.4372135453260881</v>
      </c>
      <c r="GE89">
        <f t="shared" si="1097"/>
        <v>2.440667815477525</v>
      </c>
      <c r="GF89">
        <f t="shared" si="1097"/>
        <v>2.4440789072520692</v>
      </c>
      <c r="GG89">
        <f t="shared" si="1097"/>
        <v>2.4474473603794311</v>
      </c>
      <c r="GH89">
        <f t="shared" si="1097"/>
        <v>2.4507737078427012</v>
      </c>
      <c r="GI89">
        <f t="shared" si="1097"/>
        <v>2.4540584759626807</v>
      </c>
      <c r="GJ89">
        <f t="shared" si="1097"/>
        <v>2.45730218448116</v>
      </c>
      <c r="GK89">
        <f t="shared" si="1097"/>
        <v>2.4605053466431586</v>
      </c>
      <c r="GL89">
        <f t="shared" si="1097"/>
        <v>2.4636684692781321</v>
      </c>
      <c r="GM89">
        <f t="shared" ref="GM89:IV89" si="1098">GM4/$B$106</f>
        <v>2.4667920528801686</v>
      </c>
      <c r="GN89">
        <f t="shared" si="1098"/>
        <v>2.4698765916871794</v>
      </c>
      <c r="GO89">
        <f t="shared" si="1098"/>
        <v>2.4729225737591025</v>
      </c>
      <c r="GP89">
        <f t="shared" si="1098"/>
        <v>2.4759304810551268</v>
      </c>
      <c r="GQ89">
        <f t="shared" si="1098"/>
        <v>2.4789007895099511</v>
      </c>
      <c r="GR89">
        <f t="shared" si="1098"/>
        <v>2.4818339691090894</v>
      </c>
      <c r="GS89">
        <f t="shared" si="1098"/>
        <v>2.4847304839632387</v>
      </c>
      <c r="GT89">
        <f t="shared" si="1098"/>
        <v>2.4875907923817113</v>
      </c>
      <c r="GU89">
        <f t="shared" si="1098"/>
        <v>2.4904153469449528</v>
      </c>
      <c r="GV89">
        <f t="shared" si="1098"/>
        <v>2.4932045945761541</v>
      </c>
      <c r="GW89">
        <f t="shared" si="1098"/>
        <v>2.495958976611965</v>
      </c>
      <c r="GX89">
        <f t="shared" si="1098"/>
        <v>2.4986789288723283</v>
      </c>
      <c r="GY89">
        <f t="shared" si="1098"/>
        <v>2.5013648817294372</v>
      </c>
      <c r="GZ89">
        <f t="shared" si="1098"/>
        <v>2.5040172601758321</v>
      </c>
      <c r="HA89">
        <f t="shared" si="1098"/>
        <v>2.5066364838916475</v>
      </c>
      <c r="HB89">
        <f t="shared" si="1098"/>
        <v>2.5092229673110147</v>
      </c>
      <c r="HC89">
        <f t="shared" si="1098"/>
        <v>2.5117771196876402</v>
      </c>
      <c r="HD89">
        <f t="shared" si="1098"/>
        <v>2.5142993451595577</v>
      </c>
      <c r="HE89">
        <f t="shared" si="1098"/>
        <v>2.5167900428130761</v>
      </c>
      <c r="HF89">
        <f t="shared" si="1098"/>
        <v>2.5192496067459254</v>
      </c>
      <c r="HG89">
        <f t="shared" si="1098"/>
        <v>2.5216784261296148</v>
      </c>
      <c r="HH89">
        <f t="shared" si="1098"/>
        <v>2.5240768852710072</v>
      </c>
      <c r="HI89">
        <f t="shared" si="1098"/>
        <v>2.5264453636731328</v>
      </c>
      <c r="HJ89">
        <f t="shared" si="1098"/>
        <v>2.5287842360952317</v>
      </c>
      <c r="HK89">
        <f t="shared" si="1098"/>
        <v>2.5310938726120544</v>
      </c>
      <c r="HL89">
        <f t="shared" si="1098"/>
        <v>2.533374638672417</v>
      </c>
      <c r="HM89">
        <f t="shared" si="1098"/>
        <v>2.5356268951570247</v>
      </c>
      <c r="HN89">
        <f t="shared" si="1098"/>
        <v>2.5378509984355748</v>
      </c>
      <c r="HO89">
        <f t="shared" si="1098"/>
        <v>2.5400473004231432</v>
      </c>
      <c r="HP89">
        <f t="shared" si="1098"/>
        <v>2.542216148635867</v>
      </c>
      <c r="HQ89">
        <f t="shared" si="1098"/>
        <v>2.544357886245932</v>
      </c>
      <c r="HR89">
        <f t="shared" si="1098"/>
        <v>2.5464728521358704</v>
      </c>
      <c r="HS89">
        <f t="shared" si="1098"/>
        <v>2.5485613809521852</v>
      </c>
      <c r="HT89">
        <f t="shared" si="1098"/>
        <v>2.5506238031582962</v>
      </c>
      <c r="HU89">
        <f t="shared" si="1098"/>
        <v>2.5526604450868304</v>
      </c>
      <c r="HV89">
        <f t="shared" si="1098"/>
        <v>2.5546716289912577</v>
      </c>
      <c r="HW89">
        <f t="shared" si="1098"/>
        <v>2.55665767309688</v>
      </c>
      <c r="HX89">
        <f t="shared" si="1098"/>
        <v>2.5586188916511818</v>
      </c>
      <c r="HY89">
        <f t="shared" si="1098"/>
        <v>2.5605555949735552</v>
      </c>
      <c r="HZ89">
        <f t="shared" si="1098"/>
        <v>2.562468089504399</v>
      </c>
      <c r="IA89">
        <f t="shared" si="1098"/>
        <v>2.5643566778536067</v>
      </c>
      <c r="IB89">
        <f t="shared" si="1098"/>
        <v>2.5662216588484497</v>
      </c>
      <c r="IC89">
        <f t="shared" si="1098"/>
        <v>2.5680633275808575</v>
      </c>
      <c r="ID89">
        <f t="shared" si="1098"/>
        <v>2.5698819754541096</v>
      </c>
      <c r="IE89">
        <f t="shared" si="1098"/>
        <v>2.5716778902289463</v>
      </c>
      <c r="IF89">
        <f t="shared" si="1098"/>
        <v>2.5734513560690973</v>
      </c>
      <c r="IG89">
        <f t="shared" si="1098"/>
        <v>2.5752026535862464</v>
      </c>
      <c r="IH89">
        <f t="shared" si="1098"/>
        <v>2.5769320598844314</v>
      </c>
      <c r="II89">
        <f t="shared" si="1098"/>
        <v>2.5786398486038888</v>
      </c>
      <c r="IJ89">
        <f t="shared" si="1098"/>
        <v>2.5803262899643533</v>
      </c>
      <c r="IK89">
        <f t="shared" si="1098"/>
        <v>2.581991650807812</v>
      </c>
      <c r="IL89">
        <f t="shared" si="1098"/>
        <v>2.5836361946407274</v>
      </c>
      <c r="IM89">
        <f t="shared" si="1098"/>
        <v>2.5852601816757312</v>
      </c>
      <c r="IN89">
        <f t="shared" si="1098"/>
        <v>2.5868638688727978</v>
      </c>
      <c r="IO89">
        <f t="shared" si="1098"/>
        <v>2.5884475099799009</v>
      </c>
      <c r="IP89">
        <f t="shared" si="1098"/>
        <v>2.5900113555731648</v>
      </c>
      <c r="IQ89">
        <f t="shared" si="1098"/>
        <v>2.5915556530965134</v>
      </c>
      <c r="IR89">
        <f t="shared" si="1098"/>
        <v>2.5930806469008201</v>
      </c>
      <c r="IS89">
        <f t="shared" si="1098"/>
        <v>2.594586578282573</v>
      </c>
      <c r="IT89">
        <f t="shared" si="1098"/>
        <v>2.5960736855220539</v>
      </c>
      <c r="IU89">
        <f t="shared" si="1098"/>
        <v>2.5975422039210412</v>
      </c>
      <c r="IV89">
        <f t="shared" si="1098"/>
        <v>2.5989923658400413</v>
      </c>
    </row>
    <row r="90" spans="1:256" x14ac:dyDescent="0.2">
      <c r="A90" t="s">
        <v>561</v>
      </c>
      <c r="B90">
        <v>0.55213714599609376</v>
      </c>
      <c r="C90">
        <f t="shared" ref="C90:BN90" si="1099">C5/$B$107</f>
        <v>0.99025185086738343</v>
      </c>
      <c r="D90">
        <f t="shared" si="1099"/>
        <v>1.0005130054675473</v>
      </c>
      <c r="E90">
        <f t="shared" si="1099"/>
        <v>1.0106458956352091</v>
      </c>
      <c r="F90">
        <f t="shared" si="1099"/>
        <v>1.0206521246757752</v>
      </c>
      <c r="G90">
        <f t="shared" si="1099"/>
        <v>1.0305332758533341</v>
      </c>
      <c r="H90">
        <f t="shared" si="1099"/>
        <v>1.0402909126411735</v>
      </c>
      <c r="I90">
        <f t="shared" si="1099"/>
        <v>1.049926578969165</v>
      </c>
      <c r="J90">
        <f t="shared" si="1099"/>
        <v>1.0594417994680567</v>
      </c>
      <c r="K90">
        <f t="shared" si="1099"/>
        <v>1.0590817644316948</v>
      </c>
      <c r="L90">
        <f t="shared" si="1099"/>
        <v>1.0589587807354208</v>
      </c>
      <c r="M90">
        <f t="shared" si="1099"/>
        <v>1.0590585789240352</v>
      </c>
      <c r="N90">
        <f t="shared" si="1099"/>
        <v>1.059367177569434</v>
      </c>
      <c r="O90">
        <f t="shared" si="1099"/>
        <v>1.0598708984249738</v>
      </c>
      <c r="P90">
        <f t="shared" si="1099"/>
        <v>1.0605563793378636</v>
      </c>
      <c r="Q90">
        <f t="shared" si="1099"/>
        <v>1.0614105851056863</v>
      </c>
      <c r="R90">
        <f t="shared" si="1099"/>
        <v>1.0624208164496465</v>
      </c>
      <c r="S90">
        <f t="shared" si="1099"/>
        <v>1.0556646968837355</v>
      </c>
      <c r="T90">
        <f t="shared" si="1099"/>
        <v>1.0490311618455022</v>
      </c>
      <c r="U90">
        <f t="shared" si="1099"/>
        <v>1.0425122506828364</v>
      </c>
      <c r="V90">
        <f t="shared" si="1099"/>
        <v>1.0361003461541956</v>
      </c>
      <c r="W90">
        <f t="shared" si="1099"/>
        <v>1.0297881690779982</v>
      </c>
      <c r="X90">
        <f t="shared" si="1099"/>
        <v>1.0235687722776838</v>
      </c>
      <c r="Y90">
        <f t="shared" si="1099"/>
        <v>1.0174355339316221</v>
      </c>
      <c r="Z90">
        <f t="shared" si="1099"/>
        <v>1.0113821504254599</v>
      </c>
      <c r="AA90">
        <f t="shared" si="1099"/>
        <v>1.0120653840429525</v>
      </c>
      <c r="AB90">
        <f t="shared" si="1099"/>
        <v>1.012928327777922</v>
      </c>
      <c r="AC90">
        <f t="shared" si="1099"/>
        <v>1.0139616638555413</v>
      </c>
      <c r="AD90">
        <f t="shared" si="1099"/>
        <v>1.0151563198597442</v>
      </c>
      <c r="AE90">
        <f t="shared" si="1099"/>
        <v>1.0165034686244627</v>
      </c>
      <c r="AF90">
        <f t="shared" si="1099"/>
        <v>1.0179945274499937</v>
      </c>
      <c r="AG90">
        <f t="shared" si="1099"/>
        <v>1.0196211567258489</v>
      </c>
      <c r="AH90">
        <f t="shared" si="1099"/>
        <v>1.021375258033693</v>
      </c>
      <c r="AI90">
        <f t="shared" si="1099"/>
        <v>1.0274170777050662</v>
      </c>
      <c r="AJ90">
        <f t="shared" si="1099"/>
        <v>1.0333393721180029</v>
      </c>
      <c r="AK90">
        <f t="shared" si="1099"/>
        <v>1.0391445946817157</v>
      </c>
      <c r="AL90">
        <f t="shared" si="1099"/>
        <v>1.0448351837850294</v>
      </c>
      <c r="AM90">
        <f t="shared" si="1099"/>
        <v>1.0504135625978432</v>
      </c>
      <c r="AN90">
        <f t="shared" si="1099"/>
        <v>1.0558821389138975</v>
      </c>
      <c r="AO90">
        <f t="shared" si="1099"/>
        <v>1.0612433050319068</v>
      </c>
      <c r="AP90">
        <f t="shared" si="1099"/>
        <v>1.0664994376722545</v>
      </c>
      <c r="AQ90">
        <f t="shared" si="1099"/>
        <v>1.0758074974373577</v>
      </c>
      <c r="AR90">
        <f t="shared" si="1099"/>
        <v>1.084999206455397</v>
      </c>
      <c r="AS90">
        <f t="shared" si="1099"/>
        <v>1.0940760191107106</v>
      </c>
      <c r="AT90">
        <f t="shared" si="1099"/>
        <v>1.1030393716078328</v>
      </c>
      <c r="AU90">
        <f t="shared" si="1099"/>
        <v>1.1118906821987411</v>
      </c>
      <c r="AV90">
        <f t="shared" si="1099"/>
        <v>1.1206313514072632</v>
      </c>
      <c r="AW90">
        <f t="shared" si="1099"/>
        <v>1.1292627622506786</v>
      </c>
      <c r="AX90">
        <f t="shared" si="1099"/>
        <v>1.1377862804585512</v>
      </c>
      <c r="AY90">
        <f t="shared" si="1099"/>
        <v>1.1405342389742394</v>
      </c>
      <c r="AZ90">
        <f t="shared" si="1099"/>
        <v>1.1437421943445569</v>
      </c>
      <c r="BA90">
        <f t="shared" si="1099"/>
        <v>1.1474230961446881</v>
      </c>
      <c r="BB90">
        <f t="shared" si="1099"/>
        <v>1.1515905997533831</v>
      </c>
      <c r="BC90">
        <f t="shared" si="1099"/>
        <v>1.1562591022204423</v>
      </c>
      <c r="BD90">
        <f t="shared" si="1099"/>
        <v>1.1614437803810065</v>
      </c>
      <c r="BE90">
        <f t="shared" si="1099"/>
        <v>1.167160631392286</v>
      </c>
      <c r="BF90">
        <f t="shared" si="1099"/>
        <v>1.1734265158798436</v>
      </c>
      <c r="BG90">
        <f t="shared" si="1099"/>
        <v>1.1802592038934587</v>
      </c>
      <c r="BH90">
        <f t="shared" si="1099"/>
        <v>1.1876774238869083</v>
      </c>
      <c r="BI90">
        <f t="shared" si="1099"/>
        <v>1.1954707588243281</v>
      </c>
      <c r="BJ90">
        <f t="shared" si="1099"/>
        <v>1.2031666770750302</v>
      </c>
      <c r="BK90">
        <f t="shared" si="1099"/>
        <v>1.2107663963475985</v>
      </c>
      <c r="BL90">
        <f t="shared" si="1099"/>
        <v>1.2182711191292597</v>
      </c>
      <c r="BM90">
        <f t="shared" si="1099"/>
        <v>1.2256820328761502</v>
      </c>
      <c r="BN90">
        <f t="shared" si="1099"/>
        <v>1.2330003102012044</v>
      </c>
      <c r="BO90">
        <f t="shared" ref="BO90:DZ90" si="1100">BO5/$B$107</f>
        <v>1.2402271090596957</v>
      </c>
      <c r="BP90">
        <f t="shared" si="1100"/>
        <v>1.2473635729324557</v>
      </c>
      <c r="BQ90">
        <f t="shared" si="1100"/>
        <v>1.2544108310068063</v>
      </c>
      <c r="BR90">
        <f t="shared" si="1100"/>
        <v>1.2613699983552273</v>
      </c>
      <c r="BS90">
        <f t="shared" si="1100"/>
        <v>1.268242176111793</v>
      </c>
      <c r="BT90">
        <f t="shared" si="1100"/>
        <v>1.2750284516464019</v>
      </c>
      <c r="BU90">
        <f t="shared" si="1100"/>
        <v>1.281729898736828</v>
      </c>
      <c r="BV90">
        <f t="shared" si="1100"/>
        <v>1.2883475777386237</v>
      </c>
      <c r="BW90">
        <f t="shared" si="1100"/>
        <v>1.294882535752897</v>
      </c>
      <c r="BX90">
        <f t="shared" si="1100"/>
        <v>1.301335806791992</v>
      </c>
      <c r="BY90">
        <f t="shared" si="1100"/>
        <v>1.3077084119430984</v>
      </c>
      <c r="BZ90">
        <f t="shared" si="1100"/>
        <v>1.3140013595298159</v>
      </c>
      <c r="CA90">
        <f t="shared" si="1100"/>
        <v>1.3202156452716993</v>
      </c>
      <c r="CB90">
        <f t="shared" si="1100"/>
        <v>1.3263522524418094</v>
      </c>
      <c r="CC90">
        <f t="shared" si="1100"/>
        <v>1.3324121520222929</v>
      </c>
      <c r="CD90">
        <f t="shared" si="1100"/>
        <v>1.3383963028580204</v>
      </c>
      <c r="CE90">
        <f t="shared" si="1100"/>
        <v>1.3443056518083012</v>
      </c>
      <c r="CF90">
        <f t="shared" si="1100"/>
        <v>1.3501411338967038</v>
      </c>
      <c r="CG90">
        <f t="shared" si="1100"/>
        <v>1.355903672459001</v>
      </c>
      <c r="CH90">
        <f t="shared" si="1100"/>
        <v>1.3615941792892698</v>
      </c>
      <c r="CI90">
        <f t="shared" si="1100"/>
        <v>1.36721355478416</v>
      </c>
      <c r="CJ90">
        <f t="shared" si="1100"/>
        <v>1.3727626880853643</v>
      </c>
      <c r="CK90">
        <f t="shared" si="1100"/>
        <v>1.3782424572203031</v>
      </c>
      <c r="CL90">
        <f t="shared" si="1100"/>
        <v>1.3836537292410556</v>
      </c>
      <c r="CM90">
        <f t="shared" si="1100"/>
        <v>1.3889973603615484</v>
      </c>
      <c r="CN90">
        <f t="shared" si="1100"/>
        <v>1.3942741960930352</v>
      </c>
      <c r="CO90">
        <f t="shared" si="1100"/>
        <v>1.3994850713778784</v>
      </c>
      <c r="CP90">
        <f t="shared" si="1100"/>
        <v>1.4046308107216612</v>
      </c>
      <c r="CQ90">
        <f t="shared" si="1100"/>
        <v>1.4097122283236465</v>
      </c>
      <c r="CR90">
        <f t="shared" si="1100"/>
        <v>1.4147301282056071</v>
      </c>
      <c r="CS90">
        <f t="shared" si="1100"/>
        <v>1.4196853043390432</v>
      </c>
      <c r="CT90">
        <f t="shared" si="1100"/>
        <v>1.4245785407708114</v>
      </c>
      <c r="CU90">
        <f t="shared" si="1100"/>
        <v>1.4294106117471823</v>
      </c>
      <c r="CV90">
        <f t="shared" si="1100"/>
        <v>1.4341822818363488</v>
      </c>
      <c r="CW90">
        <f t="shared" si="1100"/>
        <v>1.4388943060494004</v>
      </c>
      <c r="CX90">
        <f t="shared" si="1100"/>
        <v>1.443547429959789</v>
      </c>
      <c r="CY90">
        <f t="shared" si="1100"/>
        <v>1.4481423898212979</v>
      </c>
      <c r="CZ90">
        <f t="shared" si="1100"/>
        <v>1.4526799126845378</v>
      </c>
      <c r="DA90">
        <f t="shared" si="1100"/>
        <v>1.4571607165119871</v>
      </c>
      <c r="DB90">
        <f t="shared" si="1100"/>
        <v>1.4615855102915933</v>
      </c>
      <c r="DC90">
        <f t="shared" si="1100"/>
        <v>1.4659549941489547</v>
      </c>
      <c r="DD90">
        <f t="shared" si="1100"/>
        <v>1.470269859458099</v>
      </c>
      <c r="DE90">
        <f t="shared" si="1100"/>
        <v>1.4745307889508787</v>
      </c>
      <c r="DF90">
        <f t="shared" si="1100"/>
        <v>1.4787384568249988</v>
      </c>
      <c r="DG90">
        <f t="shared" si="1100"/>
        <v>1.4828935288506926</v>
      </c>
      <c r="DH90">
        <f t="shared" si="1100"/>
        <v>1.4869966624760651</v>
      </c>
      <c r="DI90">
        <f t="shared" si="1100"/>
        <v>1.4910485069311206</v>
      </c>
      <c r="DJ90">
        <f t="shared" si="1100"/>
        <v>1.4950497033304877</v>
      </c>
      <c r="DK90">
        <f t="shared" si="1100"/>
        <v>1.4990008847748628</v>
      </c>
      <c r="DL90">
        <f t="shared" si="1100"/>
        <v>1.502902676451183</v>
      </c>
      <c r="DM90">
        <f t="shared" si="1100"/>
        <v>1.5067556957315495</v>
      </c>
      <c r="DN90">
        <f t="shared" si="1100"/>
        <v>1.5105605522709113</v>
      </c>
      <c r="DO90">
        <f t="shared" si="1100"/>
        <v>1.5143178481035311</v>
      </c>
      <c r="DP90">
        <f t="shared" si="1100"/>
        <v>1.5180281777382432</v>
      </c>
      <c r="DQ90">
        <f t="shared" si="1100"/>
        <v>1.5216921282525213</v>
      </c>
      <c r="DR90">
        <f t="shared" si="1100"/>
        <v>1.525310279385371</v>
      </c>
      <c r="DS90">
        <f t="shared" si="1100"/>
        <v>1.5288832036290601</v>
      </c>
      <c r="DT90">
        <f t="shared" si="1100"/>
        <v>1.532411466319703</v>
      </c>
      <c r="DU90">
        <f t="shared" si="1100"/>
        <v>1.5358956257267127</v>
      </c>
      <c r="DV90">
        <f t="shared" si="1100"/>
        <v>1.5393362331411351</v>
      </c>
      <c r="DW90">
        <f t="shared" si="1100"/>
        <v>1.542733832962877</v>
      </c>
      <c r="DX90">
        <f t="shared" si="1100"/>
        <v>1.5460889627868475</v>
      </c>
      <c r="DY90">
        <f t="shared" si="1100"/>
        <v>1.549402153488018</v>
      </c>
      <c r="DZ90">
        <f t="shared" si="1100"/>
        <v>1.5526739293054239</v>
      </c>
      <c r="EA90">
        <f t="shared" ref="EA90:GL90" si="1101">EA5/$B$107</f>
        <v>1.5559048079251123</v>
      </c>
      <c r="EB90">
        <f t="shared" si="1101"/>
        <v>1.5590953005620545</v>
      </c>
      <c r="EC90">
        <f t="shared" si="1101"/>
        <v>1.5622459120410348</v>
      </c>
      <c r="ED90">
        <f t="shared" si="1101"/>
        <v>1.5653571408765281</v>
      </c>
      <c r="EE90">
        <f t="shared" si="1101"/>
        <v>1.5684294793515776</v>
      </c>
      <c r="EF90">
        <f t="shared" si="1101"/>
        <v>1.5714634135956891</v>
      </c>
      <c r="EG90">
        <f t="shared" si="1101"/>
        <v>1.5744594236617491</v>
      </c>
      <c r="EH90">
        <f t="shared" si="1101"/>
        <v>1.5774179836019833</v>
      </c>
      <c r="EI90">
        <f t="shared" si="1101"/>
        <v>1.5803395615429647</v>
      </c>
      <c r="EJ90">
        <f t="shared" si="1101"/>
        <v>1.5832246197596838</v>
      </c>
      <c r="EK90">
        <f t="shared" si="1101"/>
        <v>1.586073614748694</v>
      </c>
      <c r="EL90">
        <f t="shared" si="1101"/>
        <v>1.5888869973003417</v>
      </c>
      <c r="EM90">
        <f t="shared" si="1101"/>
        <v>1.5916652125700936</v>
      </c>
      <c r="EN90">
        <f t="shared" si="1101"/>
        <v>1.5944087001489735</v>
      </c>
      <c r="EO90">
        <f t="shared" si="1101"/>
        <v>1.5971178941331177</v>
      </c>
      <c r="EP90">
        <f t="shared" si="1101"/>
        <v>1.5997932231924599</v>
      </c>
      <c r="EQ90">
        <f t="shared" si="1101"/>
        <v>1.6024351106385604</v>
      </c>
      <c r="ER90">
        <f t="shared" si="1101"/>
        <v>1.6050439744915843</v>
      </c>
      <c r="ES90">
        <f t="shared" si="1101"/>
        <v>1.6076202275464457</v>
      </c>
      <c r="ET90">
        <f t="shared" si="1101"/>
        <v>1.6101642774381213</v>
      </c>
      <c r="EU90">
        <f t="shared" si="1101"/>
        <v>1.6126765267061511</v>
      </c>
      <c r="EV90">
        <f t="shared" si="1101"/>
        <v>1.6151573728583302</v>
      </c>
      <c r="EW90">
        <f t="shared" si="1101"/>
        <v>1.6176072084336073</v>
      </c>
      <c r="EX90">
        <f t="shared" si="1101"/>
        <v>1.6200264210641935</v>
      </c>
      <c r="EY90">
        <f t="shared" si="1101"/>
        <v>1.6224153935368972</v>
      </c>
      <c r="EZ90">
        <f t="shared" si="1101"/>
        <v>1.624774503853692</v>
      </c>
      <c r="FA90">
        <f t="shared" si="1101"/>
        <v>1.627104125291527</v>
      </c>
      <c r="FB90">
        <f t="shared" si="1101"/>
        <v>1.6294046264613891</v>
      </c>
      <c r="FC90">
        <f t="shared" si="1101"/>
        <v>1.631676371366628</v>
      </c>
      <c r="FD90">
        <f t="shared" si="1101"/>
        <v>1.6339197194605513</v>
      </c>
      <c r="FE90">
        <f t="shared" si="1101"/>
        <v>1.6361350257033005</v>
      </c>
      <c r="FF90">
        <f t="shared" si="1101"/>
        <v>1.6383226406180154</v>
      </c>
      <c r="FG90">
        <f t="shared" si="1101"/>
        <v>1.6404829103462963</v>
      </c>
      <c r="FH90">
        <f t="shared" si="1101"/>
        <v>1.6426161767029737</v>
      </c>
      <c r="FI90">
        <f t="shared" si="1101"/>
        <v>1.6447227772301927</v>
      </c>
      <c r="FJ90">
        <f t="shared" si="1101"/>
        <v>1.6468030452508216</v>
      </c>
      <c r="FK90">
        <f t="shared" si="1101"/>
        <v>1.6488573099211923</v>
      </c>
      <c r="FL90">
        <f t="shared" si="1101"/>
        <v>1.6508858962831836</v>
      </c>
      <c r="FM90">
        <f t="shared" si="1101"/>
        <v>1.6528891253156499</v>
      </c>
      <c r="FN90">
        <f t="shared" si="1101"/>
        <v>1.6548673139852104</v>
      </c>
      <c r="FO90">
        <f t="shared" si="1101"/>
        <v>1.6568207752964015</v>
      </c>
      <c r="FP90">
        <f t="shared" si="1101"/>
        <v>1.6587498183412028</v>
      </c>
      <c r="FQ90">
        <f t="shared" si="1101"/>
        <v>1.6606547483479439</v>
      </c>
      <c r="FR90">
        <f t="shared" si="1101"/>
        <v>1.6625358667296009</v>
      </c>
      <c r="FS90">
        <f t="shared" si="1101"/>
        <v>1.6643934711314872</v>
      </c>
      <c r="FT90">
        <f t="shared" si="1101"/>
        <v>1.6662278554783498</v>
      </c>
      <c r="FU90">
        <f t="shared" si="1101"/>
        <v>1.6680393100208766</v>
      </c>
      <c r="FV90">
        <f t="shared" si="1101"/>
        <v>1.6698281213816217</v>
      </c>
      <c r="FW90">
        <f t="shared" si="1101"/>
        <v>1.6715945726003578</v>
      </c>
      <c r="FX90">
        <f t="shared" si="1101"/>
        <v>1.6733389431788595</v>
      </c>
      <c r="FY90">
        <f t="shared" si="1101"/>
        <v>1.67506150912513</v>
      </c>
      <c r="FZ90">
        <f t="shared" si="1101"/>
        <v>1.6767625429970721</v>
      </c>
      <c r="GA90">
        <f t="shared" si="1101"/>
        <v>1.6784423139456148</v>
      </c>
      <c r="GB90">
        <f t="shared" si="1101"/>
        <v>1.6801010877573008</v>
      </c>
      <c r="GC90">
        <f t="shared" si="1101"/>
        <v>1.6817391268963409</v>
      </c>
      <c r="GD90">
        <f t="shared" si="1101"/>
        <v>1.6833566905461428</v>
      </c>
      <c r="GE90">
        <f t="shared" si="1101"/>
        <v>1.684954034650322</v>
      </c>
      <c r="GF90">
        <f t="shared" si="1101"/>
        <v>1.6865314119531993</v>
      </c>
      <c r="GG90">
        <f t="shared" si="1101"/>
        <v>1.6880890720397905</v>
      </c>
      <c r="GH90">
        <f t="shared" si="1101"/>
        <v>1.6896272613752994</v>
      </c>
      <c r="GI90">
        <f t="shared" si="1101"/>
        <v>1.6911462233441144</v>
      </c>
      <c r="GJ90">
        <f t="shared" si="1101"/>
        <v>1.692646198288319</v>
      </c>
      <c r="GK90">
        <f t="shared" si="1101"/>
        <v>1.6941274235457211</v>
      </c>
      <c r="GL90">
        <f t="shared" si="1101"/>
        <v>1.6955901334874057</v>
      </c>
      <c r="GM90">
        <f t="shared" ref="GM90:IV90" si="1102">GM5/$B$107</f>
        <v>1.6970345595548193</v>
      </c>
      <c r="GN90">
        <f t="shared" si="1102"/>
        <v>1.6984609302963902</v>
      </c>
      <c r="GO90">
        <f t="shared" si="1102"/>
        <v>1.6998694714036915</v>
      </c>
      <c r="GP90">
        <f t="shared" si="1102"/>
        <v>1.7012604057471514</v>
      </c>
      <c r="GQ90">
        <f t="shared" si="1102"/>
        <v>1.7026339534113184</v>
      </c>
      <c r="GR90">
        <f t="shared" si="1102"/>
        <v>1.7039903317296829</v>
      </c>
      <c r="GS90">
        <f t="shared" si="1102"/>
        <v>1.7053297553190683</v>
      </c>
      <c r="GT90">
        <f t="shared" si="1102"/>
        <v>1.706652436113586</v>
      </c>
      <c r="GU90">
        <f t="shared" si="1102"/>
        <v>1.7079585833981723</v>
      </c>
      <c r="GV90">
        <f t="shared" si="1102"/>
        <v>1.7092484038417013</v>
      </c>
      <c r="GW90">
        <f t="shared" si="1102"/>
        <v>1.7105221015296863</v>
      </c>
      <c r="GX90">
        <f t="shared" si="1102"/>
        <v>1.7117798779965714</v>
      </c>
      <c r="GY90">
        <f t="shared" si="1102"/>
        <v>1.7130219322576203</v>
      </c>
      <c r="GZ90">
        <f t="shared" si="1102"/>
        <v>1.7142484608404063</v>
      </c>
      <c r="HA90">
        <f t="shared" si="1102"/>
        <v>1.7154596578159074</v>
      </c>
      <c r="HB90">
        <f t="shared" si="1102"/>
        <v>1.7166557148292148</v>
      </c>
      <c r="HC90">
        <f t="shared" si="1102"/>
        <v>1.7178368211298558</v>
      </c>
      <c r="HD90">
        <f t="shared" si="1102"/>
        <v>1.7190031636017387</v>
      </c>
      <c r="HE90">
        <f t="shared" si="1102"/>
        <v>1.720154926792723</v>
      </c>
      <c r="HF90">
        <f t="shared" si="1102"/>
        <v>1.7212922929438201</v>
      </c>
      <c r="HG90">
        <f t="shared" si="1102"/>
        <v>1.7224154420180284</v>
      </c>
      <c r="HH90">
        <f t="shared" si="1102"/>
        <v>1.7235245517288094</v>
      </c>
      <c r="HI90">
        <f t="shared" si="1102"/>
        <v>1.7246197975682056</v>
      </c>
      <c r="HJ90">
        <f t="shared" si="1102"/>
        <v>1.725701352834609</v>
      </c>
      <c r="HK90">
        <f t="shared" si="1102"/>
        <v>1.7267693886601827</v>
      </c>
      <c r="HL90">
        <f t="shared" si="1102"/>
        <v>1.7278240740379365</v>
      </c>
      <c r="HM90">
        <f t="shared" si="1102"/>
        <v>1.7288655758484683</v>
      </c>
      <c r="HN90">
        <f t="shared" si="1102"/>
        <v>1.7298940588863687</v>
      </c>
      <c r="HO90">
        <f t="shared" si="1102"/>
        <v>1.7309096858862951</v>
      </c>
      <c r="HP90">
        <f t="shared" si="1102"/>
        <v>1.7319126175487227</v>
      </c>
      <c r="HQ90">
        <f t="shared" si="1102"/>
        <v>1.7329030125653699</v>
      </c>
      <c r="HR90">
        <f t="shared" si="1102"/>
        <v>1.7338810276443088</v>
      </c>
      <c r="HS90">
        <f t="shared" si="1102"/>
        <v>1.7348468175347613</v>
      </c>
      <c r="HT90">
        <f t="shared" si="1102"/>
        <v>1.7358005350515828</v>
      </c>
      <c r="HU90">
        <f t="shared" si="1102"/>
        <v>1.7367423310994441</v>
      </c>
      <c r="HV90">
        <f t="shared" si="1102"/>
        <v>1.7376723546967072</v>
      </c>
      <c r="HW90">
        <f t="shared" si="1102"/>
        <v>1.7385907529990046</v>
      </c>
      <c r="HX90">
        <f t="shared" si="1102"/>
        <v>1.7394976713225232</v>
      </c>
      <c r="HY90">
        <f t="shared" si="1102"/>
        <v>1.7403932531669979</v>
      </c>
      <c r="HZ90">
        <f t="shared" si="1102"/>
        <v>1.7412776402384167</v>
      </c>
      <c r="IA90">
        <f t="shared" si="1102"/>
        <v>1.7421509724714426</v>
      </c>
      <c r="IB90">
        <f t="shared" si="1102"/>
        <v>1.7430133880515557</v>
      </c>
      <c r="IC90">
        <f t="shared" si="1102"/>
        <v>1.7438650234369175</v>
      </c>
      <c r="ID90">
        <f t="shared" si="1102"/>
        <v>1.7447060133799621</v>
      </c>
      <c r="IE90">
        <f t="shared" si="1102"/>
        <v>1.745536490948719</v>
      </c>
      <c r="IF90">
        <f t="shared" si="1102"/>
        <v>1.7463565875478659</v>
      </c>
      <c r="IG90">
        <f t="shared" si="1102"/>
        <v>1.7471664329395238</v>
      </c>
      <c r="IH90">
        <f t="shared" si="1102"/>
        <v>1.7479661552637857</v>
      </c>
      <c r="II90">
        <f t="shared" si="1102"/>
        <v>1.7487558810589947</v>
      </c>
      <c r="IJ90">
        <f t="shared" si="1102"/>
        <v>1.7495357352817633</v>
      </c>
      <c r="IK90">
        <f t="shared" si="1102"/>
        <v>1.7503058413267476</v>
      </c>
      <c r="IL90">
        <f t="shared" si="1102"/>
        <v>1.7510663210461694</v>
      </c>
      <c r="IM90">
        <f t="shared" si="1102"/>
        <v>1.7518172947690984</v>
      </c>
      <c r="IN90">
        <f t="shared" si="1102"/>
        <v>1.7525588813204911</v>
      </c>
      <c r="IO90">
        <f t="shared" si="1102"/>
        <v>1.753291198039991</v>
      </c>
      <c r="IP90">
        <f t="shared" si="1102"/>
        <v>1.7540143608004974</v>
      </c>
      <c r="IQ90">
        <f t="shared" si="1102"/>
        <v>1.7547284840264972</v>
      </c>
      <c r="IR90">
        <f t="shared" si="1102"/>
        <v>1.7554336807121722</v>
      </c>
      <c r="IS90">
        <f t="shared" si="1102"/>
        <v>1.7561300624392762</v>
      </c>
      <c r="IT90">
        <f t="shared" si="1102"/>
        <v>1.7568177393947915</v>
      </c>
      <c r="IU90">
        <f t="shared" si="1102"/>
        <v>1.7574968203883627</v>
      </c>
      <c r="IV90">
        <f t="shared" si="1102"/>
        <v>1.7581674128695144</v>
      </c>
    </row>
    <row r="91" spans="1:256" x14ac:dyDescent="0.2">
      <c r="A91" t="s">
        <v>562</v>
      </c>
      <c r="B91">
        <v>0.65300369262695313</v>
      </c>
      <c r="C91">
        <f t="shared" ref="C91:BN91" si="1103">C6/$B$108</f>
        <v>0.9901934141389519</v>
      </c>
      <c r="D91">
        <f t="shared" si="1103"/>
        <v>0.9894952547795548</v>
      </c>
      <c r="E91">
        <f t="shared" si="1103"/>
        <v>0.98909560401127161</v>
      </c>
      <c r="F91">
        <f t="shared" si="1103"/>
        <v>0.98899686864204273</v>
      </c>
      <c r="G91">
        <f t="shared" si="1103"/>
        <v>0.98920137709035816</v>
      </c>
      <c r="H91">
        <f t="shared" si="1103"/>
        <v>0.9897113910207902</v>
      </c>
      <c r="I91">
        <f t="shared" si="1103"/>
        <v>0.99052911632057417</v>
      </c>
      <c r="J91">
        <f t="shared" si="1103"/>
        <v>0.99165671352644935</v>
      </c>
      <c r="K91">
        <f t="shared" si="1103"/>
        <v>0.9984033159620167</v>
      </c>
      <c r="L91">
        <f t="shared" si="1103"/>
        <v>1.0050655858671396</v>
      </c>
      <c r="M91">
        <f t="shared" si="1103"/>
        <v>1.0116445773984484</v>
      </c>
      <c r="N91">
        <f t="shared" si="1103"/>
        <v>1.0181413315356158</v>
      </c>
      <c r="O91">
        <f t="shared" si="1103"/>
        <v>1.0245568762460686</v>
      </c>
      <c r="P91">
        <f t="shared" si="1103"/>
        <v>1.0308922266476408</v>
      </c>
      <c r="Q91">
        <f t="shared" si="1103"/>
        <v>1.0371483851691932</v>
      </c>
      <c r="R91">
        <f t="shared" si="1103"/>
        <v>1.0433263417092262</v>
      </c>
      <c r="S91">
        <f t="shared" si="1103"/>
        <v>1.0494270737925089</v>
      </c>
      <c r="T91">
        <f t="shared" si="1103"/>
        <v>1.0554515467247505</v>
      </c>
      <c r="U91">
        <f t="shared" si="1103"/>
        <v>1.0614007137453392</v>
      </c>
      <c r="V91">
        <f t="shared" si="1103"/>
        <v>1.0672755161781704</v>
      </c>
      <c r="W91">
        <f t="shared" si="1103"/>
        <v>1.0730768835805913</v>
      </c>
      <c r="X91">
        <f t="shared" si="1103"/>
        <v>1.078805733890482</v>
      </c>
      <c r="Y91">
        <f t="shared" si="1103"/>
        <v>1.084462973571499</v>
      </c>
      <c r="Z91">
        <f t="shared" si="1103"/>
        <v>1.0900494977565032</v>
      </c>
      <c r="AA91">
        <f t="shared" si="1103"/>
        <v>1.0955661903891949</v>
      </c>
      <c r="AB91">
        <f t="shared" si="1103"/>
        <v>1.101013924363978</v>
      </c>
      <c r="AC91">
        <f t="shared" si="1103"/>
        <v>1.1063935616640763</v>
      </c>
      <c r="AD91">
        <f t="shared" si="1103"/>
        <v>1.1117059534979232</v>
      </c>
      <c r="AE91">
        <f t="shared" si="1103"/>
        <v>1.1169519404338473</v>
      </c>
      <c r="AF91">
        <f t="shared" si="1103"/>
        <v>1.1221323525330724</v>
      </c>
      <c r="AG91">
        <f t="shared" si="1103"/>
        <v>1.1272480094810571</v>
      </c>
      <c r="AH91">
        <f t="shared" si="1103"/>
        <v>1.1322997207171919</v>
      </c>
      <c r="AI91">
        <f t="shared" si="1103"/>
        <v>1.1293167899388536</v>
      </c>
      <c r="AJ91">
        <f t="shared" si="1103"/>
        <v>1.1265309500129588</v>
      </c>
      <c r="AK91">
        <f t="shared" si="1103"/>
        <v>1.1239393555258497</v>
      </c>
      <c r="AL91">
        <f t="shared" si="1103"/>
        <v>1.1215391779038084</v>
      </c>
      <c r="AM91">
        <f t="shared" si="1103"/>
        <v>1.1193276078894427</v>
      </c>
      <c r="AN91">
        <f t="shared" si="1103"/>
        <v>1.1173018580389464</v>
      </c>
      <c r="AO91">
        <f t="shared" si="1103"/>
        <v>1.1154591652332349</v>
      </c>
      <c r="AP91">
        <f t="shared" si="1103"/>
        <v>1.1137967931961434</v>
      </c>
      <c r="AQ91">
        <f t="shared" si="1103"/>
        <v>1.1190166446358398</v>
      </c>
      <c r="AR91">
        <f t="shared" si="1103"/>
        <v>1.1241712479325399</v>
      </c>
      <c r="AS91">
        <f t="shared" si="1103"/>
        <v>1.129261418688031</v>
      </c>
      <c r="AT91">
        <f t="shared" si="1103"/>
        <v>1.1342879623090787</v>
      </c>
      <c r="AU91">
        <f t="shared" si="1103"/>
        <v>1.1392516741348633</v>
      </c>
      <c r="AV91">
        <f t="shared" si="1103"/>
        <v>1.1441533395628256</v>
      </c>
      <c r="AW91">
        <f t="shared" si="1103"/>
        <v>1.1489937341729382</v>
      </c>
      <c r="AX91">
        <f t="shared" si="1103"/>
        <v>1.1537736238504244</v>
      </c>
      <c r="AY91">
        <f t="shared" si="1103"/>
        <v>1.1519003776614347</v>
      </c>
      <c r="AZ91">
        <f t="shared" si="1103"/>
        <v>1.1503616948251028</v>
      </c>
      <c r="BA91">
        <f t="shared" si="1103"/>
        <v>1.1491672098141708</v>
      </c>
      <c r="BB91">
        <f t="shared" si="1103"/>
        <v>1.148327470017187</v>
      </c>
      <c r="BC91">
        <f t="shared" si="1103"/>
        <v>1.1478540071779166</v>
      </c>
      <c r="BD91">
        <f t="shared" si="1103"/>
        <v>1.1477594163043847</v>
      </c>
      <c r="BE91">
        <f t="shared" si="1103"/>
        <v>1.1480574429722137</v>
      </c>
      <c r="BF91">
        <f t="shared" si="1103"/>
        <v>1.148763080073272</v>
      </c>
      <c r="BG91">
        <f t="shared" si="1103"/>
        <v>1.149892675207685</v>
      </c>
      <c r="BH91">
        <f t="shared" si="1103"/>
        <v>1.1514640500885263</v>
      </c>
      <c r="BI91">
        <f t="shared" si="1103"/>
        <v>1.1534966335283086</v>
      </c>
      <c r="BJ91">
        <f t="shared" si="1103"/>
        <v>1.1560083503065184</v>
      </c>
      <c r="BK91">
        <f t="shared" si="1103"/>
        <v>1.1590116118238174</v>
      </c>
      <c r="BL91">
        <f t="shared" si="1103"/>
        <v>1.1625197040015318</v>
      </c>
      <c r="BM91">
        <f t="shared" si="1103"/>
        <v>1.1665468517464888</v>
      </c>
      <c r="BN91">
        <f t="shared" si="1103"/>
        <v>1.1711073274543058</v>
      </c>
      <c r="BO91">
        <f t="shared" ref="BO91:DZ91" si="1104">BO6/$B$108</f>
        <v>1.175610797215775</v>
      </c>
      <c r="BP91">
        <f t="shared" si="1104"/>
        <v>1.1800579736052257</v>
      </c>
      <c r="BQ91">
        <f t="shared" si="1104"/>
        <v>1.1844495602898084</v>
      </c>
      <c r="BR91">
        <f t="shared" si="1104"/>
        <v>1.1887862521408337</v>
      </c>
      <c r="BS91">
        <f t="shared" si="1104"/>
        <v>1.1930687353437213</v>
      </c>
      <c r="BT91">
        <f t="shared" si="1104"/>
        <v>1.1972976875065728</v>
      </c>
      <c r="BU91">
        <f t="shared" si="1104"/>
        <v>1.2014737777673885</v>
      </c>
      <c r="BV91">
        <f t="shared" si="1104"/>
        <v>1.2055976668999442</v>
      </c>
      <c r="BW91">
        <f t="shared" si="1104"/>
        <v>1.2096700074183429</v>
      </c>
      <c r="BX91">
        <f t="shared" si="1104"/>
        <v>1.2136914436802617</v>
      </c>
      <c r="BY91">
        <f t="shared" si="1104"/>
        <v>1.2176626119889065</v>
      </c>
      <c r="BZ91">
        <f t="shared" si="1104"/>
        <v>1.2215841406936929</v>
      </c>
      <c r="CA91">
        <f t="shared" si="1104"/>
        <v>1.2254566502896698</v>
      </c>
      <c r="CB91">
        <f t="shared" si="1104"/>
        <v>1.2292807535156971</v>
      </c>
      <c r="CC91">
        <f t="shared" si="1104"/>
        <v>1.2330570554513989</v>
      </c>
      <c r="CD91">
        <f t="shared" si="1104"/>
        <v>1.2367861536129043</v>
      </c>
      <c r="CE91">
        <f t="shared" si="1104"/>
        <v>1.240468638047391</v>
      </c>
      <c r="CF91">
        <f t="shared" si="1104"/>
        <v>1.2441050914264467</v>
      </c>
      <c r="CG91">
        <f t="shared" si="1104"/>
        <v>1.2476960891382642</v>
      </c>
      <c r="CH91">
        <f t="shared" si="1104"/>
        <v>1.2512421993786838</v>
      </c>
      <c r="CI91">
        <f t="shared" si="1104"/>
        <v>1.2547439832410983</v>
      </c>
      <c r="CJ91">
        <f t="shared" si="1104"/>
        <v>1.2582019948052325</v>
      </c>
      <c r="CK91">
        <f t="shared" si="1104"/>
        <v>1.2616167812248151</v>
      </c>
      <c r="CL91">
        <f t="shared" si="1104"/>
        <v>1.2649888828141529</v>
      </c>
      <c r="CM91">
        <f t="shared" si="1104"/>
        <v>1.2683188331336239</v>
      </c>
      <c r="CN91">
        <f t="shared" si="1104"/>
        <v>1.2716071590741016</v>
      </c>
      <c r="CO91">
        <f t="shared" si="1104"/>
        <v>1.2748543809403234</v>
      </c>
      <c r="CP91">
        <f t="shared" si="1104"/>
        <v>1.2780610125332172</v>
      </c>
      <c r="CQ91">
        <f t="shared" si="1104"/>
        <v>1.2812275612312001</v>
      </c>
      <c r="CR91">
        <f t="shared" si="1104"/>
        <v>1.284354528070458</v>
      </c>
      <c r="CS91">
        <f t="shared" si="1104"/>
        <v>1.2874424078242253</v>
      </c>
      <c r="CT91">
        <f t="shared" si="1104"/>
        <v>1.2904916890810705</v>
      </c>
      <c r="CU91">
        <f t="shared" si="1104"/>
        <v>1.2935028543222051</v>
      </c>
      <c r="CV91">
        <f t="shared" si="1104"/>
        <v>1.2964763799978256</v>
      </c>
      <c r="CW91">
        <f t="shared" si="1104"/>
        <v>1.2994127366025008</v>
      </c>
      <c r="CX91">
        <f t="shared" si="1104"/>
        <v>1.3023123887496175</v>
      </c>
      <c r="CY91">
        <f t="shared" si="1104"/>
        <v>1.3051757952448952</v>
      </c>
      <c r="CZ91">
        <f t="shared" si="1104"/>
        <v>1.3080034091589821</v>
      </c>
      <c r="DA91">
        <f t="shared" si="1104"/>
        <v>1.3107956778991428</v>
      </c>
      <c r="DB91">
        <f t="shared" si="1104"/>
        <v>1.3135530432800515</v>
      </c>
      <c r="DC91">
        <f t="shared" si="1104"/>
        <v>1.3162759415936991</v>
      </c>
      <c r="DD91">
        <f t="shared" si="1104"/>
        <v>1.3189648036784258</v>
      </c>
      <c r="DE91">
        <f t="shared" si="1104"/>
        <v>1.3216200549870936</v>
      </c>
      <c r="DF91">
        <f t="shared" si="1104"/>
        <v>1.3242421156544029</v>
      </c>
      <c r="DG91">
        <f t="shared" si="1104"/>
        <v>1.3268314005633708</v>
      </c>
      <c r="DH91">
        <f t="shared" si="1104"/>
        <v>1.3293883194109766</v>
      </c>
      <c r="DI91">
        <f t="shared" si="1104"/>
        <v>1.3319132767729875</v>
      </c>
      <c r="DJ91">
        <f t="shared" si="1104"/>
        <v>1.334406672167973</v>
      </c>
      <c r="DK91">
        <f t="shared" si="1104"/>
        <v>1.3368689001205214</v>
      </c>
      <c r="DL91">
        <f t="shared" si="1104"/>
        <v>1.3393003502236629</v>
      </c>
      <c r="DM91">
        <f t="shared" si="1104"/>
        <v>1.3417014072005151</v>
      </c>
      <c r="DN91">
        <f t="shared" si="1104"/>
        <v>1.3440724509651567</v>
      </c>
      <c r="DO91">
        <f t="shared" si="1104"/>
        <v>1.3464138566827404</v>
      </c>
      <c r="DP91">
        <f t="shared" si="1104"/>
        <v>1.3487259948288541</v>
      </c>
      <c r="DQ91">
        <f t="shared" si="1104"/>
        <v>1.3510092312481414</v>
      </c>
      <c r="DR91">
        <f t="shared" si="1104"/>
        <v>1.3532639272121876</v>
      </c>
      <c r="DS91">
        <f t="shared" si="1104"/>
        <v>1.3554904394766834</v>
      </c>
      <c r="DT91">
        <f t="shared" si="1104"/>
        <v>1.3576891203378727</v>
      </c>
      <c r="DU91">
        <f t="shared" si="1104"/>
        <v>1.3598603176882973</v>
      </c>
      <c r="DV91">
        <f t="shared" si="1104"/>
        <v>1.3620043750718416</v>
      </c>
      <c r="DW91">
        <f t="shared" si="1104"/>
        <v>1.3641216317380915</v>
      </c>
      <c r="DX91">
        <f t="shared" si="1104"/>
        <v>1.3662124226960135</v>
      </c>
      <c r="DY91">
        <f t="shared" si="1104"/>
        <v>1.3682770787669614</v>
      </c>
      <c r="DZ91">
        <f t="shared" si="1104"/>
        <v>1.3703159266370222</v>
      </c>
      <c r="EA91">
        <f t="shared" ref="EA91:GL91" si="1105">EA6/$B$108</f>
        <v>1.3723292889087075</v>
      </c>
      <c r="EB91">
        <f t="shared" si="1105"/>
        <v>1.3743174841519965</v>
      </c>
      <c r="EC91">
        <f t="shared" si="1105"/>
        <v>1.3762808269547446</v>
      </c>
      <c r="ED91">
        <f t="shared" si="1105"/>
        <v>1.3782196279724583</v>
      </c>
      <c r="EE91">
        <f t="shared" si="1105"/>
        <v>1.3801341939774507</v>
      </c>
      <c r="EF91">
        <f t="shared" si="1105"/>
        <v>1.3820248279073806</v>
      </c>
      <c r="EG91">
        <f t="shared" si="1105"/>
        <v>1.3838918289131863</v>
      </c>
      <c r="EH91">
        <f t="shared" si="1105"/>
        <v>1.3857354924064194</v>
      </c>
      <c r="EI91">
        <f t="shared" si="1105"/>
        <v>1.3875561101059872</v>
      </c>
      <c r="EJ91">
        <f t="shared" si="1105"/>
        <v>1.3893539700843103</v>
      </c>
      <c r="EK91">
        <f t="shared" si="1105"/>
        <v>1.3911293568129046</v>
      </c>
      <c r="EL91">
        <f t="shared" si="1105"/>
        <v>1.3928825512073912</v>
      </c>
      <c r="EM91">
        <f t="shared" si="1105"/>
        <v>1.3946138306719467</v>
      </c>
      <c r="EN91">
        <f t="shared" si="1105"/>
        <v>1.3963234691431954</v>
      </c>
      <c r="EO91">
        <f t="shared" si="1105"/>
        <v>1.3980117371335534</v>
      </c>
      <c r="EP91">
        <f t="shared" si="1105"/>
        <v>1.3996789017740321</v>
      </c>
      <c r="EQ91">
        <f t="shared" si="1105"/>
        <v>1.4013252268565046</v>
      </c>
      <c r="ER91">
        <f t="shared" si="1105"/>
        <v>1.4029509728754463</v>
      </c>
      <c r="ES91">
        <f t="shared" si="1105"/>
        <v>1.4045563970691513</v>
      </c>
      <c r="ET91">
        <f t="shared" si="1105"/>
        <v>1.4061417534604348</v>
      </c>
      <c r="EU91">
        <f t="shared" si="1105"/>
        <v>1.4077072928968275</v>
      </c>
      <c r="EV91">
        <f t="shared" si="1105"/>
        <v>1.409253263090265</v>
      </c>
      <c r="EW91">
        <f t="shared" si="1105"/>
        <v>1.4107799086562847</v>
      </c>
      <c r="EX91">
        <f t="shared" si="1105"/>
        <v>1.4122874711527291</v>
      </c>
      <c r="EY91">
        <f t="shared" si="1105"/>
        <v>1.4137761891179681</v>
      </c>
      <c r="EZ91">
        <f t="shared" si="1105"/>
        <v>1.4152462981086416</v>
      </c>
      <c r="FA91">
        <f t="shared" si="1105"/>
        <v>1.4166980307369315</v>
      </c>
      <c r="FB91">
        <f t="shared" si="1105"/>
        <v>1.4181316167073679</v>
      </c>
      <c r="FC91">
        <f t="shared" si="1105"/>
        <v>1.4195472828531739</v>
      </c>
      <c r="FD91">
        <f t="shared" si="1105"/>
        <v>1.4209452531721571</v>
      </c>
      <c r="FE91">
        <f t="shared" si="1105"/>
        <v>1.4223257488621532</v>
      </c>
      <c r="FF91">
        <f t="shared" si="1105"/>
        <v>1.4236889883560244</v>
      </c>
      <c r="FG91">
        <f t="shared" si="1105"/>
        <v>1.4250351873562221</v>
      </c>
      <c r="FH91">
        <f t="shared" si="1105"/>
        <v>1.4263645588689173</v>
      </c>
      <c r="FI91">
        <f t="shared" si="1105"/>
        <v>1.4276773132377039</v>
      </c>
      <c r="FJ91">
        <f t="shared" si="1105"/>
        <v>1.4289736581768806</v>
      </c>
      <c r="FK91">
        <f t="shared" si="1105"/>
        <v>1.4302537988043176</v>
      </c>
      <c r="FL91">
        <f t="shared" si="1105"/>
        <v>1.4315179376739116</v>
      </c>
      <c r="FM91">
        <f t="shared" si="1105"/>
        <v>1.4327662748076357</v>
      </c>
      <c r="FN91">
        <f t="shared" si="1105"/>
        <v>1.4339990077271882</v>
      </c>
      <c r="FO91">
        <f t="shared" si="1105"/>
        <v>1.4352163314852464</v>
      </c>
      <c r="FP91">
        <f t="shared" si="1105"/>
        <v>1.4364184386963288</v>
      </c>
      <c r="FQ91">
        <f t="shared" si="1105"/>
        <v>1.4376055195672726</v>
      </c>
      <c r="FR91">
        <f t="shared" si="1105"/>
        <v>1.4387777619273299</v>
      </c>
      <c r="FS91">
        <f t="shared" si="1105"/>
        <v>1.4399353512578861</v>
      </c>
      <c r="FT91">
        <f t="shared" si="1105"/>
        <v>1.4410784707218105</v>
      </c>
      <c r="FU91">
        <f t="shared" si="1105"/>
        <v>1.4422073011924359</v>
      </c>
      <c r="FV91">
        <f t="shared" si="1105"/>
        <v>1.4433220212821785</v>
      </c>
      <c r="FW91">
        <f t="shared" si="1105"/>
        <v>1.4444228073707992</v>
      </c>
      <c r="FX91">
        <f t="shared" si="1105"/>
        <v>1.4455098336333121</v>
      </c>
      <c r="FY91">
        <f t="shared" si="1105"/>
        <v>1.4465832720675438</v>
      </c>
      <c r="FZ91">
        <f t="shared" si="1105"/>
        <v>1.4476432925213474</v>
      </c>
      <c r="GA91">
        <f t="shared" si="1105"/>
        <v>1.4486900627194785</v>
      </c>
      <c r="GB91">
        <f t="shared" si="1105"/>
        <v>1.4497237482901331</v>
      </c>
      <c r="GC91">
        <f t="shared" si="1105"/>
        <v>1.4507445127911545</v>
      </c>
      <c r="GD91">
        <f t="shared" si="1105"/>
        <v>1.451752517735913</v>
      </c>
      <c r="GE91">
        <f t="shared" si="1105"/>
        <v>1.4527479226188622</v>
      </c>
      <c r="GF91">
        <f t="shared" si="1105"/>
        <v>1.4537308849407744</v>
      </c>
      <c r="GG91">
        <f t="shared" si="1105"/>
        <v>1.4547015602336628</v>
      </c>
      <c r="GH91">
        <f t="shared" si="1105"/>
        <v>1.4556601020853901</v>
      </c>
      <c r="GI91">
        <f t="shared" si="1105"/>
        <v>1.4566066621639706</v>
      </c>
      <c r="GJ91">
        <f t="shared" si="1105"/>
        <v>1.457541390241569</v>
      </c>
      <c r="GK91">
        <f t="shared" si="1105"/>
        <v>1.4584644342181974</v>
      </c>
      <c r="GL91">
        <f t="shared" si="1105"/>
        <v>1.4593759401451178</v>
      </c>
      <c r="GM91">
        <f t="shared" ref="GM91:IV91" si="1106">GM6/$B$108</f>
        <v>1.4602760522479521</v>
      </c>
      <c r="GN91">
        <f t="shared" si="1106"/>
        <v>1.4611649129495006</v>
      </c>
      <c r="GO91">
        <f t="shared" si="1106"/>
        <v>1.4620426628922798</v>
      </c>
      <c r="GP91">
        <f t="shared" si="1106"/>
        <v>1.4629094409607744</v>
      </c>
      <c r="GQ91">
        <f t="shared" si="1106"/>
        <v>1.4637653843034126</v>
      </c>
      <c r="GR91">
        <f t="shared" si="1106"/>
        <v>1.4646106283542679</v>
      </c>
      <c r="GS91">
        <f t="shared" si="1106"/>
        <v>1.4654453068544877</v>
      </c>
      <c r="GT91">
        <f t="shared" si="1106"/>
        <v>1.4662695518734545</v>
      </c>
      <c r="GU91">
        <f t="shared" si="1106"/>
        <v>1.4670834938296844</v>
      </c>
      <c r="GV91">
        <f t="shared" si="1106"/>
        <v>1.4678872615114613</v>
      </c>
      <c r="GW91">
        <f t="shared" si="1106"/>
        <v>1.4686809820972162</v>
      </c>
      <c r="GX91">
        <f t="shared" si="1106"/>
        <v>1.4694647811756489</v>
      </c>
      <c r="GY91">
        <f t="shared" si="1106"/>
        <v>1.4702387827656014</v>
      </c>
      <c r="GZ91">
        <f t="shared" si="1106"/>
        <v>1.4710031093356795</v>
      </c>
      <c r="HA91">
        <f t="shared" si="1106"/>
        <v>1.4717578818236314</v>
      </c>
      <c r="HB91">
        <f t="shared" si="1106"/>
        <v>1.4725032196554841</v>
      </c>
      <c r="HC91">
        <f t="shared" si="1106"/>
        <v>1.4732392407644384</v>
      </c>
      <c r="HD91">
        <f t="shared" si="1106"/>
        <v>1.4739660616095309</v>
      </c>
      <c r="HE91">
        <f t="shared" si="1106"/>
        <v>1.4746837971940598</v>
      </c>
      <c r="HF91">
        <f t="shared" si="1106"/>
        <v>1.4753925610837821</v>
      </c>
      <c r="HG91">
        <f t="shared" si="1106"/>
        <v>1.4760924654248828</v>
      </c>
      <c r="HH91">
        <f t="shared" si="1106"/>
        <v>1.4767836209617198</v>
      </c>
      <c r="HI91">
        <f t="shared" si="1106"/>
        <v>1.4774661370543465</v>
      </c>
      <c r="HJ91">
        <f t="shared" si="1106"/>
        <v>1.478140121695815</v>
      </c>
      <c r="HK91">
        <f t="shared" si="1106"/>
        <v>1.4788056815292654</v>
      </c>
      <c r="HL91">
        <f t="shared" si="1106"/>
        <v>1.4794629218647974</v>
      </c>
      <c r="HM91">
        <f t="shared" si="1106"/>
        <v>1.4801119466961354</v>
      </c>
      <c r="HN91">
        <f t="shared" si="1106"/>
        <v>1.480752858717082</v>
      </c>
      <c r="HO91">
        <f t="shared" si="1106"/>
        <v>1.4813857593377662</v>
      </c>
      <c r="HP91">
        <f t="shared" si="1106"/>
        <v>1.4820107487006922</v>
      </c>
      <c r="HQ91">
        <f t="shared" si="1106"/>
        <v>1.4826279256965817</v>
      </c>
      <c r="HR91">
        <f t="shared" si="1106"/>
        <v>1.4832373879800222</v>
      </c>
      <c r="HS91">
        <f t="shared" si="1106"/>
        <v>1.4838392319849201</v>
      </c>
      <c r="HT91">
        <f t="shared" si="1106"/>
        <v>1.4844335529397565</v>
      </c>
      <c r="HU91">
        <f t="shared" si="1106"/>
        <v>1.4850204448826576</v>
      </c>
      <c r="HV91">
        <f t="shared" si="1106"/>
        <v>1.4856000006762724</v>
      </c>
      <c r="HW91">
        <f t="shared" si="1106"/>
        <v>1.486172312022467</v>
      </c>
      <c r="HX91">
        <f t="shared" si="1106"/>
        <v>1.4867374694768341</v>
      </c>
      <c r="HY91">
        <f t="shared" si="1106"/>
        <v>1.4872955624630215</v>
      </c>
      <c r="HZ91">
        <f t="shared" si="1106"/>
        <v>1.4878466792868819</v>
      </c>
      <c r="IA91">
        <f t="shared" si="1106"/>
        <v>1.4883909071504438</v>
      </c>
      <c r="IB91">
        <f t="shared" si="1106"/>
        <v>1.4889283321657112</v>
      </c>
      <c r="IC91">
        <f t="shared" si="1106"/>
        <v>1.4894590393682876</v>
      </c>
      <c r="ID91">
        <f t="shared" si="1106"/>
        <v>1.4899831127308321</v>
      </c>
      <c r="IE91">
        <f t="shared" si="1106"/>
        <v>1.4905006351763446</v>
      </c>
      <c r="IF91">
        <f t="shared" si="1106"/>
        <v>1.4910116885912883</v>
      </c>
      <c r="IG91">
        <f t="shared" si="1106"/>
        <v>1.4915163538385452</v>
      </c>
      <c r="IH91">
        <f t="shared" si="1106"/>
        <v>1.4920147107702113</v>
      </c>
      <c r="II91">
        <f t="shared" si="1106"/>
        <v>1.4925068382402318</v>
      </c>
      <c r="IJ91">
        <f t="shared" si="1106"/>
        <v>1.4929928141168769</v>
      </c>
      <c r="IK91">
        <f t="shared" si="1106"/>
        <v>1.493472715295064</v>
      </c>
      <c r="IL91">
        <f t="shared" si="1106"/>
        <v>1.4939466177085237</v>
      </c>
      <c r="IM91">
        <f t="shared" si="1106"/>
        <v>1.4944145963418152</v>
      </c>
      <c r="IN91">
        <f t="shared" si="1106"/>
        <v>1.4948767252421904</v>
      </c>
      <c r="IO91">
        <f t="shared" si="1106"/>
        <v>1.4953330775313112</v>
      </c>
      <c r="IP91">
        <f t="shared" si="1106"/>
        <v>1.4957837254168176</v>
      </c>
      <c r="IQ91">
        <f t="shared" si="1106"/>
        <v>1.4962287402037555</v>
      </c>
      <c r="IR91">
        <f t="shared" si="1106"/>
        <v>1.4966681923058567</v>
      </c>
      <c r="IS91">
        <f t="shared" si="1106"/>
        <v>1.4971021512566813</v>
      </c>
      <c r="IT91">
        <f t="shared" si="1106"/>
        <v>1.4975306857206208</v>
      </c>
      <c r="IU91">
        <f t="shared" si="1106"/>
        <v>1.497953863503761</v>
      </c>
      <c r="IV91">
        <f t="shared" si="1106"/>
        <v>1.498371751564612</v>
      </c>
    </row>
    <row r="92" spans="1:256" x14ac:dyDescent="0.2">
      <c r="A92" t="s">
        <v>563</v>
      </c>
      <c r="B92">
        <v>0.33300739288330078</v>
      </c>
      <c r="C92">
        <f t="shared" ref="C92:BN92" si="1107">C7/$B$109</f>
        <v>0.99000240314333088</v>
      </c>
      <c r="D92">
        <f t="shared" si="1107"/>
        <v>1.0041575668751574</v>
      </c>
      <c r="E92">
        <f t="shared" si="1107"/>
        <v>1.0185000418063654</v>
      </c>
      <c r="F92">
        <f t="shared" si="1107"/>
        <v>1.0330260874898549</v>
      </c>
      <c r="G92">
        <f t="shared" si="1107"/>
        <v>1.0477325512524842</v>
      </c>
      <c r="H92">
        <f t="shared" si="1107"/>
        <v>1.0626168455563907</v>
      </c>
      <c r="I92">
        <f t="shared" si="1107"/>
        <v>1.0776769261907495</v>
      </c>
      <c r="J92">
        <f t="shared" si="1107"/>
        <v>1.0929112712533255</v>
      </c>
      <c r="K92">
        <f t="shared" si="1107"/>
        <v>1.0832382362437221</v>
      </c>
      <c r="L92">
        <f t="shared" si="1107"/>
        <v>1.0737254825091316</v>
      </c>
      <c r="M92">
        <f t="shared" si="1107"/>
        <v>1.0643690667235901</v>
      </c>
      <c r="N92">
        <f t="shared" si="1107"/>
        <v>1.0551651380958116</v>
      </c>
      <c r="O92">
        <f t="shared" si="1107"/>
        <v>1.0461099327713081</v>
      </c>
      <c r="P92">
        <f t="shared" si="1107"/>
        <v>1.0371997688034225</v>
      </c>
      <c r="Q92">
        <f t="shared" si="1107"/>
        <v>1.0284310416581401</v>
      </c>
      <c r="R92">
        <f t="shared" si="1107"/>
        <v>1.0198002202175032</v>
      </c>
      <c r="S92">
        <f t="shared" si="1107"/>
        <v>1.011303843246719</v>
      </c>
      <c r="T92">
        <f t="shared" si="1107"/>
        <v>1.0029038892272999</v>
      </c>
      <c r="U92">
        <f t="shared" si="1107"/>
        <v>0.99459728625575872</v>
      </c>
      <c r="V92">
        <f t="shared" si="1107"/>
        <v>0.98638108008112502</v>
      </c>
      <c r="W92">
        <f t="shared" si="1107"/>
        <v>0.97825242978595695</v>
      </c>
      <c r="X92">
        <f t="shared" si="1107"/>
        <v>0.97020860371380924</v>
      </c>
      <c r="Y92">
        <f t="shared" si="1107"/>
        <v>0.96224697562354811</v>
      </c>
      <c r="Z92">
        <f t="shared" si="1107"/>
        <v>0.95436502105208731</v>
      </c>
      <c r="AA92">
        <f t="shared" si="1107"/>
        <v>0.95068516944764658</v>
      </c>
      <c r="AB92">
        <f t="shared" si="1107"/>
        <v>0.94706389615239428</v>
      </c>
      <c r="AC92">
        <f t="shared" si="1107"/>
        <v>0.94349853972430453</v>
      </c>
      <c r="AD92">
        <f t="shared" si="1107"/>
        <v>0.93998653706850799</v>
      </c>
      <c r="AE92">
        <f t="shared" si="1107"/>
        <v>0.9365254168793673</v>
      </c>
      <c r="AF92">
        <f t="shared" si="1107"/>
        <v>0.93311279373051959</v>
      </c>
      <c r="AG92">
        <f t="shared" si="1107"/>
        <v>0.92974636275698086</v>
      </c>
      <c r="AH92">
        <f t="shared" si="1107"/>
        <v>0.92642389487708865</v>
      </c>
      <c r="AI92">
        <f t="shared" si="1107"/>
        <v>0.92866279744595381</v>
      </c>
      <c r="AJ92">
        <f t="shared" si="1107"/>
        <v>0.93091904035729767</v>
      </c>
      <c r="AK92">
        <f t="shared" si="1107"/>
        <v>0.93319293291943328</v>
      </c>
      <c r="AL92">
        <f t="shared" si="1107"/>
        <v>0.93548485751033761</v>
      </c>
      <c r="AM92">
        <f t="shared" si="1107"/>
        <v>0.93779526500165877</v>
      </c>
      <c r="AN92">
        <f t="shared" si="1107"/>
        <v>0.94012467039713143</v>
      </c>
      <c r="AO92">
        <f t="shared" si="1107"/>
        <v>0.942473648683677</v>
      </c>
      <c r="AP92">
        <f t="shared" si="1107"/>
        <v>0.94484283089305832</v>
      </c>
      <c r="AQ92">
        <f t="shared" si="1107"/>
        <v>0.9614335052362748</v>
      </c>
      <c r="AR92">
        <f t="shared" si="1107"/>
        <v>0.97837756520727992</v>
      </c>
      <c r="AS92">
        <f t="shared" si="1107"/>
        <v>0.99567132010121018</v>
      </c>
      <c r="AT92">
        <f t="shared" si="1107"/>
        <v>1.0133111635048357</v>
      </c>
      <c r="AU92">
        <f t="shared" si="1107"/>
        <v>1.0312935730476231</v>
      </c>
      <c r="AV92">
        <f t="shared" si="1107"/>
        <v>1.0496151103219247</v>
      </c>
      <c r="AW92">
        <f t="shared" si="1107"/>
        <v>1.0682724209368459</v>
      </c>
      <c r="AX92">
        <f t="shared" si="1107"/>
        <v>1.0872622346760923</v>
      </c>
      <c r="AY92">
        <f t="shared" si="1107"/>
        <v>1.0984602152293812</v>
      </c>
      <c r="AZ92">
        <f t="shared" si="1107"/>
        <v>1.1098182424496243</v>
      </c>
      <c r="BA92">
        <f t="shared" si="1107"/>
        <v>1.1213626295539054</v>
      </c>
      <c r="BB92">
        <f t="shared" si="1107"/>
        <v>1.133121099777693</v>
      </c>
      <c r="BC92">
        <f t="shared" si="1107"/>
        <v>1.1451229297348355</v>
      </c>
      <c r="BD92">
        <f t="shared" si="1107"/>
        <v>1.1573991092919391</v>
      </c>
      <c r="BE92">
        <f t="shared" si="1107"/>
        <v>1.1699825200011023</v>
      </c>
      <c r="BF92">
        <f t="shared" si="1107"/>
        <v>1.1829081344502463</v>
      </c>
      <c r="BG92">
        <f t="shared" si="1107"/>
        <v>1.1962132392572726</v>
      </c>
      <c r="BH92">
        <f t="shared" si="1107"/>
        <v>1.2099376848628027</v>
      </c>
      <c r="BI92">
        <f t="shared" si="1107"/>
        <v>1.2241241657781445</v>
      </c>
      <c r="BJ92">
        <f t="shared" si="1107"/>
        <v>1.2388127617286011</v>
      </c>
      <c r="BK92">
        <f t="shared" si="1107"/>
        <v>1.2540340825291953</v>
      </c>
      <c r="BL92">
        <f t="shared" si="1107"/>
        <v>1.2698207583136689</v>
      </c>
      <c r="BM92">
        <f t="shared" si="1107"/>
        <v>1.286207591646773</v>
      </c>
      <c r="BN92">
        <f t="shared" si="1107"/>
        <v>1.303231699931831</v>
      </c>
      <c r="BO92">
        <f t="shared" ref="BO92:DZ92" si="1108">BO7/$B$109</f>
        <v>1.3209208225021511</v>
      </c>
      <c r="BP92">
        <f t="shared" si="1108"/>
        <v>1.3392863849810388</v>
      </c>
      <c r="BQ92">
        <f t="shared" si="1108"/>
        <v>1.3583401084650268</v>
      </c>
      <c r="BR92">
        <f t="shared" si="1108"/>
        <v>1.3780940091815135</v>
      </c>
      <c r="BS92">
        <f t="shared" si="1108"/>
        <v>1.3984045382575148</v>
      </c>
      <c r="BT92">
        <f t="shared" si="1108"/>
        <v>1.4184611857200657</v>
      </c>
      <c r="BU92">
        <f t="shared" si="1108"/>
        <v>1.4382671250893351</v>
      </c>
      <c r="BV92">
        <f t="shared" si="1108"/>
        <v>1.4578254902164882</v>
      </c>
      <c r="BW92">
        <f t="shared" si="1108"/>
        <v>1.4771393757795521</v>
      </c>
      <c r="BX92">
        <f t="shared" si="1108"/>
        <v>1.4962118377730778</v>
      </c>
      <c r="BY92">
        <f t="shared" si="1108"/>
        <v>1.5150458939916842</v>
      </c>
      <c r="BZ92">
        <f t="shared" si="1108"/>
        <v>1.5336445245075581</v>
      </c>
      <c r="CA92">
        <f t="shared" si="1108"/>
        <v>1.5520106721419835</v>
      </c>
      <c r="CB92">
        <f t="shared" si="1108"/>
        <v>1.5701472429309788</v>
      </c>
      <c r="CC92">
        <f t="shared" si="1108"/>
        <v>1.5880571065851115</v>
      </c>
      <c r="CD92">
        <f t="shared" si="1108"/>
        <v>1.6057430969435675</v>
      </c>
      <c r="CE92">
        <f t="shared" si="1108"/>
        <v>1.6232080124225428</v>
      </c>
      <c r="CF92">
        <f t="shared" si="1108"/>
        <v>1.6404546164580314</v>
      </c>
      <c r="CG92">
        <f t="shared" si="1108"/>
        <v>1.657485637943076</v>
      </c>
      <c r="CH92">
        <f t="shared" si="1108"/>
        <v>1.6743037716595577</v>
      </c>
      <c r="CI92">
        <f t="shared" si="1108"/>
        <v>1.6909116787045833</v>
      </c>
      <c r="CJ92">
        <f t="shared" si="1108"/>
        <v>1.7073119869115458</v>
      </c>
      <c r="CK92">
        <f t="shared" si="1108"/>
        <v>1.7235072912659215</v>
      </c>
      <c r="CL92">
        <f t="shared" si="1108"/>
        <v>1.7395001543158677</v>
      </c>
      <c r="CM92">
        <f t="shared" si="1108"/>
        <v>1.7552931065776896</v>
      </c>
      <c r="CN92">
        <f t="shared" si="1108"/>
        <v>1.7708886469362384</v>
      </c>
      <c r="CO92">
        <f t="shared" si="1108"/>
        <v>1.7862892430403057</v>
      </c>
      <c r="CP92">
        <f t="shared" si="1108"/>
        <v>1.801497331693072</v>
      </c>
      <c r="CQ92">
        <f t="shared" si="1108"/>
        <v>1.8165153192376786</v>
      </c>
      <c r="CR92">
        <f t="shared" si="1108"/>
        <v>1.8313455819379776</v>
      </c>
      <c r="CS92">
        <f t="shared" si="1108"/>
        <v>1.8459904663545232</v>
      </c>
      <c r="CT92">
        <f t="shared" si="1108"/>
        <v>1.8604522897158617</v>
      </c>
      <c r="CU92">
        <f t="shared" si="1108"/>
        <v>1.8747333402851836</v>
      </c>
      <c r="CV92">
        <f t="shared" si="1108"/>
        <v>1.888835877722389</v>
      </c>
      <c r="CW92">
        <f t="shared" si="1108"/>
        <v>1.9027621334416291</v>
      </c>
      <c r="CX92">
        <f t="shared" si="1108"/>
        <v>1.916514310964379</v>
      </c>
      <c r="CY92">
        <f t="shared" si="1108"/>
        <v>1.9300945862680943</v>
      </c>
      <c r="CZ92">
        <f t="shared" si="1108"/>
        <v>1.943505108130513</v>
      </c>
      <c r="DA92">
        <f t="shared" si="1108"/>
        <v>1.9567479984696514</v>
      </c>
      <c r="DB92">
        <f t="shared" si="1108"/>
        <v>1.9698253526795508</v>
      </c>
      <c r="DC92">
        <f t="shared" si="1108"/>
        <v>1.9827392399618264</v>
      </c>
      <c r="DD92">
        <f t="shared" si="1108"/>
        <v>1.9954917036530737</v>
      </c>
      <c r="DE92">
        <f t="shared" si="1108"/>
        <v>2.0080847615481803</v>
      </c>
      <c r="DF92">
        <f t="shared" si="1108"/>
        <v>2.0205204062195983</v>
      </c>
      <c r="DG92">
        <f t="shared" si="1108"/>
        <v>2.0328006053326235</v>
      </c>
      <c r="DH92">
        <f t="shared" si="1108"/>
        <v>2.0449273019567356</v>
      </c>
      <c r="DI92">
        <f t="shared" si="1108"/>
        <v>2.0569024148730466</v>
      </c>
      <c r="DJ92">
        <f t="shared" si="1108"/>
        <v>2.0687278388779031</v>
      </c>
      <c r="DK92">
        <f t="shared" si="1108"/>
        <v>2.0804054450826994</v>
      </c>
      <c r="DL92">
        <f t="shared" si="1108"/>
        <v>2.0919370812099358</v>
      </c>
      <c r="DM92">
        <f t="shared" si="1108"/>
        <v>2.1033245718855818</v>
      </c>
      <c r="DN92">
        <f t="shared" si="1108"/>
        <v>2.1145697189277821</v>
      </c>
      <c r="DO92">
        <f t="shared" si="1108"/>
        <v>2.1256743016319546</v>
      </c>
      <c r="DP92">
        <f t="shared" si="1108"/>
        <v>2.1366400770523253</v>
      </c>
      <c r="DQ92">
        <f t="shared" si="1108"/>
        <v>2.147468780279941</v>
      </c>
      <c r="DR92">
        <f t="shared" si="1108"/>
        <v>2.158162124717212</v>
      </c>
      <c r="DS92">
        <f t="shared" si="1108"/>
        <v>2.1687218023490167</v>
      </c>
      <c r="DT92">
        <f t="shared" si="1108"/>
        <v>2.179149484010424</v>
      </c>
      <c r="DU92">
        <f t="shared" si="1108"/>
        <v>2.1894468196510641</v>
      </c>
      <c r="DV92">
        <f t="shared" si="1108"/>
        <v>2.1996154385961955</v>
      </c>
      <c r="DW92">
        <f t="shared" si="1108"/>
        <v>2.2096569498045131</v>
      </c>
      <c r="DX92">
        <f t="shared" si="1108"/>
        <v>2.2195729421227268</v>
      </c>
      <c r="DY92">
        <f t="shared" si="1108"/>
        <v>2.229364984536963</v>
      </c>
      <c r="DZ92">
        <f t="shared" si="1108"/>
        <v>2.239034626421021</v>
      </c>
      <c r="EA92">
        <f t="shared" ref="EA92:GL92" si="1109">EA7/$B$109</f>
        <v>2.2485833977815282</v>
      </c>
      <c r="EB92">
        <f t="shared" si="1109"/>
        <v>2.2580128095000287</v>
      </c>
      <c r="EC92">
        <f t="shared" si="1109"/>
        <v>2.2673243535720484</v>
      </c>
      <c r="ED92">
        <f t="shared" si="1109"/>
        <v>2.276519503343168</v>
      </c>
      <c r="EE92">
        <f t="shared" si="1109"/>
        <v>2.2855997137421484</v>
      </c>
      <c r="EF92">
        <f t="shared" si="1109"/>
        <v>2.2945664215111417</v>
      </c>
      <c r="EG92">
        <f t="shared" si="1109"/>
        <v>2.3034210454330224</v>
      </c>
      <c r="EH92">
        <f t="shared" si="1109"/>
        <v>2.3121649865558793</v>
      </c>
      <c r="EI92">
        <f t="shared" si="1109"/>
        <v>2.3207996284147008</v>
      </c>
      <c r="EJ92">
        <f t="shared" si="1109"/>
        <v>2.3293263372502873</v>
      </c>
      <c r="EK92">
        <f t="shared" si="1109"/>
        <v>2.3377464622254287</v>
      </c>
      <c r="EL92">
        <f t="shared" si="1109"/>
        <v>2.3460613356383808</v>
      </c>
      <c r="EM92">
        <f t="shared" si="1109"/>
        <v>2.3542722731336712</v>
      </c>
      <c r="EN92">
        <f t="shared" si="1109"/>
        <v>2.3623805739102703</v>
      </c>
      <c r="EO92">
        <f t="shared" si="1109"/>
        <v>2.3703875209271619</v>
      </c>
      <c r="EP92">
        <f t="shared" si="1109"/>
        <v>2.3782943811063424</v>
      </c>
      <c r="EQ92">
        <f t="shared" si="1109"/>
        <v>2.3861024055332831</v>
      </c>
      <c r="ER92">
        <f t="shared" si="1109"/>
        <v>2.3938128296548871</v>
      </c>
      <c r="ES92">
        <f t="shared" si="1109"/>
        <v>2.4014268734749713</v>
      </c>
      <c r="ET92">
        <f t="shared" si="1109"/>
        <v>2.4089457417473041</v>
      </c>
      <c r="EU92">
        <f t="shared" si="1109"/>
        <v>2.4163706241662326</v>
      </c>
      <c r="EV92">
        <f t="shared" si="1109"/>
        <v>2.4237026955549248</v>
      </c>
      <c r="EW92">
        <f t="shared" si="1109"/>
        <v>2.430943116051258</v>
      </c>
      <c r="EX92">
        <f t="shared" si="1109"/>
        <v>2.4380930312913875</v>
      </c>
      <c r="EY92">
        <f t="shared" si="1109"/>
        <v>2.445153572591015</v>
      </c>
      <c r="EZ92">
        <f t="shared" si="1109"/>
        <v>2.4521258571243973</v>
      </c>
      <c r="FA92">
        <f t="shared" si="1109"/>
        <v>2.4590109881011126</v>
      </c>
      <c r="FB92">
        <f t="shared" si="1109"/>
        <v>2.4658100549406186</v>
      </c>
      <c r="FC92">
        <f t="shared" si="1109"/>
        <v>2.4725241334446313</v>
      </c>
      <c r="FD92">
        <f t="shared" si="1109"/>
        <v>2.4791542859673434</v>
      </c>
      <c r="FE92">
        <f t="shared" si="1109"/>
        <v>2.4857015615835216</v>
      </c>
      <c r="FF92">
        <f t="shared" si="1109"/>
        <v>2.4921669962544977</v>
      </c>
      <c r="FG92">
        <f t="shared" si="1109"/>
        <v>2.4985516129920864</v>
      </c>
      <c r="FH92">
        <f t="shared" si="1109"/>
        <v>2.5048564220204557</v>
      </c>
      <c r="FI92">
        <f t="shared" si="1109"/>
        <v>2.5110824209359701</v>
      </c>
      <c r="FJ92">
        <f t="shared" si="1109"/>
        <v>2.5172305948650404</v>
      </c>
      <c r="FK92">
        <f t="shared" si="1109"/>
        <v>2.5233019166199973</v>
      </c>
      <c r="FL92">
        <f t="shared" si="1109"/>
        <v>2.5292973468530171</v>
      </c>
      <c r="FM92">
        <f t="shared" si="1109"/>
        <v>2.5352178342081246</v>
      </c>
      <c r="FN92">
        <f t="shared" si="1109"/>
        <v>2.5410643154712931</v>
      </c>
      <c r="FO92">
        <f t="shared" si="1109"/>
        <v>2.5468377157186719</v>
      </c>
      <c r="FP92">
        <f t="shared" si="1109"/>
        <v>2.5525389484629586</v>
      </c>
      <c r="FQ92">
        <f t="shared" si="1109"/>
        <v>2.5581689157979417</v>
      </c>
      <c r="FR92">
        <f t="shared" si="1109"/>
        <v>2.5637285085412373</v>
      </c>
      <c r="FS92">
        <f t="shared" si="1109"/>
        <v>2.5692186063752418</v>
      </c>
      <c r="FT92">
        <f t="shared" si="1109"/>
        <v>2.574640077986321</v>
      </c>
      <c r="FU92">
        <f t="shared" si="1109"/>
        <v>2.579993781202262</v>
      </c>
      <c r="FV92">
        <f t="shared" si="1109"/>
        <v>2.5852805631280038</v>
      </c>
      <c r="FW92">
        <f t="shared" si="1109"/>
        <v>2.5905012602796735</v>
      </c>
      <c r="FX92">
        <f t="shared" si="1109"/>
        <v>2.5956566987169478</v>
      </c>
      <c r="FY92">
        <f t="shared" si="1109"/>
        <v>2.600747694173756</v>
      </c>
      <c r="FZ92">
        <f t="shared" si="1109"/>
        <v>2.6057750521873539</v>
      </c>
      <c r="GA92">
        <f t="shared" si="1109"/>
        <v>2.6107395682257821</v>
      </c>
      <c r="GB92">
        <f t="shared" si="1109"/>
        <v>2.6156420278137298</v>
      </c>
      <c r="GC92">
        <f t="shared" si="1109"/>
        <v>2.6204832066568282</v>
      </c>
      <c r="GD92">
        <f t="shared" si="1109"/>
        <v>2.6252638707643876</v>
      </c>
      <c r="GE92">
        <f t="shared" si="1109"/>
        <v>2.6299847765706028</v>
      </c>
      <c r="GF92">
        <f t="shared" si="1109"/>
        <v>2.6346466710542402</v>
      </c>
      <c r="GG92">
        <f t="shared" si="1109"/>
        <v>2.6392502918568321</v>
      </c>
      <c r="GH92">
        <f t="shared" si="1109"/>
        <v>2.6437963673993918</v>
      </c>
      <c r="GI92">
        <f t="shared" si="1109"/>
        <v>2.6482856169976694</v>
      </c>
      <c r="GJ92">
        <f t="shared" si="1109"/>
        <v>2.6527187509759687</v>
      </c>
      <c r="GK92">
        <f t="shared" si="1109"/>
        <v>2.657096470779539</v>
      </c>
      <c r="GL92">
        <f t="shared" si="1109"/>
        <v>2.661419469085565</v>
      </c>
      <c r="GM92">
        <f t="shared" ref="GM92:IV92" si="1110">GM7/$B$109</f>
        <v>2.6656884299127657</v>
      </c>
      <c r="GN92">
        <f t="shared" si="1110"/>
        <v>2.6699040287296261</v>
      </c>
      <c r="GO92">
        <f t="shared" si="1110"/>
        <v>2.6740669325612756</v>
      </c>
      <c r="GP92">
        <f t="shared" si="1110"/>
        <v>2.6781778000950296</v>
      </c>
      <c r="GQ92">
        <f t="shared" si="1110"/>
        <v>2.6822372817846118</v>
      </c>
      <c r="GR92">
        <f t="shared" si="1110"/>
        <v>2.686246019953074</v>
      </c>
      <c r="GS92">
        <f t="shared" si="1110"/>
        <v>2.6902046488944307</v>
      </c>
      <c r="GT92">
        <f t="shared" si="1110"/>
        <v>2.6941137949740201</v>
      </c>
      <c r="GU92">
        <f t="shared" si="1110"/>
        <v>2.6979740767276148</v>
      </c>
      <c r="GV92">
        <f t="shared" si="1110"/>
        <v>2.7017861049592895</v>
      </c>
      <c r="GW92">
        <f t="shared" si="1110"/>
        <v>2.7055504828380688</v>
      </c>
      <c r="GX92">
        <f t="shared" si="1110"/>
        <v>2.7092678059933628</v>
      </c>
      <c r="GY92">
        <f t="shared" si="1110"/>
        <v>2.7129386626092162</v>
      </c>
      <c r="GZ92">
        <f t="shared" si="1110"/>
        <v>2.7165636335173708</v>
      </c>
      <c r="HA92">
        <f t="shared" si="1110"/>
        <v>2.720143292289174</v>
      </c>
      <c r="HB92">
        <f t="shared" si="1110"/>
        <v>2.7236782053263293</v>
      </c>
      <c r="HC92">
        <f t="shared" si="1110"/>
        <v>2.7271689319505201</v>
      </c>
      <c r="HD92">
        <f t="shared" si="1110"/>
        <v>2.7306160244919084</v>
      </c>
      <c r="HE92">
        <f t="shared" si="1110"/>
        <v>2.7340200283765297</v>
      </c>
      <c r="HF92">
        <f t="shared" si="1110"/>
        <v>2.737381482212593</v>
      </c>
      <c r="HG92">
        <f t="shared" si="1110"/>
        <v>2.7407009178757056</v>
      </c>
      <c r="HH92">
        <f t="shared" si="1110"/>
        <v>2.7439788605930295</v>
      </c>
      <c r="HI92">
        <f t="shared" si="1110"/>
        <v>2.7472158290263868</v>
      </c>
      <c r="HJ92">
        <f t="shared" si="1110"/>
        <v>2.7504123353543268</v>
      </c>
      <c r="HK92">
        <f t="shared" si="1110"/>
        <v>2.7535688853531677</v>
      </c>
      <c r="HL92">
        <f t="shared" si="1110"/>
        <v>2.756685978477023</v>
      </c>
      <c r="HM92">
        <f t="shared" si="1110"/>
        <v>2.7597641079368302</v>
      </c>
      <c r="HN92">
        <f t="shared" si="1110"/>
        <v>2.7628037607783904</v>
      </c>
      <c r="HO92">
        <f t="shared" si="1110"/>
        <v>2.7658054179594305</v>
      </c>
      <c r="HP92">
        <f t="shared" si="1110"/>
        <v>2.7687695544257078</v>
      </c>
      <c r="HQ92">
        <f t="shared" si="1110"/>
        <v>2.7716966391861564</v>
      </c>
      <c r="HR92">
        <f t="shared" si="1110"/>
        <v>2.7745871353870992</v>
      </c>
      <c r="HS92">
        <f t="shared" si="1110"/>
        <v>2.7774415003855304</v>
      </c>
      <c r="HT92">
        <f t="shared" si="1110"/>
        <v>2.7802601858214815</v>
      </c>
      <c r="HU92">
        <f t="shared" si="1110"/>
        <v>2.7830436376894827</v>
      </c>
      <c r="HV92">
        <f t="shared" si="1110"/>
        <v>2.7857922964091344</v>
      </c>
      <c r="HW92">
        <f t="shared" si="1110"/>
        <v>2.78850659689479</v>
      </c>
      <c r="HX92">
        <f t="shared" si="1110"/>
        <v>2.7911869686243751</v>
      </c>
      <c r="HY92">
        <f t="shared" si="1110"/>
        <v>2.7938338357073405</v>
      </c>
      <c r="HZ92">
        <f t="shared" si="1110"/>
        <v>2.7964476169517689</v>
      </c>
      <c r="IA92">
        <f t="shared" si="1110"/>
        <v>2.7990287259306417</v>
      </c>
      <c r="IB92">
        <f t="shared" si="1110"/>
        <v>2.8015775710472788</v>
      </c>
      <c r="IC92">
        <f t="shared" si="1110"/>
        <v>2.8040945555999577</v>
      </c>
      <c r="ID92">
        <f t="shared" si="1110"/>
        <v>2.8065800778457284</v>
      </c>
      <c r="IE92">
        <f t="shared" si="1110"/>
        <v>2.8090345310634266</v>
      </c>
      <c r="IF92">
        <f t="shared" si="1110"/>
        <v>2.811458303615904</v>
      </c>
      <c r="IG92">
        <f t="shared" si="1110"/>
        <v>2.813851779011475</v>
      </c>
      <c r="IH92">
        <f t="shared" si="1110"/>
        <v>2.8162153359646016</v>
      </c>
      <c r="II92">
        <f t="shared" si="1110"/>
        <v>2.8185493484558144</v>
      </c>
      <c r="IJ92">
        <f t="shared" si="1110"/>
        <v>2.8208541857908869</v>
      </c>
      <c r="IK92">
        <f t="shared" si="1110"/>
        <v>2.823130212659271</v>
      </c>
      <c r="IL92">
        <f t="shared" si="1110"/>
        <v>2.8253777891917999</v>
      </c>
      <c r="IM92">
        <f t="shared" si="1110"/>
        <v>2.8275972710176727</v>
      </c>
      <c r="IN92">
        <f t="shared" si="1110"/>
        <v>2.8297890093207214</v>
      </c>
      <c r="IO92">
        <f t="shared" si="1110"/>
        <v>2.8319533508949828</v>
      </c>
      <c r="IP92">
        <f t="shared" si="1110"/>
        <v>2.8340906381995654</v>
      </c>
      <c r="IQ92">
        <f t="shared" si="1110"/>
        <v>2.8362012094128408</v>
      </c>
      <c r="IR92">
        <f t="shared" si="1110"/>
        <v>2.8382853984859504</v>
      </c>
      <c r="IS92">
        <f t="shared" si="1110"/>
        <v>2.8403435351956463</v>
      </c>
      <c r="IT92">
        <f t="shared" si="1110"/>
        <v>2.8423759451964705</v>
      </c>
      <c r="IU92">
        <f t="shared" si="1110"/>
        <v>2.8443829500722848</v>
      </c>
      <c r="IV92">
        <f t="shared" si="1110"/>
        <v>2.8463648673871513</v>
      </c>
    </row>
    <row r="93" spans="1:256" x14ac:dyDescent="0.2">
      <c r="A93" t="s">
        <v>564</v>
      </c>
      <c r="B93">
        <v>0.7371634674072266</v>
      </c>
      <c r="C93">
        <f t="shared" ref="C93:BN93" si="1111">C8/$B$110</f>
        <v>0.99376621845674296</v>
      </c>
      <c r="D93">
        <f t="shared" si="1111"/>
        <v>0.98761035918277662</v>
      </c>
      <c r="E93">
        <f t="shared" si="1111"/>
        <v>0.98153144814973503</v>
      </c>
      <c r="F93">
        <f t="shared" si="1111"/>
        <v>0.97552852350460639</v>
      </c>
      <c r="G93">
        <f t="shared" si="1111"/>
        <v>0.96960063541754182</v>
      </c>
      <c r="H93">
        <f t="shared" si="1111"/>
        <v>0.96374684593156557</v>
      </c>
      <c r="I93">
        <f t="shared" si="1111"/>
        <v>0.95796622881416404</v>
      </c>
      <c r="J93">
        <f t="shared" si="1111"/>
        <v>0.95225786941072998</v>
      </c>
      <c r="K93">
        <f t="shared" si="1111"/>
        <v>0.9420503350663143</v>
      </c>
      <c r="L93">
        <f t="shared" si="1111"/>
        <v>0.9319703949012037</v>
      </c>
      <c r="M93">
        <f t="shared" si="1111"/>
        <v>0.92201645398815701</v>
      </c>
      <c r="N93">
        <f t="shared" si="1111"/>
        <v>0.91218693733652334</v>
      </c>
      <c r="O93">
        <f t="shared" si="1111"/>
        <v>0.90248028964303506</v>
      </c>
      <c r="P93">
        <f t="shared" si="1111"/>
        <v>0.89289497504571547</v>
      </c>
      <c r="Q93">
        <f t="shared" si="1111"/>
        <v>0.88342947688086237</v>
      </c>
      <c r="R93">
        <f t="shared" si="1111"/>
        <v>0.87408229744306998</v>
      </c>
      <c r="S93">
        <f t="shared" si="1111"/>
        <v>0.86485195774824997</v>
      </c>
      <c r="T93">
        <f t="shared" si="1111"/>
        <v>0.85573699729961528</v>
      </c>
      <c r="U93">
        <f t="shared" si="1111"/>
        <v>0.84673597385658828</v>
      </c>
      <c r="V93">
        <f t="shared" si="1111"/>
        <v>0.83784746320659931</v>
      </c>
      <c r="W93">
        <f t="shared" si="1111"/>
        <v>0.82907005893973518</v>
      </c>
      <c r="X93">
        <f t="shared" si="1111"/>
        <v>0.82040237222620671</v>
      </c>
      <c r="Y93">
        <f t="shared" si="1111"/>
        <v>0.81184303159659743</v>
      </c>
      <c r="Z93">
        <f t="shared" si="1111"/>
        <v>0.80339068272485825</v>
      </c>
      <c r="AA93">
        <f t="shared" si="1111"/>
        <v>0.79673967723723427</v>
      </c>
      <c r="AB93">
        <f t="shared" si="1111"/>
        <v>0.79017180931820552</v>
      </c>
      <c r="AC93">
        <f t="shared" si="1111"/>
        <v>0.78368603974816464</v>
      </c>
      <c r="AD93">
        <f t="shared" si="1111"/>
        <v>0.77728134229774914</v>
      </c>
      <c r="AE93">
        <f t="shared" si="1111"/>
        <v>0.77095670356546386</v>
      </c>
      <c r="AF93">
        <f t="shared" si="1111"/>
        <v>0.76471112281733222</v>
      </c>
      <c r="AG93">
        <f t="shared" si="1111"/>
        <v>0.75854361182855234</v>
      </c>
      <c r="AH93">
        <f t="shared" si="1111"/>
        <v>0.75245319472713212</v>
      </c>
      <c r="AI93">
        <f t="shared" si="1111"/>
        <v>0.75554752979304307</v>
      </c>
      <c r="AJ93">
        <f t="shared" si="1111"/>
        <v>0.75860318567063001</v>
      </c>
      <c r="AK93">
        <f t="shared" si="1111"/>
        <v>0.76162064584974709</v>
      </c>
      <c r="AL93">
        <f t="shared" si="1111"/>
        <v>0.76460038777662531</v>
      </c>
      <c r="AM93">
        <f t="shared" si="1111"/>
        <v>0.76754288292941741</v>
      </c>
      <c r="AN93">
        <f t="shared" si="1111"/>
        <v>0.77044859689279976</v>
      </c>
      <c r="AO93">
        <f t="shared" si="1111"/>
        <v>0.77331798943163976</v>
      </c>
      <c r="AP93">
        <f t="shared" si="1111"/>
        <v>0.7761515145637442</v>
      </c>
      <c r="AQ93">
        <f t="shared" si="1111"/>
        <v>0.77796544412559632</v>
      </c>
      <c r="AR93">
        <f t="shared" si="1111"/>
        <v>0.77975669956792537</v>
      </c>
      <c r="AS93">
        <f t="shared" si="1111"/>
        <v>0.7815255643172252</v>
      </c>
      <c r="AT93">
        <f t="shared" si="1111"/>
        <v>0.78327231825715882</v>
      </c>
      <c r="AU93">
        <f t="shared" si="1111"/>
        <v>0.78499723777284325</v>
      </c>
      <c r="AV93">
        <f t="shared" si="1111"/>
        <v>0.78670059579458151</v>
      </c>
      <c r="AW93">
        <f t="shared" si="1111"/>
        <v>0.78838266184104822</v>
      </c>
      <c r="AX93">
        <f t="shared" si="1111"/>
        <v>0.79004370206193408</v>
      </c>
      <c r="AY93">
        <f t="shared" si="1111"/>
        <v>0.79712504558015029</v>
      </c>
      <c r="AZ93">
        <f t="shared" si="1111"/>
        <v>0.8041178723043888</v>
      </c>
      <c r="BA93">
        <f t="shared" si="1111"/>
        <v>0.81102328869457418</v>
      </c>
      <c r="BB93">
        <f t="shared" si="1111"/>
        <v>0.81784238737988235</v>
      </c>
      <c r="BC93">
        <f t="shared" si="1111"/>
        <v>0.82457624733162427</v>
      </c>
      <c r="BD93">
        <f t="shared" si="1111"/>
        <v>0.83122593403396927</v>
      </c>
      <c r="BE93">
        <f t="shared" si="1111"/>
        <v>0.83779249965253488</v>
      </c>
      <c r="BF93">
        <f t="shared" si="1111"/>
        <v>0.84427698320086852</v>
      </c>
      <c r="BG93">
        <f t="shared" si="1111"/>
        <v>0.85068041070484801</v>
      </c>
      <c r="BH93">
        <f t="shared" si="1111"/>
        <v>0.85700379536502769</v>
      </c>
      <c r="BI93">
        <f t="shared" si="1111"/>
        <v>0.86324813771695519</v>
      </c>
      <c r="BJ93">
        <f t="shared" si="1111"/>
        <v>0.86941442578948358</v>
      </c>
      <c r="BK93">
        <f t="shared" si="1111"/>
        <v>0.87550363526110531</v>
      </c>
      <c r="BL93">
        <f t="shared" si="1111"/>
        <v>0.88151672961433181</v>
      </c>
      <c r="BM93">
        <f t="shared" si="1111"/>
        <v>0.88745466028814302</v>
      </c>
      <c r="BN93">
        <f t="shared" si="1111"/>
        <v>0.89331836682853161</v>
      </c>
      <c r="BO93">
        <f t="shared" ref="BO93:DZ93" si="1112">BO8/$B$110</f>
        <v>0.8991087770371653</v>
      </c>
      <c r="BP93">
        <f t="shared" si="1112"/>
        <v>0.90482680711819108</v>
      </c>
      <c r="BQ93">
        <f t="shared" si="1112"/>
        <v>0.91047336182320404</v>
      </c>
      <c r="BR93">
        <f t="shared" si="1112"/>
        <v>0.9160493345944043</v>
      </c>
      <c r="BS93">
        <f t="shared" si="1112"/>
        <v>0.92155560770596445</v>
      </c>
      <c r="BT93">
        <f t="shared" si="1112"/>
        <v>0.92699305240363028</v>
      </c>
      <c r="BU93">
        <f t="shared" si="1112"/>
        <v>0.93236252904257522</v>
      </c>
      <c r="BV93">
        <f t="shared" si="1112"/>
        <v>0.93766488722353336</v>
      </c>
      <c r="BW93">
        <f t="shared" si="1112"/>
        <v>0.94290096592722961</v>
      </c>
      <c r="BX93">
        <f t="shared" si="1112"/>
        <v>0.94807159364712945</v>
      </c>
      <c r="BY93">
        <f t="shared" si="1112"/>
        <v>0.95317758852053069</v>
      </c>
      <c r="BZ93">
        <f t="shared" si="1112"/>
        <v>0.95821975845801433</v>
      </c>
      <c r="CA93">
        <f t="shared" si="1112"/>
        <v>0.96319890127127938</v>
      </c>
      <c r="CB93">
        <f t="shared" si="1112"/>
        <v>0.96811580479937875</v>
      </c>
      <c r="CC93">
        <f t="shared" si="1112"/>
        <v>0.9729712470333769</v>
      </c>
      <c r="CD93">
        <f t="shared" si="1112"/>
        <v>0.97776599623944993</v>
      </c>
      <c r="CE93">
        <f t="shared" si="1112"/>
        <v>0.98250081108044718</v>
      </c>
      <c r="CF93">
        <f t="shared" si="1112"/>
        <v>0.98717644073593191</v>
      </c>
      <c r="CG93">
        <f t="shared" si="1112"/>
        <v>0.9917936250207231</v>
      </c>
      <c r="CH93">
        <f t="shared" si="1112"/>
        <v>0.99635309450195453</v>
      </c>
      <c r="CI93">
        <f t="shared" si="1112"/>
        <v>1.0008555706146702</v>
      </c>
      <c r="CJ93">
        <f t="shared" si="1112"/>
        <v>1.0053017657759773</v>
      </c>
      <c r="CK93">
        <f t="shared" si="1112"/>
        <v>1.0096923834977678</v>
      </c>
      <c r="CL93">
        <f t="shared" si="1112"/>
        <v>1.014028118498036</v>
      </c>
      <c r="CM93">
        <f t="shared" si="1112"/>
        <v>1.0183096568108008</v>
      </c>
      <c r="CN93">
        <f t="shared" si="1112"/>
        <v>1.0225376758946561</v>
      </c>
      <c r="CO93">
        <f t="shared" si="1112"/>
        <v>1.0267128447399632</v>
      </c>
      <c r="CP93">
        <f t="shared" si="1112"/>
        <v>1.030835823974704</v>
      </c>
      <c r="CQ93">
        <f t="shared" si="1112"/>
        <v>1.0349072659690104</v>
      </c>
      <c r="CR93">
        <f t="shared" si="1112"/>
        <v>1.038927814938388</v>
      </c>
      <c r="CS93">
        <f t="shared" si="1112"/>
        <v>1.0428981070456487</v>
      </c>
      <c r="CT93">
        <f t="shared" si="1112"/>
        <v>1.0468187705015681</v>
      </c>
      <c r="CU93">
        <f t="shared" si="1112"/>
        <v>1.0506904256642891</v>
      </c>
      <c r="CV93">
        <f t="shared" si="1112"/>
        <v>1.0545136851374757</v>
      </c>
      <c r="CW93">
        <f t="shared" si="1112"/>
        <v>1.0582891538672474</v>
      </c>
      <c r="CX93">
        <f t="shared" si="1112"/>
        <v>1.0620174292378972</v>
      </c>
      <c r="CY93">
        <f t="shared" si="1112"/>
        <v>1.0656991011664136</v>
      </c>
      <c r="CZ93">
        <f t="shared" si="1112"/>
        <v>1.0693347521958239</v>
      </c>
      <c r="DA93">
        <f t="shared" si="1112"/>
        <v>1.0729249575873663</v>
      </c>
      <c r="DB93">
        <f t="shared" si="1112"/>
        <v>1.0764702854115147</v>
      </c>
      <c r="DC93">
        <f t="shared" si="1112"/>
        <v>1.079971296637861</v>
      </c>
      <c r="DD93">
        <f t="shared" si="1112"/>
        <v>1.0834285452238781</v>
      </c>
      <c r="DE93">
        <f t="shared" si="1112"/>
        <v>1.0868425782025699</v>
      </c>
      <c r="DF93">
        <f t="shared" si="1112"/>
        <v>1.0902139357690281</v>
      </c>
      <c r="DG93">
        <f t="shared" si="1112"/>
        <v>1.0935431513659055</v>
      </c>
      <c r="DH93">
        <f t="shared" si="1112"/>
        <v>1.096830751767822</v>
      </c>
      <c r="DI93">
        <f t="shared" si="1112"/>
        <v>1.1000772571647144</v>
      </c>
      <c r="DJ93">
        <f t="shared" si="1112"/>
        <v>1.1032831812441459</v>
      </c>
      <c r="DK93">
        <f t="shared" si="1112"/>
        <v>1.1064490312725843</v>
      </c>
      <c r="DL93">
        <f t="shared" si="1112"/>
        <v>1.1095753081756674</v>
      </c>
      <c r="DM93">
        <f t="shared" si="1112"/>
        <v>1.1126625066174618</v>
      </c>
      <c r="DN93">
        <f t="shared" si="1112"/>
        <v>1.115711115078734</v>
      </c>
      <c r="DO93">
        <f t="shared" si="1112"/>
        <v>1.1187216159342401</v>
      </c>
      <c r="DP93">
        <f t="shared" si="1112"/>
        <v>1.1216944855290525</v>
      </c>
      <c r="DQ93">
        <f t="shared" si="1112"/>
        <v>1.1246301942539296</v>
      </c>
      <c r="DR93">
        <f t="shared" si="1112"/>
        <v>1.1275292066197458</v>
      </c>
      <c r="DS93">
        <f t="shared" si="1112"/>
        <v>1.1303919813309893</v>
      </c>
      <c r="DT93">
        <f t="shared" si="1112"/>
        <v>1.133218971358342</v>
      </c>
      <c r="DU93">
        <f t="shared" si="1112"/>
        <v>1.1360106240103531</v>
      </c>
      <c r="DV93">
        <f t="shared" si="1112"/>
        <v>1.138767381004214</v>
      </c>
      <c r="DW93">
        <f t="shared" si="1112"/>
        <v>1.1414896785356516</v>
      </c>
      <c r="DX93">
        <f t="shared" si="1112"/>
        <v>1.1441779473479463</v>
      </c>
      <c r="DY93">
        <f t="shared" si="1112"/>
        <v>1.1468326128000872</v>
      </c>
      <c r="DZ93">
        <f t="shared" si="1112"/>
        <v>1.1494540949340764</v>
      </c>
      <c r="EA93">
        <f t="shared" ref="EA93:GL93" si="1113">EA8/$B$110</f>
        <v>1.152042808541391</v>
      </c>
      <c r="EB93">
        <f t="shared" si="1113"/>
        <v>1.1545991632286139</v>
      </c>
      <c r="EC93">
        <f t="shared" si="1113"/>
        <v>1.1571235634822465</v>
      </c>
      <c r="ED93">
        <f t="shared" si="1113"/>
        <v>1.1596164087327088</v>
      </c>
      <c r="EE93">
        <f t="shared" si="1113"/>
        <v>1.1620780934175401</v>
      </c>
      <c r="EF93">
        <f t="shared" si="1113"/>
        <v>1.1645090070438113</v>
      </c>
      <c r="EG93">
        <f t="shared" si="1113"/>
        <v>1.1669095342497537</v>
      </c>
      <c r="EH93">
        <f t="shared" si="1113"/>
        <v>1.1692800548656221</v>
      </c>
      <c r="EI93">
        <f t="shared" si="1113"/>
        <v>1.1716209439737921</v>
      </c>
      <c r="EJ93">
        <f t="shared" si="1113"/>
        <v>1.17393257196811</v>
      </c>
      <c r="EK93">
        <f t="shared" si="1113"/>
        <v>1.176215304612499</v>
      </c>
      <c r="EL93">
        <f t="shared" si="1113"/>
        <v>1.178469503098833</v>
      </c>
      <c r="EM93">
        <f t="shared" si="1113"/>
        <v>1.180695524104088</v>
      </c>
      <c r="EN93">
        <f t="shared" si="1113"/>
        <v>1.1828937198467773</v>
      </c>
      <c r="EO93">
        <f t="shared" si="1113"/>
        <v>1.1850644381426829</v>
      </c>
      <c r="EP93">
        <f t="shared" si="1113"/>
        <v>1.1872080224598898</v>
      </c>
      <c r="EQ93">
        <f t="shared" si="1113"/>
        <v>1.1893248119731312</v>
      </c>
      <c r="ER93">
        <f t="shared" si="1113"/>
        <v>1.1914151416174574</v>
      </c>
      <c r="ES93">
        <f t="shared" si="1113"/>
        <v>1.1934793421412295</v>
      </c>
      <c r="ET93">
        <f t="shared" si="1113"/>
        <v>1.1955177401584545</v>
      </c>
      <c r="EU93">
        <f t="shared" si="1113"/>
        <v>1.1975306582004641</v>
      </c>
      <c r="EV93">
        <f t="shared" si="1113"/>
        <v>1.1995184147669486</v>
      </c>
      <c r="EW93">
        <f t="shared" si="1113"/>
        <v>1.201481324376352</v>
      </c>
      <c r="EX93">
        <f t="shared" si="1113"/>
        <v>1.2034196976156379</v>
      </c>
      <c r="EY93">
        <f t="shared" si="1113"/>
        <v>1.2053338411894328</v>
      </c>
      <c r="EZ93">
        <f t="shared" si="1113"/>
        <v>1.2072240579685551</v>
      </c>
      <c r="FA93">
        <f t="shared" si="1113"/>
        <v>1.2090906470379388</v>
      </c>
      <c r="FB93">
        <f t="shared" si="1113"/>
        <v>1.2109339037439548</v>
      </c>
      <c r="FC93">
        <f t="shared" si="1113"/>
        <v>1.2127541197411456</v>
      </c>
      <c r="FD93">
        <f t="shared" si="1113"/>
        <v>1.2145515830383715</v>
      </c>
      <c r="FE93">
        <f t="shared" si="1113"/>
        <v>1.2163265780443822</v>
      </c>
      <c r="FF93">
        <f t="shared" si="1113"/>
        <v>1.2180793856128178</v>
      </c>
      <c r="FG93">
        <f t="shared" si="1113"/>
        <v>1.219810283086648</v>
      </c>
      <c r="FH93">
        <f t="shared" si="1113"/>
        <v>1.2215195443420552</v>
      </c>
      <c r="FI93">
        <f t="shared" si="1113"/>
        <v>1.2232074398317696</v>
      </c>
      <c r="FJ93">
        <f t="shared" si="1113"/>
        <v>1.2248742366278629</v>
      </c>
      <c r="FK93">
        <f t="shared" si="1113"/>
        <v>1.2265201984640048</v>
      </c>
      <c r="FL93">
        <f t="shared" si="1113"/>
        <v>1.2281455857771952</v>
      </c>
      <c r="FM93">
        <f t="shared" si="1113"/>
        <v>1.2297506557489706</v>
      </c>
      <c r="FN93">
        <f t="shared" si="1113"/>
        <v>1.2313356623460989</v>
      </c>
      <c r="FO93">
        <f t="shared" si="1113"/>
        <v>1.2329008563607629</v>
      </c>
      <c r="FP93">
        <f t="shared" si="1113"/>
        <v>1.2344464854502437</v>
      </c>
      <c r="FQ93">
        <f t="shared" si="1113"/>
        <v>1.2359727941761058</v>
      </c>
      <c r="FR93">
        <f t="shared" si="1113"/>
        <v>1.2374800240428949</v>
      </c>
      <c r="FS93">
        <f t="shared" si="1113"/>
        <v>1.238968413536349</v>
      </c>
      <c r="FT93">
        <f t="shared" si="1113"/>
        <v>1.240438198161135</v>
      </c>
      <c r="FU93">
        <f t="shared" si="1113"/>
        <v>1.241889610478111</v>
      </c>
      <c r="FV93">
        <f t="shared" si="1113"/>
        <v>1.2433228801411249</v>
      </c>
      <c r="FW93">
        <f t="shared" si="1113"/>
        <v>1.2447382339333513</v>
      </c>
      <c r="FX93">
        <f t="shared" si="1113"/>
        <v>1.2461358958031745</v>
      </c>
      <c r="FY93">
        <f t="shared" si="1113"/>
        <v>1.2475160868996251</v>
      </c>
      <c r="FZ93">
        <f t="shared" si="1113"/>
        <v>1.2488790256073701</v>
      </c>
      <c r="GA93">
        <f t="shared" si="1113"/>
        <v>1.2502249275812685</v>
      </c>
      <c r="GB93">
        <f t="shared" si="1113"/>
        <v>1.2515540057804928</v>
      </c>
      <c r="GC93">
        <f t="shared" si="1113"/>
        <v>1.252866470502227</v>
      </c>
      <c r="GD93">
        <f t="shared" si="1113"/>
        <v>1.2541625294149394</v>
      </c>
      <c r="GE93">
        <f t="shared" si="1113"/>
        <v>1.255442387591243</v>
      </c>
      <c r="GF93">
        <f t="shared" si="1113"/>
        <v>1.2567062475403428</v>
      </c>
      <c r="GG93">
        <f t="shared" si="1113"/>
        <v>1.2579543092400787</v>
      </c>
      <c r="GH93">
        <f t="shared" si="1113"/>
        <v>1.2591867701685679</v>
      </c>
      <c r="GI93">
        <f t="shared" si="1113"/>
        <v>1.2604038253354513</v>
      </c>
      <c r="GJ93">
        <f t="shared" si="1113"/>
        <v>1.2616056673127485</v>
      </c>
      <c r="GK93">
        <f t="shared" si="1113"/>
        <v>1.2627924862653295</v>
      </c>
      <c r="GL93">
        <f t="shared" si="1113"/>
        <v>1.2639644699810033</v>
      </c>
      <c r="GM93">
        <f t="shared" ref="GM93:IV93" si="1114">GM8/$B$110</f>
        <v>1.265121803900231</v>
      </c>
      <c r="GN93">
        <f t="shared" si="1114"/>
        <v>1.2662646711454684</v>
      </c>
      <c r="GO93">
        <f t="shared" si="1114"/>
        <v>1.2673932525501403</v>
      </c>
      <c r="GP93">
        <f t="shared" si="1114"/>
        <v>1.268507726687254</v>
      </c>
      <c r="GQ93">
        <f t="shared" si="1114"/>
        <v>1.2696082698976536</v>
      </c>
      <c r="GR93">
        <f t="shared" si="1114"/>
        <v>1.2706950563179233</v>
      </c>
      <c r="GS93">
        <f t="shared" si="1114"/>
        <v>1.2717682579079395</v>
      </c>
      <c r="GT93">
        <f t="shared" si="1114"/>
        <v>1.2728280444780806</v>
      </c>
      <c r="GU93">
        <f t="shared" si="1114"/>
        <v>1.273874583716095</v>
      </c>
      <c r="GV93">
        <f t="shared" si="1114"/>
        <v>1.274908041213634</v>
      </c>
      <c r="GW93">
        <f t="shared" si="1114"/>
        <v>1.2759285804924538</v>
      </c>
      <c r="GX93">
        <f t="shared" si="1114"/>
        <v>1.2769363630302883</v>
      </c>
      <c r="GY93">
        <f t="shared" si="1114"/>
        <v>1.2779315482864002</v>
      </c>
      <c r="GZ93">
        <f t="shared" si="1114"/>
        <v>1.2789142937268103</v>
      </c>
      <c r="HA93">
        <f t="shared" si="1114"/>
        <v>1.2798847548492156</v>
      </c>
      <c r="HB93">
        <f t="shared" si="1114"/>
        <v>1.2808430852075907</v>
      </c>
      <c r="HC93">
        <f t="shared" si="1114"/>
        <v>1.2817894364364861</v>
      </c>
      <c r="HD93">
        <f t="shared" si="1114"/>
        <v>1.2827239582750203</v>
      </c>
      <c r="HE93">
        <f t="shared" si="1114"/>
        <v>1.2836467985905728</v>
      </c>
      <c r="HF93">
        <f t="shared" si="1114"/>
        <v>1.2845581034021811</v>
      </c>
      <c r="HG93">
        <f t="shared" si="1114"/>
        <v>1.285458016903644</v>
      </c>
      <c r="HH93">
        <f t="shared" si="1114"/>
        <v>1.2863466814863389</v>
      </c>
      <c r="HI93">
        <f t="shared" si="1114"/>
        <v>1.28722423776175</v>
      </c>
      <c r="HJ93">
        <f t="shared" si="1114"/>
        <v>1.2880908245837184</v>
      </c>
      <c r="HK93">
        <f t="shared" si="1114"/>
        <v>1.2889465790704122</v>
      </c>
      <c r="HL93">
        <f t="shared" si="1114"/>
        <v>1.2897916366260223</v>
      </c>
      <c r="HM93">
        <f t="shared" si="1114"/>
        <v>1.2906261309621874</v>
      </c>
      <c r="HN93">
        <f t="shared" si="1114"/>
        <v>1.2914501941191503</v>
      </c>
      <c r="HO93">
        <f t="shared" si="1114"/>
        <v>1.2922639564866514</v>
      </c>
      <c r="HP93">
        <f t="shared" si="1114"/>
        <v>1.2930675468245585</v>
      </c>
      <c r="HQ93">
        <f t="shared" si="1114"/>
        <v>1.2938610922832419</v>
      </c>
      <c r="HR93">
        <f t="shared" si="1114"/>
        <v>1.2946447184236918</v>
      </c>
      <c r="HS93">
        <f t="shared" si="1114"/>
        <v>1.295418549237386</v>
      </c>
      <c r="HT93">
        <f t="shared" si="1114"/>
        <v>1.2961827071659089</v>
      </c>
      <c r="HU93">
        <f t="shared" si="1114"/>
        <v>1.2969373131203255</v>
      </c>
      <c r="HV93">
        <f t="shared" si="1114"/>
        <v>1.2976824865003116</v>
      </c>
      <c r="HW93">
        <f t="shared" si="1114"/>
        <v>1.298418345213048</v>
      </c>
      <c r="HX93">
        <f t="shared" si="1114"/>
        <v>1.2991450056918754</v>
      </c>
      <c r="HY93">
        <f t="shared" si="1114"/>
        <v>1.2998625829147172</v>
      </c>
      <c r="HZ93">
        <f t="shared" si="1114"/>
        <v>1.3005711904222736</v>
      </c>
      <c r="IA93">
        <f t="shared" si="1114"/>
        <v>1.3012709403359854</v>
      </c>
      <c r="IB93">
        <f t="shared" si="1114"/>
        <v>1.3019619433757759</v>
      </c>
      <c r="IC93">
        <f t="shared" si="1114"/>
        <v>1.302644308877569</v>
      </c>
      <c r="ID93">
        <f t="shared" si="1114"/>
        <v>1.3033181448105897</v>
      </c>
      <c r="IE93">
        <f t="shared" si="1114"/>
        <v>1.3039835577944476</v>
      </c>
      <c r="IF93">
        <f t="shared" si="1114"/>
        <v>1.3046406531160073</v>
      </c>
      <c r="IG93">
        <f t="shared" si="1114"/>
        <v>1.3052895347460474</v>
      </c>
      <c r="IH93">
        <f t="shared" si="1114"/>
        <v>1.3059303053557123</v>
      </c>
      <c r="II93">
        <f t="shared" si="1114"/>
        <v>1.3065630663327561</v>
      </c>
      <c r="IJ93">
        <f t="shared" si="1114"/>
        <v>1.3071879177975871</v>
      </c>
      <c r="IK93">
        <f t="shared" si="1114"/>
        <v>1.3078049586191076</v>
      </c>
      <c r="IL93">
        <f t="shared" si="1114"/>
        <v>1.308414286430359</v>
      </c>
      <c r="IM93">
        <f t="shared" si="1114"/>
        <v>1.3090159976439697</v>
      </c>
      <c r="IN93">
        <f t="shared" si="1114"/>
        <v>1.3096101874674104</v>
      </c>
      <c r="IO93">
        <f t="shared" si="1114"/>
        <v>1.3101969499180581</v>
      </c>
      <c r="IP93">
        <f t="shared" si="1114"/>
        <v>1.3107763778380728</v>
      </c>
      <c r="IQ93">
        <f t="shared" si="1114"/>
        <v>1.3113485629090871</v>
      </c>
      <c r="IR93">
        <f t="shared" si="1114"/>
        <v>1.3119135956667138</v>
      </c>
      <c r="IS93">
        <f t="shared" si="1114"/>
        <v>1.3124715655148702</v>
      </c>
      <c r="IT93">
        <f t="shared" si="1114"/>
        <v>1.3130225607399248</v>
      </c>
      <c r="IU93">
        <f t="shared" si="1114"/>
        <v>1.3135666685246661</v>
      </c>
      <c r="IV93">
        <f t="shared" si="1114"/>
        <v>1.314103974962098</v>
      </c>
    </row>
    <row r="94" spans="1:256" x14ac:dyDescent="0.2">
      <c r="A94" t="s">
        <v>565</v>
      </c>
      <c r="B94">
        <v>0.53973793029785155</v>
      </c>
      <c r="C94">
        <f t="shared" ref="C94:BN94" si="1115">C9/$B$111</f>
        <v>0.99965094489658168</v>
      </c>
      <c r="D94">
        <f t="shared" si="1115"/>
        <v>0.99930625298195619</v>
      </c>
      <c r="E94">
        <f t="shared" si="1115"/>
        <v>0.99896586971626344</v>
      </c>
      <c r="F94">
        <f t="shared" si="1115"/>
        <v>0.99862974124139192</v>
      </c>
      <c r="G94">
        <f t="shared" si="1115"/>
        <v>0.99829781437245624</v>
      </c>
      <c r="H94">
        <f t="shared" si="1115"/>
        <v>0.99797003658938221</v>
      </c>
      <c r="I94">
        <f t="shared" si="1115"/>
        <v>0.99764635602859653</v>
      </c>
      <c r="J94">
        <f t="shared" si="1115"/>
        <v>0.99732672147482082</v>
      </c>
      <c r="K94">
        <f t="shared" si="1115"/>
        <v>1.0080195251857267</v>
      </c>
      <c r="L94">
        <f t="shared" si="1115"/>
        <v>1.0185786688502463</v>
      </c>
      <c r="M94">
        <f t="shared" si="1115"/>
        <v>1.0290058232189592</v>
      </c>
      <c r="N94">
        <f t="shared" si="1115"/>
        <v>1.0393026381580635</v>
      </c>
      <c r="O94">
        <f t="shared" si="1115"/>
        <v>1.0494707429104286</v>
      </c>
      <c r="P94">
        <f t="shared" si="1115"/>
        <v>1.0595117463533894</v>
      </c>
      <c r="Q94">
        <f t="shared" si="1115"/>
        <v>1.0694272372533129</v>
      </c>
      <c r="R94">
        <f t="shared" si="1115"/>
        <v>1.0792187845169876</v>
      </c>
      <c r="S94">
        <f t="shared" si="1115"/>
        <v>1.0888879374398661</v>
      </c>
      <c r="T94">
        <f t="shared" si="1115"/>
        <v>1.098436225951209</v>
      </c>
      <c r="U94">
        <f t="shared" si="1115"/>
        <v>1.1078651608561598</v>
      </c>
      <c r="V94">
        <f t="shared" si="1115"/>
        <v>1.1171762340747988</v>
      </c>
      <c r="W94">
        <f t="shared" si="1115"/>
        <v>1.126370918878205</v>
      </c>
      <c r="X94">
        <f t="shared" si="1115"/>
        <v>1.1354506701215683</v>
      </c>
      <c r="Y94">
        <f t="shared" si="1115"/>
        <v>1.1444169244743896</v>
      </c>
      <c r="Z94">
        <f t="shared" si="1115"/>
        <v>1.1532711006478007</v>
      </c>
      <c r="AA94">
        <f t="shared" si="1115"/>
        <v>1.1620145996190443</v>
      </c>
      <c r="AB94">
        <f t="shared" si="1115"/>
        <v>1.1706488048531472</v>
      </c>
      <c r="AC94">
        <f t="shared" si="1115"/>
        <v>1.1791750825218239</v>
      </c>
      <c r="AD94">
        <f t="shared" si="1115"/>
        <v>1.1875947817196422</v>
      </c>
      <c r="AE94">
        <f t="shared" si="1115"/>
        <v>1.1959092346774878</v>
      </c>
      <c r="AF94">
        <f t="shared" si="1115"/>
        <v>1.2041197569733604</v>
      </c>
      <c r="AG94">
        <f t="shared" si="1115"/>
        <v>1.2122276477405343</v>
      </c>
      <c r="AH94">
        <f t="shared" si="1115"/>
        <v>1.2202341898731188</v>
      </c>
      <c r="AI94">
        <f t="shared" si="1115"/>
        <v>1.2174812624997047</v>
      </c>
      <c r="AJ94">
        <f t="shared" si="1115"/>
        <v>1.2147627467184585</v>
      </c>
      <c r="AK94">
        <f t="shared" si="1115"/>
        <v>1.2120782123844778</v>
      </c>
      <c r="AL94">
        <f t="shared" si="1115"/>
        <v>1.2094272347296717</v>
      </c>
      <c r="AM94">
        <f t="shared" si="1115"/>
        <v>1.2068093942955509</v>
      </c>
      <c r="AN94">
        <f t="shared" si="1115"/>
        <v>1.2042242768668565</v>
      </c>
      <c r="AO94">
        <f t="shared" si="1115"/>
        <v>1.2016714734060208</v>
      </c>
      <c r="AP94">
        <f t="shared" si="1115"/>
        <v>1.1991505799884457</v>
      </c>
      <c r="AQ94">
        <f t="shared" si="1115"/>
        <v>1.200908413869997</v>
      </c>
      <c r="AR94">
        <f t="shared" si="1115"/>
        <v>1.2026442748280293</v>
      </c>
      <c r="AS94">
        <f t="shared" si="1115"/>
        <v>1.2043584375240861</v>
      </c>
      <c r="AT94">
        <f t="shared" si="1115"/>
        <v>1.2060511731864421</v>
      </c>
      <c r="AU94">
        <f t="shared" si="1115"/>
        <v>1.2077227496530185</v>
      </c>
      <c r="AV94">
        <f t="shared" si="1115"/>
        <v>1.2093734314137627</v>
      </c>
      <c r="AW94">
        <f t="shared" si="1115"/>
        <v>1.2110034796524975</v>
      </c>
      <c r="AX94">
        <f t="shared" si="1115"/>
        <v>1.2126131522882486</v>
      </c>
      <c r="AY94">
        <f t="shared" si="1115"/>
        <v>1.2206148417186835</v>
      </c>
      <c r="AZ94">
        <f t="shared" si="1115"/>
        <v>1.2285165100312379</v>
      </c>
      <c r="BA94">
        <f t="shared" si="1115"/>
        <v>1.2363194074898856</v>
      </c>
      <c r="BB94">
        <f t="shared" si="1115"/>
        <v>1.2440247687302999</v>
      </c>
      <c r="BC94">
        <f t="shared" si="1115"/>
        <v>1.2516338129552091</v>
      </c>
      <c r="BD94">
        <f t="shared" si="1115"/>
        <v>1.2591477441273071</v>
      </c>
      <c r="BE94">
        <f t="shared" si="1115"/>
        <v>1.2665677511597537</v>
      </c>
      <c r="BF94">
        <f t="shared" si="1115"/>
        <v>1.2738950081042948</v>
      </c>
      <c r="BG94">
        <f t="shared" si="1115"/>
        <v>1.281130674337029</v>
      </c>
      <c r="BH94">
        <f t="shared" si="1115"/>
        <v>1.2882758947418542</v>
      </c>
      <c r="BI94">
        <f t="shared" si="1115"/>
        <v>1.295331799891619</v>
      </c>
      <c r="BJ94">
        <f t="shared" si="1115"/>
        <v>1.3022995062270117</v>
      </c>
      <c r="BK94">
        <f t="shared" si="1115"/>
        <v>1.309180116233212</v>
      </c>
      <c r="BL94">
        <f t="shared" si="1115"/>
        <v>1.3159747186143349</v>
      </c>
      <c r="BM94">
        <f t="shared" si="1115"/>
        <v>1.3226843884656936</v>
      </c>
      <c r="BN94">
        <f t="shared" si="1115"/>
        <v>1.3293101874439106</v>
      </c>
      <c r="BO94">
        <f t="shared" ref="BO94:DZ94" si="1116">BO9/$B$111</f>
        <v>1.3358531639348996</v>
      </c>
      <c r="BP94">
        <f t="shared" si="1116"/>
        <v>1.3423143532197512</v>
      </c>
      <c r="BQ94">
        <f t="shared" si="1116"/>
        <v>1.3486947776385423</v>
      </c>
      <c r="BR94">
        <f t="shared" si="1116"/>
        <v>1.3549954467520986</v>
      </c>
      <c r="BS94">
        <f t="shared" si="1116"/>
        <v>1.3612173575017352</v>
      </c>
      <c r="BT94">
        <f t="shared" si="1116"/>
        <v>1.3673614943670014</v>
      </c>
      <c r="BU94">
        <f t="shared" si="1116"/>
        <v>1.3734288295214518</v>
      </c>
      <c r="BV94">
        <f t="shared" si="1116"/>
        <v>1.3794203229864717</v>
      </c>
      <c r="BW94">
        <f t="shared" si="1116"/>
        <v>1.3853369227831787</v>
      </c>
      <c r="BX94">
        <f t="shared" si="1116"/>
        <v>1.391179565082427</v>
      </c>
      <c r="BY94">
        <f t="shared" si="1116"/>
        <v>1.3969491743529345</v>
      </c>
      <c r="BZ94">
        <f t="shared" si="1116"/>
        <v>1.4026466635075607</v>
      </c>
      <c r="CA94">
        <f t="shared" si="1116"/>
        <v>1.4082729340477544</v>
      </c>
      <c r="CB94">
        <f t="shared" si="1116"/>
        <v>1.4138288762061955</v>
      </c>
      <c r="CC94">
        <f t="shared" si="1116"/>
        <v>1.4193153690876559</v>
      </c>
      <c r="CD94">
        <f t="shared" si="1116"/>
        <v>1.4247332808080981</v>
      </c>
      <c r="CE94">
        <f t="shared" si="1116"/>
        <v>1.4300834686320349</v>
      </c>
      <c r="CF94">
        <f t="shared" si="1116"/>
        <v>1.4353667791081726</v>
      </c>
      <c r="CG94">
        <f t="shared" si="1116"/>
        <v>1.4405840482033583</v>
      </c>
      <c r="CH94">
        <f t="shared" si="1116"/>
        <v>1.4457361014348544</v>
      </c>
      <c r="CI94">
        <f t="shared" si="1116"/>
        <v>1.4508237540009568</v>
      </c>
      <c r="CJ94">
        <f t="shared" si="1116"/>
        <v>1.4558478109099826</v>
      </c>
      <c r="CK94">
        <f t="shared" si="1116"/>
        <v>1.4608090671076459</v>
      </c>
      <c r="CL94">
        <f t="shared" si="1116"/>
        <v>1.4657083076028383</v>
      </c>
      <c r="CM94">
        <f t="shared" si="1116"/>
        <v>1.4705463075918408</v>
      </c>
      <c r="CN94">
        <f t="shared" si="1116"/>
        <v>1.475323832580981</v>
      </c>
      <c r="CO94">
        <f t="shared" si="1116"/>
        <v>1.4800416385077566</v>
      </c>
      <c r="CP94">
        <f t="shared" si="1116"/>
        <v>1.4847004718604477</v>
      </c>
      <c r="CQ94">
        <f t="shared" si="1116"/>
        <v>1.4893010697962301</v>
      </c>
      <c r="CR94">
        <f t="shared" si="1116"/>
        <v>1.4938441602578152</v>
      </c>
      <c r="CS94">
        <f t="shared" si="1116"/>
        <v>1.4983304620886304</v>
      </c>
      <c r="CT94">
        <f t="shared" si="1116"/>
        <v>1.5027606851465605</v>
      </c>
      <c r="CU94">
        <f t="shared" si="1116"/>
        <v>1.5071355304162666</v>
      </c>
      <c r="CV94">
        <f t="shared" si="1116"/>
        <v>1.5114556901201013</v>
      </c>
      <c r="CW94">
        <f t="shared" si="1116"/>
        <v>1.515721847827638</v>
      </c>
      <c r="CX94">
        <f t="shared" si="1116"/>
        <v>1.5199346785638304</v>
      </c>
      <c r="CY94">
        <f t="shared" si="1116"/>
        <v>1.5240948489158204</v>
      </c>
      <c r="CZ94">
        <f t="shared" si="1116"/>
        <v>1.5282030171384107</v>
      </c>
      <c r="DA94">
        <f t="shared" si="1116"/>
        <v>1.5322598332582185</v>
      </c>
      <c r="DB94">
        <f t="shared" si="1116"/>
        <v>1.5362659391765288</v>
      </c>
      <c r="DC94">
        <f t="shared" si="1116"/>
        <v>1.54022196877086</v>
      </c>
      <c r="DD94">
        <f t="shared" si="1116"/>
        <v>1.5441285479952622</v>
      </c>
      <c r="DE94">
        <f t="shared" si="1116"/>
        <v>1.5479862949793595</v>
      </c>
      <c r="DF94">
        <f t="shared" si="1116"/>
        <v>1.5517958201261557</v>
      </c>
      <c r="DG94">
        <f t="shared" si="1116"/>
        <v>1.5555577262086167</v>
      </c>
      <c r="DH94">
        <f t="shared" si="1116"/>
        <v>1.559272608465047</v>
      </c>
      <c r="DI94">
        <f t="shared" si="1116"/>
        <v>1.5629410546932718</v>
      </c>
      <c r="DJ94">
        <f t="shared" si="1116"/>
        <v>1.566563645343644</v>
      </c>
      <c r="DK94">
        <f t="shared" si="1116"/>
        <v>1.5701409536108863</v>
      </c>
      <c r="DL94">
        <f t="shared" si="1116"/>
        <v>1.5736735455247883</v>
      </c>
      <c r="DM94">
        <f t="shared" si="1116"/>
        <v>1.5771619800397665</v>
      </c>
      <c r="DN94">
        <f t="shared" si="1116"/>
        <v>1.5806068091233074</v>
      </c>
      <c r="DO94">
        <f t="shared" si="1116"/>
        <v>1.584008577843304</v>
      </c>
      <c r="DP94">
        <f t="shared" si="1116"/>
        <v>1.5873678244543006</v>
      </c>
      <c r="DQ94">
        <f t="shared" si="1116"/>
        <v>1.59068508048266</v>
      </c>
      <c r="DR94">
        <f t="shared" si="1116"/>
        <v>1.5939608708106647</v>
      </c>
      <c r="DS94">
        <f t="shared" si="1116"/>
        <v>1.5971957137595696</v>
      </c>
      <c r="DT94">
        <f t="shared" si="1116"/>
        <v>1.6003901211716127</v>
      </c>
      <c r="DU94">
        <f t="shared" si="1116"/>
        <v>1.6035445984910057</v>
      </c>
      <c r="DV94">
        <f t="shared" si="1116"/>
        <v>1.6066596448439061</v>
      </c>
      <c r="DW94">
        <f t="shared" si="1116"/>
        <v>1.6097357531173953</v>
      </c>
      <c r="DX94">
        <f t="shared" si="1116"/>
        <v>1.6127734100374658</v>
      </c>
      <c r="DY94">
        <f t="shared" si="1116"/>
        <v>1.6157730962460355</v>
      </c>
      <c r="DZ94">
        <f t="shared" si="1116"/>
        <v>1.6187352863769979</v>
      </c>
      <c r="EA94">
        <f t="shared" ref="EA94:GL94" si="1117">EA9/$B$111</f>
        <v>1.6216604491313233</v>
      </c>
      <c r="EB94">
        <f t="shared" si="1117"/>
        <v>1.6245490473512196</v>
      </c>
      <c r="EC94">
        <f t="shared" si="1117"/>
        <v>1.6274015380933675</v>
      </c>
      <c r="ED94">
        <f t="shared" si="1117"/>
        <v>1.6302183727012385</v>
      </c>
      <c r="EE94">
        <f t="shared" si="1117"/>
        <v>1.632999996876511</v>
      </c>
      <c r="EF94">
        <f t="shared" si="1117"/>
        <v>1.6357468507495925</v>
      </c>
      <c r="EG94">
        <f t="shared" si="1117"/>
        <v>1.6384593689492606</v>
      </c>
      <c r="EH94">
        <f t="shared" si="1117"/>
        <v>1.6411379806714328</v>
      </c>
      <c r="EI94">
        <f t="shared" si="1117"/>
        <v>1.6437831097470779</v>
      </c>
      <c r="EJ94">
        <f t="shared" si="1117"/>
        <v>1.6463951747092773</v>
      </c>
      <c r="EK94">
        <f t="shared" si="1117"/>
        <v>1.6489745888594496</v>
      </c>
      <c r="EL94">
        <f t="shared" si="1117"/>
        <v>1.6515217603327443</v>
      </c>
      <c r="EM94">
        <f t="shared" si="1117"/>
        <v>1.6540370921626231</v>
      </c>
      <c r="EN94">
        <f t="shared" si="1117"/>
        <v>1.6565209823446283</v>
      </c>
      <c r="EO94">
        <f t="shared" si="1117"/>
        <v>1.6589738238993583</v>
      </c>
      <c r="EP94">
        <f t="shared" si="1117"/>
        <v>1.6613960049346546</v>
      </c>
      <c r="EQ94">
        <f t="shared" si="1117"/>
        <v>1.6637879087070093</v>
      </c>
      <c r="ER94">
        <f t="shared" si="1117"/>
        <v>1.6661499136822098</v>
      </c>
      <c r="ES94">
        <f t="shared" si="1117"/>
        <v>1.6684823935952202</v>
      </c>
      <c r="ET94">
        <f t="shared" si="1117"/>
        <v>1.6707857175093179</v>
      </c>
      <c r="EU94">
        <f t="shared" si="1117"/>
        <v>1.6730602498744895</v>
      </c>
      <c r="EV94">
        <f t="shared" si="1117"/>
        <v>1.6753063505850965</v>
      </c>
      <c r="EW94">
        <f t="shared" si="1117"/>
        <v>1.6775243750368207</v>
      </c>
      <c r="EX94">
        <f t="shared" si="1117"/>
        <v>1.6797146741828985</v>
      </c>
      <c r="EY94">
        <f t="shared" si="1117"/>
        <v>1.6818775945896502</v>
      </c>
      <c r="EZ94">
        <f t="shared" si="1117"/>
        <v>1.6840134784913177</v>
      </c>
      <c r="FA94">
        <f t="shared" si="1117"/>
        <v>1.6861226638442142</v>
      </c>
      <c r="FB94">
        <f t="shared" si="1117"/>
        <v>1.6882054843801995</v>
      </c>
      <c r="FC94">
        <f t="shared" si="1117"/>
        <v>1.6902622696594851</v>
      </c>
      <c r="FD94">
        <f t="shared" si="1117"/>
        <v>1.6922933451227795</v>
      </c>
      <c r="FE94">
        <f t="shared" si="1117"/>
        <v>1.6942990321427829</v>
      </c>
      <c r="FF94">
        <f t="shared" si="1117"/>
        <v>1.696279648075036</v>
      </c>
      <c r="FG94">
        <f t="shared" si="1117"/>
        <v>1.6982355063081358</v>
      </c>
      <c r="FH94">
        <f t="shared" si="1117"/>
        <v>1.7001669163133222</v>
      </c>
      <c r="FI94">
        <f t="shared" si="1117"/>
        <v>1.7020741836934437</v>
      </c>
      <c r="FJ94">
        <f t="shared" si="1117"/>
        <v>1.7039576102313136</v>
      </c>
      <c r="FK94">
        <f t="shared" si="1117"/>
        <v>1.7058174939374602</v>
      </c>
      <c r="FL94">
        <f t="shared" si="1117"/>
        <v>1.70765412909728</v>
      </c>
      <c r="FM94">
        <f t="shared" si="1117"/>
        <v>1.7094678063176019</v>
      </c>
      <c r="FN94">
        <f t="shared" si="1117"/>
        <v>1.7112588125726698</v>
      </c>
      <c r="FO94">
        <f t="shared" si="1117"/>
        <v>1.7130274312495495</v>
      </c>
      <c r="FP94">
        <f t="shared" si="1117"/>
        <v>1.7147739421929682</v>
      </c>
      <c r="FQ94">
        <f t="shared" si="1117"/>
        <v>1.7164986217495941</v>
      </c>
      <c r="FR94">
        <f t="shared" si="1117"/>
        <v>1.7182017428117622</v>
      </c>
      <c r="FS94">
        <f t="shared" si="1117"/>
        <v>1.7198835748606531</v>
      </c>
      <c r="FT94">
        <f t="shared" si="1117"/>
        <v>1.7215443840089331</v>
      </c>
      <c r="FU94">
        <f t="shared" si="1117"/>
        <v>1.7231844330428594</v>
      </c>
      <c r="FV94">
        <f t="shared" si="1117"/>
        <v>1.7248039814638616</v>
      </c>
      <c r="FW94">
        <f t="shared" si="1117"/>
        <v>1.7264032855296014</v>
      </c>
      <c r="FX94">
        <f t="shared" si="1117"/>
        <v>1.7279825982945194</v>
      </c>
      <c r="FY94">
        <f t="shared" si="1117"/>
        <v>1.7295421696498758</v>
      </c>
      <c r="FZ94">
        <f t="shared" si="1117"/>
        <v>1.7310822463632904</v>
      </c>
      <c r="GA94">
        <f t="shared" si="1117"/>
        <v>1.7326030721177872</v>
      </c>
      <c r="GB94">
        <f t="shared" si="1117"/>
        <v>1.7341048875503531</v>
      </c>
      <c r="GC94">
        <f t="shared" si="1117"/>
        <v>1.7355879302900115</v>
      </c>
      <c r="GD94">
        <f t="shared" si="1117"/>
        <v>1.7370524349954244</v>
      </c>
      <c r="GE94">
        <f t="shared" si="1117"/>
        <v>1.7384986333920196</v>
      </c>
      <c r="GF94">
        <f t="shared" si="1117"/>
        <v>1.7399267543086572</v>
      </c>
      <c r="GG94">
        <f t="shared" si="1117"/>
        <v>1.741337023713837</v>
      </c>
      <c r="GH94">
        <f t="shared" si="1117"/>
        <v>1.7427296647514521</v>
      </c>
      <c r="GI94">
        <f t="shared" si="1117"/>
        <v>1.7441048977760969</v>
      </c>
      <c r="GJ94">
        <f t="shared" si="1117"/>
        <v>1.7454629403879338</v>
      </c>
      <c r="GK94">
        <f t="shared" si="1117"/>
        <v>1.7468040074671227</v>
      </c>
      <c r="GL94">
        <f t="shared" si="1117"/>
        <v>1.7481283112078216</v>
      </c>
      <c r="GM94">
        <f t="shared" ref="GM94:IV94" si="1118">GM9/$B$111</f>
        <v>1.7494360611517619</v>
      </c>
      <c r="GN94">
        <f t="shared" si="1118"/>
        <v>1.750727464221403</v>
      </c>
      <c r="GO94">
        <f t="shared" si="1118"/>
        <v>1.7520027247526735</v>
      </c>
      <c r="GP94">
        <f t="shared" si="1118"/>
        <v>1.7532620445273031</v>
      </c>
      <c r="GQ94">
        <f t="shared" si="1118"/>
        <v>1.7545056228047498</v>
      </c>
      <c r="GR94">
        <f t="shared" si="1118"/>
        <v>1.7557336563537282</v>
      </c>
      <c r="GS94">
        <f t="shared" si="1118"/>
        <v>1.7569463394833447</v>
      </c>
      <c r="GT94">
        <f t="shared" si="1118"/>
        <v>1.7581438640738407</v>
      </c>
      <c r="GU94">
        <f t="shared" si="1118"/>
        <v>1.7593264196069558</v>
      </c>
      <c r="GV94">
        <f t="shared" si="1118"/>
        <v>1.7604941931959071</v>
      </c>
      <c r="GW94">
        <f t="shared" si="1118"/>
        <v>1.7616473696149961</v>
      </c>
      <c r="GX94">
        <f t="shared" si="1118"/>
        <v>1.7627861313288467</v>
      </c>
      <c r="GY94">
        <f t="shared" si="1118"/>
        <v>1.763910658521274</v>
      </c>
      <c r="GZ94">
        <f t="shared" si="1118"/>
        <v>1.7650211291237963</v>
      </c>
      <c r="HA94">
        <f t="shared" si="1118"/>
        <v>1.7661177188437867</v>
      </c>
      <c r="HB94">
        <f t="shared" si="1118"/>
        <v>1.7672006011922774</v>
      </c>
      <c r="HC94">
        <f t="shared" si="1118"/>
        <v>1.7682699475114119</v>
      </c>
      <c r="HD94">
        <f t="shared" si="1118"/>
        <v>1.7693259270015573</v>
      </c>
      <c r="HE94">
        <f t="shared" si="1118"/>
        <v>1.7703687067480758</v>
      </c>
      <c r="HF94">
        <f t="shared" si="1118"/>
        <v>1.771398451747763</v>
      </c>
      <c r="HG94">
        <f t="shared" si="1118"/>
        <v>1.7724153249349539</v>
      </c>
      <c r="HH94">
        <f t="shared" si="1118"/>
        <v>1.773419487207305</v>
      </c>
      <c r="HI94">
        <f t="shared" si="1118"/>
        <v>1.7744110974512517</v>
      </c>
      <c r="HJ94">
        <f t="shared" si="1118"/>
        <v>1.7753903125671491</v>
      </c>
      <c r="HK94">
        <f t="shared" si="1118"/>
        <v>1.7763572874940976</v>
      </c>
      <c r="HL94">
        <f t="shared" si="1118"/>
        <v>1.7773121752344596</v>
      </c>
      <c r="HM94">
        <f t="shared" si="1118"/>
        <v>1.7782551268780669</v>
      </c>
      <c r="HN94">
        <f t="shared" si="1118"/>
        <v>1.7791862916261292</v>
      </c>
      <c r="HO94">
        <f t="shared" si="1118"/>
        <v>1.7801058168148405</v>
      </c>
      <c r="HP94">
        <f t="shared" si="1118"/>
        <v>1.781013847938693</v>
      </c>
      <c r="HQ94">
        <f t="shared" si="1118"/>
        <v>1.7819105286734973</v>
      </c>
      <c r="HR94">
        <f t="shared" si="1118"/>
        <v>1.7827960008991164</v>
      </c>
      <c r="HS94">
        <f t="shared" si="1118"/>
        <v>1.7836704047219154</v>
      </c>
      <c r="HT94">
        <f t="shared" si="1118"/>
        <v>1.7845338784969293</v>
      </c>
      <c r="HU94">
        <f t="shared" si="1118"/>
        <v>1.7853865588497557</v>
      </c>
      <c r="HV94">
        <f t="shared" si="1118"/>
        <v>1.7862285806981717</v>
      </c>
      <c r="HW94">
        <f t="shared" si="1118"/>
        <v>1.7870600772734828</v>
      </c>
      <c r="HX94">
        <f t="shared" si="1118"/>
        <v>1.7878811801416021</v>
      </c>
      <c r="HY94">
        <f t="shared" si="1118"/>
        <v>1.78869201922387</v>
      </c>
      <c r="HZ94">
        <f t="shared" si="1118"/>
        <v>1.7894927228176096</v>
      </c>
      <c r="IA94">
        <f t="shared" si="1118"/>
        <v>1.7902834176164275</v>
      </c>
      <c r="IB94">
        <f t="shared" si="1118"/>
        <v>1.7910642287302603</v>
      </c>
      <c r="IC94">
        <f t="shared" si="1118"/>
        <v>1.79183527970517</v>
      </c>
      <c r="ID94">
        <f t="shared" si="1118"/>
        <v>1.7925966925428933</v>
      </c>
      <c r="IE94">
        <f t="shared" si="1118"/>
        <v>1.7933485877201452</v>
      </c>
      <c r="IF94">
        <f t="shared" si="1118"/>
        <v>1.7940910842076814</v>
      </c>
      <c r="IG94">
        <f t="shared" si="1118"/>
        <v>1.7948242994891233</v>
      </c>
      <c r="IH94">
        <f t="shared" si="1118"/>
        <v>1.7955483495795472</v>
      </c>
      <c r="II94">
        <f t="shared" si="1118"/>
        <v>1.7962633490438409</v>
      </c>
      <c r="IJ94">
        <f t="shared" si="1118"/>
        <v>1.7969694110148307</v>
      </c>
      <c r="IK94">
        <f t="shared" si="1118"/>
        <v>1.7976666472111833</v>
      </c>
      <c r="IL94">
        <f t="shared" si="1118"/>
        <v>1.7983551679550815</v>
      </c>
      <c r="IM94">
        <f t="shared" si="1118"/>
        <v>1.799035082189681</v>
      </c>
      <c r="IN94">
        <f t="shared" si="1118"/>
        <v>1.7997064974963479</v>
      </c>
      <c r="IO94">
        <f t="shared" si="1118"/>
        <v>1.8003695201116816</v>
      </c>
      <c r="IP94">
        <f t="shared" si="1118"/>
        <v>1.8010242549443236</v>
      </c>
      <c r="IQ94">
        <f t="shared" si="1118"/>
        <v>1.8016708055915573</v>
      </c>
      <c r="IR94">
        <f t="shared" si="1118"/>
        <v>1.8023092743557008</v>
      </c>
      <c r="IS94">
        <f t="shared" si="1118"/>
        <v>1.8029397622602925</v>
      </c>
      <c r="IT94">
        <f t="shared" si="1118"/>
        <v>1.8035623690660767</v>
      </c>
      <c r="IU94">
        <f t="shared" si="1118"/>
        <v>1.8041771932867887</v>
      </c>
      <c r="IV94">
        <f t="shared" si="1118"/>
        <v>1.8047843322047419</v>
      </c>
    </row>
    <row r="95" spans="1:256" x14ac:dyDescent="0.2">
      <c r="A95" t="s">
        <v>566</v>
      </c>
      <c r="B95">
        <v>0.68254425048828127</v>
      </c>
      <c r="C95">
        <f t="shared" ref="C95:BN95" si="1119">C10/$B$112</f>
        <v>0.98772324355328045</v>
      </c>
      <c r="D95">
        <f t="shared" si="1119"/>
        <v>0.97722649214497304</v>
      </c>
      <c r="E95">
        <f t="shared" si="1119"/>
        <v>0.96687556796460061</v>
      </c>
      <c r="F95">
        <f t="shared" si="1119"/>
        <v>0.95666808495379885</v>
      </c>
      <c r="G95">
        <f t="shared" si="1119"/>
        <v>0.94660170503473406</v>
      </c>
      <c r="H95">
        <f t="shared" si="1119"/>
        <v>0.93667413663657551</v>
      </c>
      <c r="I95">
        <f t="shared" si="1119"/>
        <v>0.92688313331857086</v>
      </c>
      <c r="J95">
        <f t="shared" si="1119"/>
        <v>0.91722649247901433</v>
      </c>
      <c r="K95">
        <f t="shared" si="1119"/>
        <v>0.90964294695879577</v>
      </c>
      <c r="L95">
        <f t="shared" si="1119"/>
        <v>0.90217113928138193</v>
      </c>
      <c r="M95">
        <f t="shared" si="1119"/>
        <v>0.89480718529148651</v>
      </c>
      <c r="N95">
        <f t="shared" si="1119"/>
        <v>0.88754736023712977</v>
      </c>
      <c r="O95">
        <f t="shared" si="1119"/>
        <v>0.88038809266109508</v>
      </c>
      <c r="P95">
        <f t="shared" si="1119"/>
        <v>0.87332595851370887</v>
      </c>
      <c r="Q95">
        <f t="shared" si="1119"/>
        <v>0.86635767547907372</v>
      </c>
      <c r="R95">
        <f t="shared" si="1119"/>
        <v>0.85948009750716658</v>
      </c>
      <c r="S95">
        <f t="shared" si="1119"/>
        <v>0.85664382280065821</v>
      </c>
      <c r="T95">
        <f t="shared" si="1119"/>
        <v>0.85386827083818684</v>
      </c>
      <c r="U95">
        <f t="shared" si="1119"/>
        <v>0.85114946984460116</v>
      </c>
      <c r="V95">
        <f t="shared" si="1119"/>
        <v>0.84848361811177742</v>
      </c>
      <c r="W95">
        <f t="shared" si="1119"/>
        <v>0.84586707812650763</v>
      </c>
      <c r="X95">
        <f t="shared" si="1119"/>
        <v>0.84329637087890874</v>
      </c>
      <c r="Y95">
        <f t="shared" si="1119"/>
        <v>0.84076817034629459</v>
      </c>
      <c r="Z95">
        <f t="shared" si="1119"/>
        <v>0.83827929814757074</v>
      </c>
      <c r="AA95">
        <f t="shared" si="1119"/>
        <v>0.84385262980594866</v>
      </c>
      <c r="AB95">
        <f t="shared" si="1119"/>
        <v>0.84964884502991722</v>
      </c>
      <c r="AC95">
        <f t="shared" si="1119"/>
        <v>0.85566223072469794</v>
      </c>
      <c r="AD95">
        <f t="shared" si="1119"/>
        <v>0.86188712715258375</v>
      </c>
      <c r="AE95">
        <f t="shared" si="1119"/>
        <v>0.86831792976416766</v>
      </c>
      <c r="AF95">
        <f t="shared" si="1119"/>
        <v>0.87494909089031547</v>
      </c>
      <c r="AG95">
        <f t="shared" si="1119"/>
        <v>0.88177512130128644</v>
      </c>
      <c r="AH95">
        <f t="shared" si="1119"/>
        <v>0.88879059163912966</v>
      </c>
      <c r="AI95">
        <f t="shared" si="1119"/>
        <v>0.89330194975913235</v>
      </c>
      <c r="AJ95">
        <f t="shared" si="1119"/>
        <v>0.8976603725964436</v>
      </c>
      <c r="AK95">
        <f t="shared" si="1119"/>
        <v>0.90187009228888315</v>
      </c>
      <c r="AL95">
        <f t="shared" si="1119"/>
        <v>0.9059352514454464</v>
      </c>
      <c r="AM95">
        <f t="shared" si="1119"/>
        <v>0.90985990453069177</v>
      </c>
      <c r="AN95">
        <f t="shared" si="1119"/>
        <v>0.91364801924169448</v>
      </c>
      <c r="AO95">
        <f t="shared" si="1119"/>
        <v>0.91730347787778399</v>
      </c>
      <c r="AP95">
        <f t="shared" si="1119"/>
        <v>0.92083007870324873</v>
      </c>
      <c r="AQ95">
        <f t="shared" si="1119"/>
        <v>0.92763353364112766</v>
      </c>
      <c r="AR95">
        <f t="shared" si="1119"/>
        <v>0.93435194539228306</v>
      </c>
      <c r="AS95">
        <f t="shared" si="1119"/>
        <v>0.94098637699654886</v>
      </c>
      <c r="AT95">
        <f t="shared" si="1119"/>
        <v>0.94753787820576141</v>
      </c>
      <c r="AU95">
        <f t="shared" si="1119"/>
        <v>0.95400748564985882</v>
      </c>
      <c r="AV95">
        <f t="shared" si="1119"/>
        <v>0.9603962230009051</v>
      </c>
      <c r="AW95">
        <f t="shared" si="1119"/>
        <v>0.96670510113506336</v>
      </c>
      <c r="AX95">
        <f t="shared" si="1119"/>
        <v>0.97293511829254453</v>
      </c>
      <c r="AY95">
        <f t="shared" si="1119"/>
        <v>0.97342271243638179</v>
      </c>
      <c r="AZ95">
        <f t="shared" si="1119"/>
        <v>0.97428329281748594</v>
      </c>
      <c r="BA95">
        <f t="shared" si="1119"/>
        <v>0.97551490090118398</v>
      </c>
      <c r="BB95">
        <f t="shared" si="1119"/>
        <v>0.97711589456183501</v>
      </c>
      <c r="BC95">
        <f t="shared" si="1119"/>
        <v>0.97908493898492033</v>
      </c>
      <c r="BD95">
        <f t="shared" si="1119"/>
        <v>0.98142099787861314</v>
      </c>
      <c r="BE95">
        <f t="shared" si="1119"/>
        <v>0.98412332498667277</v>
      </c>
      <c r="BF95">
        <f t="shared" si="1119"/>
        <v>0.98719145589464152</v>
      </c>
      <c r="BG95">
        <f t="shared" si="1119"/>
        <v>0.99062520012146382</v>
      </c>
      <c r="BH95">
        <f t="shared" si="1119"/>
        <v>0.99442463348879084</v>
      </c>
      <c r="BI95">
        <f t="shared" si="1119"/>
        <v>0.99859009076038041</v>
      </c>
      <c r="BJ95">
        <f t="shared" si="1119"/>
        <v>1.0031221585441503</v>
      </c>
      <c r="BK95">
        <f t="shared" si="1119"/>
        <v>1.0080216684495922</v>
      </c>
      <c r="BL95">
        <f t="shared" si="1119"/>
        <v>1.0132896904934034</v>
      </c>
      <c r="BM95">
        <f t="shared" si="1119"/>
        <v>1.0189275267452409</v>
      </c>
      <c r="BN95">
        <f t="shared" si="1119"/>
        <v>1.0245047635825948</v>
      </c>
      <c r="BO95">
        <f t="shared" ref="BO95:DZ95" si="1120">BO10/$B$112</f>
        <v>1.0300122849594817</v>
      </c>
      <c r="BP95">
        <f t="shared" si="1120"/>
        <v>1.0354509623191577</v>
      </c>
      <c r="BQ95">
        <f t="shared" si="1120"/>
        <v>1.0408216562118378</v>
      </c>
      <c r="BR95">
        <f t="shared" si="1120"/>
        <v>1.0461252164308592</v>
      </c>
      <c r="BS95">
        <f t="shared" si="1120"/>
        <v>1.051362482147143</v>
      </c>
      <c r="BT95">
        <f t="shared" si="1120"/>
        <v>1.0565342820419732</v>
      </c>
      <c r="BU95">
        <f t="shared" si="1120"/>
        <v>1.061641434438118</v>
      </c>
      <c r="BV95">
        <f t="shared" si="1120"/>
        <v>1.0666847474293109</v>
      </c>
      <c r="BW95">
        <f t="shared" si="1120"/>
        <v>1.0716650190081138</v>
      </c>
      <c r="BX95">
        <f t="shared" si="1120"/>
        <v>1.0765830371921818</v>
      </c>
      <c r="BY95">
        <f t="shared" si="1120"/>
        <v>1.0814395801489491</v>
      </c>
      <c r="BZ95">
        <f t="shared" si="1120"/>
        <v>1.0862354163187566</v>
      </c>
      <c r="CA95">
        <f t="shared" si="1120"/>
        <v>1.0909713045364418</v>
      </c>
      <c r="CB95">
        <f t="shared" si="1120"/>
        <v>1.0956479941514057</v>
      </c>
      <c r="CC95">
        <f t="shared" si="1120"/>
        <v>1.1002662251461826</v>
      </c>
      <c r="CD95">
        <f t="shared" si="1120"/>
        <v>1.1048267282535249</v>
      </c>
      <c r="CE95">
        <f t="shared" si="1120"/>
        <v>1.1093302250720254</v>
      </c>
      <c r="CF95">
        <f t="shared" si="1120"/>
        <v>1.1137774281802943</v>
      </c>
      <c r="CG95">
        <f t="shared" si="1120"/>
        <v>1.1181690412497103</v>
      </c>
      <c r="CH95">
        <f t="shared" si="1120"/>
        <v>1.1225057591557583</v>
      </c>
      <c r="CI95">
        <f t="shared" si="1120"/>
        <v>1.1267882680879806</v>
      </c>
      <c r="CJ95">
        <f t="shared" si="1120"/>
        <v>1.1310172456585506</v>
      </c>
      <c r="CK95">
        <f t="shared" si="1120"/>
        <v>1.135193361009488</v>
      </c>
      <c r="CL95">
        <f t="shared" si="1120"/>
        <v>1.139317274918539</v>
      </c>
      <c r="CM95">
        <f t="shared" si="1120"/>
        <v>1.1433896399037267</v>
      </c>
      <c r="CN95">
        <f t="shared" si="1120"/>
        <v>1.1474111003265997</v>
      </c>
      <c r="CO95">
        <f t="shared" si="1120"/>
        <v>1.1513822924941866</v>
      </c>
      <c r="CP95">
        <f t="shared" si="1120"/>
        <v>1.1553038447596786</v>
      </c>
      <c r="CQ95">
        <f t="shared" si="1120"/>
        <v>1.159176377621852</v>
      </c>
      <c r="CR95">
        <f t="shared" si="1120"/>
        <v>1.1630005038232485</v>
      </c>
      <c r="CS95">
        <f t="shared" si="1120"/>
        <v>1.1667768284471274</v>
      </c>
      <c r="CT95">
        <f t="shared" si="1120"/>
        <v>1.1705059490132077</v>
      </c>
      <c r="CU95">
        <f t="shared" si="1120"/>
        <v>1.174188455572212</v>
      </c>
      <c r="CV95">
        <f t="shared" si="1120"/>
        <v>1.1778249307992288</v>
      </c>
      <c r="CW95">
        <f t="shared" si="1120"/>
        <v>1.1814159500859078</v>
      </c>
      <c r="CX95">
        <f t="shared" si="1120"/>
        <v>1.1849620816315034</v>
      </c>
      <c r="CY95">
        <f t="shared" si="1120"/>
        <v>1.1884638865327792</v>
      </c>
      <c r="CZ95">
        <f t="shared" si="1120"/>
        <v>1.191921918872789</v>
      </c>
      <c r="DA95">
        <f t="shared" si="1120"/>
        <v>1.1953367258085486</v>
      </c>
      <c r="DB95">
        <f t="shared" si="1120"/>
        <v>1.1987088476576113</v>
      </c>
      <c r="DC95">
        <f t="shared" si="1120"/>
        <v>1.2020388179835606</v>
      </c>
      <c r="DD95">
        <f t="shared" si="1120"/>
        <v>1.2053271636804355</v>
      </c>
      <c r="DE95">
        <f t="shared" si="1120"/>
        <v>1.2085744050560996</v>
      </c>
      <c r="DF95">
        <f t="shared" si="1120"/>
        <v>1.2117810559145679</v>
      </c>
      <c r="DG95">
        <f t="shared" si="1120"/>
        <v>1.2149476236373054</v>
      </c>
      <c r="DH95">
        <f t="shared" si="1120"/>
        <v>1.2180746092635084</v>
      </c>
      <c r="DI95">
        <f t="shared" si="1120"/>
        <v>1.2211625075693839</v>
      </c>
      <c r="DJ95">
        <f t="shared" si="1120"/>
        <v>1.2242118071464361</v>
      </c>
      <c r="DK95">
        <f t="shared" si="1120"/>
        <v>1.2272229904787753</v>
      </c>
      <c r="DL95">
        <f t="shared" si="1120"/>
        <v>1.2301965340194601</v>
      </c>
      <c r="DM95">
        <f t="shared" si="1120"/>
        <v>1.2331329082658864</v>
      </c>
      <c r="DN95">
        <f t="shared" si="1120"/>
        <v>1.2360325778342323</v>
      </c>
      <c r="DO95">
        <f t="shared" si="1120"/>
        <v>1.2388960015329737</v>
      </c>
      <c r="DP95">
        <f t="shared" si="1120"/>
        <v>1.241723632435481</v>
      </c>
      <c r="DQ95">
        <f t="shared" si="1120"/>
        <v>1.2445159179517071</v>
      </c>
      <c r="DR95">
        <f t="shared" si="1120"/>
        <v>1.2472732998989802</v>
      </c>
      <c r="DS95">
        <f t="shared" si="1120"/>
        <v>1.2499962145719123</v>
      </c>
      <c r="DT95">
        <f t="shared" si="1120"/>
        <v>1.252685092811433</v>
      </c>
      <c r="DU95">
        <f t="shared" si="1120"/>
        <v>1.2553403600729596</v>
      </c>
      <c r="DV95">
        <f t="shared" si="1120"/>
        <v>1.257962436493717</v>
      </c>
      <c r="DW95">
        <f t="shared" si="1120"/>
        <v>1.260551736959215</v>
      </c>
      <c r="DX95">
        <f t="shared" si="1120"/>
        <v>1.2631086711688944</v>
      </c>
      <c r="DY95">
        <f t="shared" si="1120"/>
        <v>1.2656336437009525</v>
      </c>
      <c r="DZ95">
        <f t="shared" si="1120"/>
        <v>1.2681270540763601</v>
      </c>
      <c r="EA95">
        <f t="shared" ref="EA95:GL95" si="1121">EA10/$B$112</f>
        <v>1.2705892968220751</v>
      </c>
      <c r="EB95">
        <f t="shared" si="1121"/>
        <v>1.2730207615334688</v>
      </c>
      <c r="EC95">
        <f t="shared" si="1121"/>
        <v>1.2754218329359699</v>
      </c>
      <c r="ED95">
        <f t="shared" si="1121"/>
        <v>1.2777928909459397</v>
      </c>
      <c r="EE95">
        <f t="shared" si="1121"/>
        <v>1.280134310730785</v>
      </c>
      <c r="EF95">
        <f t="shared" si="1121"/>
        <v>1.2824464627683196</v>
      </c>
      <c r="EG95">
        <f t="shared" si="1121"/>
        <v>1.2847297129053852</v>
      </c>
      <c r="EH95">
        <f t="shared" si="1121"/>
        <v>1.2869844224157372</v>
      </c>
      <c r="EI95">
        <f t="shared" si="1121"/>
        <v>1.28921094805721</v>
      </c>
      <c r="EJ95">
        <f t="shared" si="1121"/>
        <v>1.2914096421281644</v>
      </c>
      <c r="EK95">
        <f t="shared" si="1121"/>
        <v>1.2935808525232317</v>
      </c>
      <c r="EL95">
        <f t="shared" si="1121"/>
        <v>1.2957249227883609</v>
      </c>
      <c r="EM95">
        <f t="shared" si="1121"/>
        <v>1.2978421921751759</v>
      </c>
      <c r="EN95">
        <f t="shared" si="1121"/>
        <v>1.2999329956946557</v>
      </c>
      <c r="EO95">
        <f t="shared" si="1121"/>
        <v>1.3019976641701421</v>
      </c>
      <c r="EP95">
        <f t="shared" si="1121"/>
        <v>1.3040365242896848</v>
      </c>
      <c r="EQ95">
        <f t="shared" si="1121"/>
        <v>1.3060498986577331</v>
      </c>
      <c r="ER95">
        <f t="shared" si="1121"/>
        <v>1.308038105846181</v>
      </c>
      <c r="ES95">
        <f t="shared" si="1121"/>
        <v>1.3100014604447732</v>
      </c>
      <c r="ET95">
        <f t="shared" si="1121"/>
        <v>1.3119402731108831</v>
      </c>
      <c r="EU95">
        <f t="shared" si="1121"/>
        <v>1.3138548506186667</v>
      </c>
      <c r="EV95">
        <f t="shared" si="1121"/>
        <v>1.3157454959076027</v>
      </c>
      <c r="EW95">
        <f t="shared" si="1121"/>
        <v>1.3176125081304271</v>
      </c>
      <c r="EX95">
        <f t="shared" si="1121"/>
        <v>1.3194561827004663</v>
      </c>
      <c r="EY95">
        <f t="shared" si="1121"/>
        <v>1.3212768113383799</v>
      </c>
      <c r="EZ95">
        <f t="shared" si="1121"/>
        <v>1.3230746821183197</v>
      </c>
      <c r="FA95">
        <f t="shared" si="1121"/>
        <v>1.3248500795135101</v>
      </c>
      <c r="FB95">
        <f t="shared" si="1121"/>
        <v>1.3266032844412607</v>
      </c>
      <c r="FC95">
        <f t="shared" si="1121"/>
        <v>1.3283345743074146</v>
      </c>
      <c r="FD95">
        <f t="shared" si="1121"/>
        <v>1.3300442230502414</v>
      </c>
      <c r="FE95">
        <f t="shared" si="1121"/>
        <v>1.3317325011837828</v>
      </c>
      <c r="FF95">
        <f t="shared" si="1121"/>
        <v>1.333399675840655</v>
      </c>
      <c r="FG95">
        <f t="shared" si="1121"/>
        <v>1.3350460108143163</v>
      </c>
      <c r="FH95">
        <f t="shared" si="1121"/>
        <v>1.3366717666008068</v>
      </c>
      <c r="FI95">
        <f t="shared" si="1121"/>
        <v>1.3382772004399663</v>
      </c>
      <c r="FJ95">
        <f t="shared" si="1121"/>
        <v>1.3398625663561361</v>
      </c>
      <c r="FK95">
        <f t="shared" si="1121"/>
        <v>1.341428115198354</v>
      </c>
      <c r="FL95">
        <f t="shared" si="1121"/>
        <v>1.3429740946800439</v>
      </c>
      <c r="FM95">
        <f t="shared" si="1121"/>
        <v>1.3445007494182128</v>
      </c>
      <c r="FN95">
        <f t="shared" si="1121"/>
        <v>1.3460083209721547</v>
      </c>
      <c r="FO95">
        <f t="shared" si="1121"/>
        <v>1.3474970478816721</v>
      </c>
      <c r="FP95">
        <f t="shared" si="1121"/>
        <v>1.3489671657048208</v>
      </c>
      <c r="FQ95">
        <f t="shared" si="1121"/>
        <v>1.35041890705518</v>
      </c>
      <c r="FR95">
        <f t="shared" si="1121"/>
        <v>1.3518525016386598</v>
      </c>
      <c r="FS95">
        <f t="shared" si="1121"/>
        <v>1.353268176289846</v>
      </c>
      <c r="FT95">
        <f t="shared" si="1121"/>
        <v>1.3546661550078922</v>
      </c>
      <c r="FU95">
        <f t="shared" si="1121"/>
        <v>1.3560466589919631</v>
      </c>
      <c r="FV95">
        <f t="shared" si="1121"/>
        <v>1.3574099066762331</v>
      </c>
      <c r="FW95">
        <f t="shared" si="1121"/>
        <v>1.3587561137644495</v>
      </c>
      <c r="FX95">
        <f t="shared" si="1121"/>
        <v>1.3600854932640634</v>
      </c>
      <c r="FY95">
        <f t="shared" si="1121"/>
        <v>1.361398255519932</v>
      </c>
      <c r="FZ95">
        <f t="shared" si="1121"/>
        <v>1.3626946082476024</v>
      </c>
      <c r="GA95">
        <f t="shared" si="1121"/>
        <v>1.3639747565661766</v>
      </c>
      <c r="GB95">
        <f t="shared" si="1121"/>
        <v>1.365238903030769</v>
      </c>
      <c r="GC95">
        <f t="shared" si="1121"/>
        <v>1.3664872476645538</v>
      </c>
      <c r="GD95">
        <f t="shared" si="1121"/>
        <v>1.3677199879904165</v>
      </c>
      <c r="GE95">
        <f t="shared" si="1121"/>
        <v>1.3689373190622058</v>
      </c>
      <c r="GF95">
        <f t="shared" si="1121"/>
        <v>1.3701394334955976</v>
      </c>
      <c r="GG95">
        <f t="shared" si="1121"/>
        <v>1.3713265214985721</v>
      </c>
      <c r="GH95">
        <f t="shared" si="1121"/>
        <v>1.3724987709015095</v>
      </c>
      <c r="GI95">
        <f t="shared" si="1121"/>
        <v>1.3736563671869102</v>
      </c>
      <c r="GJ95">
        <f t="shared" si="1121"/>
        <v>1.3747994935187433</v>
      </c>
      <c r="GK95">
        <f t="shared" si="1121"/>
        <v>1.3759283307714285</v>
      </c>
      <c r="GL95">
        <f t="shared" si="1121"/>
        <v>1.3770430575584549</v>
      </c>
      <c r="GM95">
        <f t="shared" ref="GM95:IV95" si="1122">GM10/$B$112</f>
        <v>1.3781438502606438</v>
      </c>
      <c r="GN95">
        <f t="shared" si="1122"/>
        <v>1.3792308830540552</v>
      </c>
      <c r="GO95">
        <f t="shared" si="1122"/>
        <v>1.3803043279375491</v>
      </c>
      <c r="GP95">
        <f t="shared" si="1122"/>
        <v>1.3813643547599992</v>
      </c>
      <c r="GQ95">
        <f t="shared" si="1122"/>
        <v>1.3824111312471687</v>
      </c>
      <c r="GR95">
        <f t="shared" si="1122"/>
        <v>1.3834448230282486</v>
      </c>
      <c r="GS95">
        <f t="shared" si="1122"/>
        <v>1.3844655936620649</v>
      </c>
      <c r="GT95">
        <f t="shared" si="1122"/>
        <v>1.3854736046629585</v>
      </c>
      <c r="GU95">
        <f t="shared" si="1122"/>
        <v>1.3864690155263411</v>
      </c>
      <c r="GV95">
        <f t="shared" si="1122"/>
        <v>1.3874519837539312</v>
      </c>
      <c r="GW95">
        <f t="shared" si="1122"/>
        <v>1.3884226648786766</v>
      </c>
      <c r="GX95">
        <f t="shared" si="1122"/>
        <v>1.3893812124893627</v>
      </c>
      <c r="GY95">
        <f t="shared" si="1122"/>
        <v>1.390327778254915</v>
      </c>
      <c r="GZ95">
        <f t="shared" si="1122"/>
        <v>1.3912625119483981</v>
      </c>
      <c r="HA95">
        <f t="shared" si="1122"/>
        <v>1.3921855614707126</v>
      </c>
      <c r="HB95">
        <f t="shared" si="1122"/>
        <v>1.3930970728739982</v>
      </c>
      <c r="HC95">
        <f t="shared" si="1122"/>
        <v>1.3939971903847428</v>
      </c>
      <c r="HD95">
        <f t="shared" si="1122"/>
        <v>1.394886056426603</v>
      </c>
      <c r="HE95">
        <f t="shared" si="1122"/>
        <v>1.3957638116429398</v>
      </c>
      <c r="HF95">
        <f t="shared" si="1122"/>
        <v>1.3966305949190727</v>
      </c>
      <c r="HG95">
        <f t="shared" si="1122"/>
        <v>1.3974865434042538</v>
      </c>
      <c r="HH95">
        <f t="shared" si="1122"/>
        <v>1.3983317925333703</v>
      </c>
      <c r="HI95">
        <f t="shared" si="1122"/>
        <v>1.3991664760483724</v>
      </c>
      <c r="HJ95">
        <f t="shared" si="1122"/>
        <v>1.3999907260194371</v>
      </c>
      <c r="HK95">
        <f t="shared" si="1122"/>
        <v>1.4008046728658636</v>
      </c>
      <c r="HL95">
        <f t="shared" si="1122"/>
        <v>1.4016084453767099</v>
      </c>
      <c r="HM95">
        <f t="shared" si="1122"/>
        <v>1.4024021707311705</v>
      </c>
      <c r="HN95">
        <f t="shared" si="1122"/>
        <v>1.4031859745187003</v>
      </c>
      <c r="HO95">
        <f t="shared" si="1122"/>
        <v>1.4039599807588861</v>
      </c>
      <c r="HP95">
        <f t="shared" si="1122"/>
        <v>1.4047243119210695</v>
      </c>
      <c r="HQ95">
        <f t="shared" si="1122"/>
        <v>1.4054790889437254</v>
      </c>
      <c r="HR95">
        <f t="shared" si="1122"/>
        <v>1.4062244312535983</v>
      </c>
      <c r="HS95">
        <f t="shared" si="1122"/>
        <v>1.4069604567845977</v>
      </c>
      <c r="HT95">
        <f t="shared" si="1122"/>
        <v>1.4076872819964596</v>
      </c>
      <c r="HU95">
        <f t="shared" si="1122"/>
        <v>1.4084050218931736</v>
      </c>
      <c r="HV95">
        <f t="shared" si="1122"/>
        <v>1.4091137900411783</v>
      </c>
      <c r="HW95">
        <f t="shared" si="1122"/>
        <v>1.4098136985873331</v>
      </c>
      <c r="HX95">
        <f t="shared" si="1122"/>
        <v>1.4105048582766608</v>
      </c>
      <c r="HY95">
        <f t="shared" si="1122"/>
        <v>1.4111873784698721</v>
      </c>
      <c r="HZ95">
        <f t="shared" si="1122"/>
        <v>1.4118613671606681</v>
      </c>
      <c r="IA95">
        <f t="shared" si="1122"/>
        <v>1.4125269309928292</v>
      </c>
      <c r="IB95">
        <f t="shared" si="1122"/>
        <v>1.4131841752770884</v>
      </c>
      <c r="IC95">
        <f t="shared" si="1122"/>
        <v>1.4138332040077943</v>
      </c>
      <c r="ID95">
        <f t="shared" si="1122"/>
        <v>1.4144741198793662</v>
      </c>
      <c r="IE95">
        <f t="shared" si="1122"/>
        <v>1.4151070243025436</v>
      </c>
      <c r="IF95">
        <f t="shared" si="1122"/>
        <v>1.4157320174204313</v>
      </c>
      <c r="IG95">
        <f t="shared" si="1122"/>
        <v>1.4163491981243452</v>
      </c>
      <c r="IH95">
        <f t="shared" si="1122"/>
        <v>1.4169586640694605</v>
      </c>
      <c r="II95">
        <f t="shared" si="1122"/>
        <v>1.4175605116902619</v>
      </c>
      <c r="IJ95">
        <f t="shared" si="1122"/>
        <v>1.418154836215803</v>
      </c>
      <c r="IK95">
        <f t="shared" si="1122"/>
        <v>1.418741731684775</v>
      </c>
      <c r="IL95">
        <f t="shared" si="1122"/>
        <v>1.4193212909603847</v>
      </c>
      <c r="IM95">
        <f t="shared" si="1122"/>
        <v>1.4198936057450493</v>
      </c>
      <c r="IN95">
        <f t="shared" si="1122"/>
        <v>1.4204587665949058</v>
      </c>
      <c r="IO95">
        <f t="shared" si="1122"/>
        <v>1.4210168629341391</v>
      </c>
      <c r="IP95">
        <f t="shared" si="1122"/>
        <v>1.4215679830691317</v>
      </c>
      <c r="IQ95">
        <f t="shared" si="1122"/>
        <v>1.4221122142024369</v>
      </c>
      <c r="IR95">
        <f t="shared" si="1122"/>
        <v>1.422649642446576</v>
      </c>
      <c r="IS95">
        <f t="shared" si="1122"/>
        <v>1.4231803528376632</v>
      </c>
      <c r="IT95">
        <f t="shared" si="1122"/>
        <v>1.4237044293488619</v>
      </c>
      <c r="IU95">
        <f t="shared" si="1122"/>
        <v>1.4242219549036705</v>
      </c>
      <c r="IV95">
        <f t="shared" si="1122"/>
        <v>1.4247330113890442</v>
      </c>
    </row>
    <row r="96" spans="1:256" x14ac:dyDescent="0.2">
      <c r="A96" t="s">
        <v>567</v>
      </c>
      <c r="B96">
        <v>0.33077934265136721</v>
      </c>
      <c r="C96">
        <f t="shared" ref="C96:BN96" si="1123">C11/$B$113</f>
        <v>1.00255502328777</v>
      </c>
      <c r="D96">
        <f t="shared" si="1123"/>
        <v>1.001227776972293</v>
      </c>
      <c r="E96">
        <f t="shared" si="1123"/>
        <v>0.99987039654854482</v>
      </c>
      <c r="F96">
        <f t="shared" si="1123"/>
        <v>0.99848422360010414</v>
      </c>
      <c r="G96">
        <f t="shared" si="1123"/>
        <v>0.99707055686662716</v>
      </c>
      <c r="H96">
        <f t="shared" si="1123"/>
        <v>0.9956306536928734</v>
      </c>
      <c r="I96">
        <f t="shared" si="1123"/>
        <v>0.99416573141990883</v>
      </c>
      <c r="J96">
        <f t="shared" si="1123"/>
        <v>0.99267696872126698</v>
      </c>
      <c r="K96">
        <f t="shared" si="1123"/>
        <v>0.98393186475266925</v>
      </c>
      <c r="L96">
        <f t="shared" si="1123"/>
        <v>0.97528246355649262</v>
      </c>
      <c r="M96">
        <f t="shared" si="1123"/>
        <v>0.96672783787678107</v>
      </c>
      <c r="N96">
        <f t="shared" si="1123"/>
        <v>0.95826706517477678</v>
      </c>
      <c r="O96">
        <f t="shared" si="1123"/>
        <v>0.9498992277967595</v>
      </c>
      <c r="P96">
        <f t="shared" si="1123"/>
        <v>0.94162341313049869</v>
      </c>
      <c r="Q96">
        <f t="shared" si="1123"/>
        <v>0.93343871375091358</v>
      </c>
      <c r="R96">
        <f t="shared" si="1123"/>
        <v>0.9253442275555035</v>
      </c>
      <c r="S96">
        <f t="shared" si="1123"/>
        <v>0.92090069106910277</v>
      </c>
      <c r="T96">
        <f t="shared" si="1123"/>
        <v>0.9164894204284505</v>
      </c>
      <c r="U96">
        <f t="shared" si="1123"/>
        <v>0.91211045211315966</v>
      </c>
      <c r="V96">
        <f t="shared" si="1123"/>
        <v>0.90776381155586883</v>
      </c>
      <c r="W96">
        <f t="shared" si="1123"/>
        <v>0.9034495136080436</v>
      </c>
      <c r="X96">
        <f t="shared" si="1123"/>
        <v>0.89916756298736455</v>
      </c>
      <c r="Y96">
        <f t="shared" si="1123"/>
        <v>0.89491795470751045</v>
      </c>
      <c r="Z96">
        <f t="shared" si="1123"/>
        <v>0.89070067449110069</v>
      </c>
      <c r="AA96">
        <f t="shared" si="1123"/>
        <v>0.89346448227309383</v>
      </c>
      <c r="AB96">
        <f t="shared" si="1123"/>
        <v>0.8961536644895286</v>
      </c>
      <c r="AC96">
        <f t="shared" si="1123"/>
        <v>0.89876988112899081</v>
      </c>
      <c r="AD96">
        <f t="shared" si="1123"/>
        <v>0.90131475484715007</v>
      </c>
      <c r="AE96">
        <f t="shared" si="1123"/>
        <v>0.9037898719165296</v>
      </c>
      <c r="AF96">
        <f t="shared" si="1123"/>
        <v>0.90619678314693142</v>
      </c>
      <c r="AG96">
        <f t="shared" si="1123"/>
        <v>0.90853700477763644</v>
      </c>
      <c r="AH96">
        <f t="shared" si="1123"/>
        <v>0.91081201934245082</v>
      </c>
      <c r="AI96">
        <f t="shared" si="1123"/>
        <v>0.91067039586272347</v>
      </c>
      <c r="AJ96">
        <f t="shared" si="1123"/>
        <v>0.91053462505920313</v>
      </c>
      <c r="AK96">
        <f t="shared" si="1123"/>
        <v>0.91040471141526591</v>
      </c>
      <c r="AL96">
        <f t="shared" si="1123"/>
        <v>0.91028065701990624</v>
      </c>
      <c r="AM96">
        <f t="shared" si="1123"/>
        <v>0.91016246164438097</v>
      </c>
      <c r="AN96">
        <f t="shared" si="1123"/>
        <v>0.91005012281688791</v>
      </c>
      <c r="AO96">
        <f t="shared" si="1123"/>
        <v>0.90994363589533134</v>
      </c>
      <c r="AP96">
        <f t="shared" si="1123"/>
        <v>0.90984299413822833</v>
      </c>
      <c r="AQ96">
        <f t="shared" si="1123"/>
        <v>0.92102642083610764</v>
      </c>
      <c r="AR96">
        <f t="shared" si="1123"/>
        <v>0.93201144582169859</v>
      </c>
      <c r="AS96">
        <f t="shared" si="1123"/>
        <v>0.94280157984465995</v>
      </c>
      <c r="AT96">
        <f t="shared" si="1123"/>
        <v>0.95340026725330895</v>
      </c>
      <c r="AU96">
        <f t="shared" si="1123"/>
        <v>0.96381088744957644</v>
      </c>
      <c r="AV96">
        <f t="shared" si="1123"/>
        <v>0.9740367563042488</v>
      </c>
      <c r="AW96">
        <f t="shared" si="1123"/>
        <v>0.98408112753387877</v>
      </c>
      <c r="AX96">
        <f t="shared" si="1123"/>
        <v>0.99394719404068865</v>
      </c>
      <c r="AY96">
        <f t="shared" si="1123"/>
        <v>1.0193123965328112</v>
      </c>
      <c r="AZ96">
        <f t="shared" si="1123"/>
        <v>1.0443605339937823</v>
      </c>
      <c r="BA96">
        <f t="shared" si="1123"/>
        <v>1.0690955697364912</v>
      </c>
      <c r="BB96">
        <f t="shared" si="1123"/>
        <v>1.0935214175324162</v>
      </c>
      <c r="BC96">
        <f t="shared" si="1123"/>
        <v>1.1176419422308921</v>
      </c>
      <c r="BD96">
        <f t="shared" si="1123"/>
        <v>1.1414609603706372</v>
      </c>
      <c r="BE96">
        <f t="shared" si="1123"/>
        <v>1.1649822407836354</v>
      </c>
      <c r="BF96">
        <f t="shared" si="1123"/>
        <v>1.1882095051914712</v>
      </c>
      <c r="BG96">
        <f t="shared" si="1123"/>
        <v>1.2111464287942089</v>
      </c>
      <c r="BH96">
        <f t="shared" si="1123"/>
        <v>1.2337966408519125</v>
      </c>
      <c r="BI96">
        <f t="shared" si="1123"/>
        <v>1.2561637252588946</v>
      </c>
      <c r="BJ96">
        <f t="shared" si="1123"/>
        <v>1.2782512211107897</v>
      </c>
      <c r="BK96">
        <f t="shared" si="1123"/>
        <v>1.300062623264536</v>
      </c>
      <c r="BL96">
        <f t="shared" si="1123"/>
        <v>1.3216013828913604</v>
      </c>
      <c r="BM96">
        <f t="shared" si="1123"/>
        <v>1.3428709080228496</v>
      </c>
      <c r="BN96">
        <f t="shared" si="1123"/>
        <v>1.3638745640901953</v>
      </c>
      <c r="BO96">
        <f t="shared" ref="BO96:DZ96" si="1124">BO11/$B$113</f>
        <v>1.3845593479973883</v>
      </c>
      <c r="BP96">
        <f t="shared" si="1124"/>
        <v>1.4049167581049606</v>
      </c>
      <c r="BQ96">
        <f t="shared" si="1124"/>
        <v>1.4249519926231009</v>
      </c>
      <c r="BR96">
        <f t="shared" si="1124"/>
        <v>1.4446728230171733</v>
      </c>
      <c r="BS96">
        <f t="shared" si="1124"/>
        <v>1.4640891270456302</v>
      </c>
      <c r="BT96">
        <f t="shared" si="1124"/>
        <v>1.483210471905793</v>
      </c>
      <c r="BU96">
        <f t="shared" si="1124"/>
        <v>1.5020461275723158</v>
      </c>
      <c r="BV96">
        <f t="shared" si="1124"/>
        <v>1.5206050793875361</v>
      </c>
      <c r="BW96">
        <f t="shared" si="1124"/>
        <v>1.5388960399552098</v>
      </c>
      <c r="BX96">
        <f t="shared" si="1124"/>
        <v>1.5569274603849581</v>
      </c>
      <c r="BY96">
        <f t="shared" si="1124"/>
        <v>1.5747075409309672</v>
      </c>
      <c r="BZ96">
        <f t="shared" si="1124"/>
        <v>1.5922442410650384</v>
      </c>
      <c r="CA96">
        <f t="shared" si="1124"/>
        <v>1.6095452890209563</v>
      </c>
      <c r="CB96">
        <f t="shared" si="1124"/>
        <v>1.6266181908442925</v>
      </c>
      <c r="CC96">
        <f t="shared" si="1124"/>
        <v>1.6434702389791611</v>
      </c>
      <c r="CD96">
        <f t="shared" si="1124"/>
        <v>1.660108520421071</v>
      </c>
      <c r="CE96">
        <f t="shared" si="1124"/>
        <v>1.6765399244628452</v>
      </c>
      <c r="CF96">
        <f t="shared" si="1124"/>
        <v>1.6927711500586</v>
      </c>
      <c r="CG96">
        <f t="shared" si="1124"/>
        <v>1.7088087128289562</v>
      </c>
      <c r="CH96">
        <f t="shared" si="1124"/>
        <v>1.7246589517289859</v>
      </c>
      <c r="CI96">
        <f t="shared" si="1124"/>
        <v>1.7403280353988775</v>
      </c>
      <c r="CJ96">
        <f t="shared" si="1124"/>
        <v>1.7558219682158869</v>
      </c>
      <c r="CK96">
        <f t="shared" si="1124"/>
        <v>1.771146596064862</v>
      </c>
      <c r="CL96">
        <f t="shared" si="1124"/>
        <v>1.7863076118434309</v>
      </c>
      <c r="CM96">
        <f t="shared" si="1124"/>
        <v>1.8013105607168574</v>
      </c>
      <c r="CN96">
        <f t="shared" si="1124"/>
        <v>1.8161608451365503</v>
      </c>
      <c r="CO96">
        <f t="shared" si="1124"/>
        <v>1.8308637296352901</v>
      </c>
      <c r="CP96">
        <f t="shared" si="1124"/>
        <v>1.8454243454113719</v>
      </c>
      <c r="CQ96">
        <f t="shared" si="1124"/>
        <v>1.8598476947130653</v>
      </c>
      <c r="CR96">
        <f t="shared" si="1124"/>
        <v>1.8741386550340717</v>
      </c>
      <c r="CS96">
        <f t="shared" si="1124"/>
        <v>1.8883019831299541</v>
      </c>
      <c r="CT96">
        <f t="shared" si="1124"/>
        <v>1.9023423188649098</v>
      </c>
      <c r="CU96">
        <f t="shared" si="1124"/>
        <v>1.9162641888976526</v>
      </c>
      <c r="CV96">
        <f t="shared" si="1124"/>
        <v>1.9300720102146383</v>
      </c>
      <c r="CW96">
        <f t="shared" si="1124"/>
        <v>1.9437356525045864</v>
      </c>
      <c r="CX96">
        <f t="shared" si="1124"/>
        <v>1.9572284992659099</v>
      </c>
      <c r="CY96">
        <f t="shared" si="1124"/>
        <v>1.9705526854427171</v>
      </c>
      <c r="CZ96">
        <f t="shared" si="1124"/>
        <v>1.9837103192923145</v>
      </c>
      <c r="DA96">
        <f t="shared" si="1124"/>
        <v>1.9967034827187919</v>
      </c>
      <c r="DB96">
        <f t="shared" si="1124"/>
        <v>2.009534231602438</v>
      </c>
      <c r="DC96">
        <f t="shared" si="1124"/>
        <v>2.022204596125039</v>
      </c>
      <c r="DD96">
        <f t="shared" si="1124"/>
        <v>2.0347165810911068</v>
      </c>
      <c r="DE96">
        <f t="shared" si="1124"/>
        <v>2.047072166245099</v>
      </c>
      <c r="DF96">
        <f t="shared" si="1124"/>
        <v>2.0592733065846667</v>
      </c>
      <c r="DG96">
        <f t="shared" si="1124"/>
        <v>2.0713219326699894</v>
      </c>
      <c r="DH96">
        <f t="shared" si="1124"/>
        <v>2.0832199509292457</v>
      </c>
      <c r="DI96">
        <f t="shared" si="1124"/>
        <v>2.0949692439602616</v>
      </c>
      <c r="DJ96">
        <f t="shared" si="1124"/>
        <v>2.1065716708283895</v>
      </c>
      <c r="DK96">
        <f t="shared" si="1124"/>
        <v>2.1180290673606659</v>
      </c>
      <c r="DL96">
        <f t="shared" si="1124"/>
        <v>2.1293432464362887</v>
      </c>
      <c r="DM96">
        <f t="shared" si="1124"/>
        <v>2.1405159982734663</v>
      </c>
      <c r="DN96">
        <f t="shared" si="1124"/>
        <v>2.1515490907126789</v>
      </c>
      <c r="DO96">
        <f t="shared" si="1124"/>
        <v>2.1624442694964019</v>
      </c>
      <c r="DP96">
        <f t="shared" si="1124"/>
        <v>2.1732032585453278</v>
      </c>
      <c r="DQ96">
        <f t="shared" si="1124"/>
        <v>2.1838277602311424</v>
      </c>
      <c r="DR96">
        <f t="shared" si="1124"/>
        <v>2.1943194556458843</v>
      </c>
      <c r="DS96">
        <f t="shared" si="1124"/>
        <v>2.2046800048679422</v>
      </c>
      <c r="DT96">
        <f t="shared" si="1124"/>
        <v>2.214911047224724</v>
      </c>
      <c r="DU96">
        <f t="shared" si="1124"/>
        <v>2.225014201552046</v>
      </c>
      <c r="DV96">
        <f t="shared" si="1124"/>
        <v>2.2349910664502768</v>
      </c>
      <c r="DW96">
        <f t="shared" si="1124"/>
        <v>2.2448432205372795</v>
      </c>
      <c r="DX96">
        <f t="shared" si="1124"/>
        <v>2.2545722226981946</v>
      </c>
      <c r="DY96">
        <f t="shared" si="1124"/>
        <v>2.2641796123320983</v>
      </c>
      <c r="DZ96">
        <f t="shared" si="1124"/>
        <v>2.2736669095955784</v>
      </c>
      <c r="EA96">
        <f t="shared" ref="EA96:GL96" si="1125">EA11/$B$113</f>
        <v>2.2830356156432647</v>
      </c>
      <c r="EB96">
        <f t="shared" si="1125"/>
        <v>2.2922872128653555</v>
      </c>
      <c r="EC96">
        <f t="shared" si="1125"/>
        <v>2.3014231651221695</v>
      </c>
      <c r="ED96">
        <f t="shared" si="1125"/>
        <v>2.3104449179757736</v>
      </c>
      <c r="EE96">
        <f t="shared" si="1125"/>
        <v>2.3193538989187079</v>
      </c>
      <c r="EF96">
        <f t="shared" si="1125"/>
        <v>2.3281515175998551</v>
      </c>
      <c r="EG96">
        <f t="shared" si="1125"/>
        <v>2.3368391660474881</v>
      </c>
      <c r="EH96">
        <f t="shared" si="1125"/>
        <v>2.3454182188895256</v>
      </c>
      <c r="EI96">
        <f t="shared" si="1125"/>
        <v>2.3538900335710378</v>
      </c>
      <c r="EJ96">
        <f t="shared" si="1125"/>
        <v>2.3622559505690308</v>
      </c>
      <c r="EK96">
        <f t="shared" si="1125"/>
        <v>2.3705172936045491</v>
      </c>
      <c r="EL96">
        <f t="shared" si="1125"/>
        <v>2.3786753698521235</v>
      </c>
      <c r="EM96">
        <f t="shared" si="1125"/>
        <v>2.3867314701466031</v>
      </c>
      <c r="EN96">
        <f t="shared" si="1125"/>
        <v>2.3946868691874017</v>
      </c>
      <c r="EO96">
        <f t="shared" si="1125"/>
        <v>2.4025428257401904</v>
      </c>
      <c r="EP96">
        <f t="shared" si="1125"/>
        <v>2.4103005828360691</v>
      </c>
      <c r="EQ96">
        <f t="shared" si="1125"/>
        <v>2.4179613679682497</v>
      </c>
      <c r="ER96">
        <f t="shared" si="1125"/>
        <v>2.4255263932862778</v>
      </c>
      <c r="ES96">
        <f t="shared" si="1125"/>
        <v>2.4329968557878305</v>
      </c>
      <c r="ET96">
        <f t="shared" si="1125"/>
        <v>2.4403739375081135</v>
      </c>
      <c r="EU96">
        <f t="shared" si="1125"/>
        <v>2.4476588057068933</v>
      </c>
      <c r="EV96">
        <f t="shared" si="1125"/>
        <v>2.4548526130531885</v>
      </c>
      <c r="EW96">
        <f t="shared" si="1125"/>
        <v>2.4619564978076549</v>
      </c>
      <c r="EX96">
        <f t="shared" si="1125"/>
        <v>2.46897158400269</v>
      </c>
      <c r="EY96">
        <f t="shared" si="1125"/>
        <v>2.4758989816202877</v>
      </c>
      <c r="EZ96">
        <f t="shared" si="1125"/>
        <v>2.4827397867676653</v>
      </c>
      <c r="FA96">
        <f t="shared" si="1125"/>
        <v>2.4894950818507007</v>
      </c>
      <c r="FB96">
        <f t="shared" si="1125"/>
        <v>2.4961659357451982</v>
      </c>
      <c r="FC96">
        <f t="shared" si="1125"/>
        <v>2.5027534039660142</v>
      </c>
      <c r="FD96">
        <f t="shared" si="1125"/>
        <v>2.5092585288340703</v>
      </c>
      <c r="FE96">
        <f t="shared" si="1125"/>
        <v>2.5156823396412755</v>
      </c>
      <c r="FF96">
        <f t="shared" si="1125"/>
        <v>2.5220258528133903</v>
      </c>
      <c r="FG96">
        <f t="shared" si="1125"/>
        <v>2.5282900720708543</v>
      </c>
      <c r="FH96">
        <f t="shared" si="1125"/>
        <v>2.5344759885875998</v>
      </c>
      <c r="FI96">
        <f t="shared" si="1125"/>
        <v>2.5405845811478862</v>
      </c>
      <c r="FJ96">
        <f t="shared" si="1125"/>
        <v>2.5466168163011687</v>
      </c>
      <c r="FK96">
        <f t="shared" si="1125"/>
        <v>2.5525736485150352</v>
      </c>
      <c r="FL96">
        <f t="shared" si="1125"/>
        <v>2.5584560203262283</v>
      </c>
      <c r="FM96">
        <f t="shared" si="1125"/>
        <v>2.5642648624897819</v>
      </c>
      <c r="FN96">
        <f t="shared" si="1125"/>
        <v>2.5700010941262907</v>
      </c>
      <c r="FO96">
        <f t="shared" si="1125"/>
        <v>2.5756656228673429</v>
      </c>
      <c r="FP96">
        <f t="shared" si="1125"/>
        <v>2.5812593449991326</v>
      </c>
      <c r="FQ96">
        <f t="shared" si="1125"/>
        <v>2.5867831456042745</v>
      </c>
      <c r="FR96">
        <f t="shared" si="1125"/>
        <v>2.592237898701852</v>
      </c>
      <c r="FS96">
        <f t="shared" si="1125"/>
        <v>2.5976244673857103</v>
      </c>
      <c r="FT96">
        <f t="shared" si="1125"/>
        <v>2.6029437039610199</v>
      </c>
      <c r="FU96">
        <f t="shared" si="1125"/>
        <v>2.6081964500791384</v>
      </c>
      <c r="FV96">
        <f t="shared" si="1125"/>
        <v>2.6133835368707801</v>
      </c>
      <c r="FW96">
        <f t="shared" si="1125"/>
        <v>2.6185057850775264</v>
      </c>
      <c r="FX96">
        <f t="shared" si="1125"/>
        <v>2.6235640051816889</v>
      </c>
      <c r="FY96">
        <f t="shared" si="1125"/>
        <v>2.6285589975345487</v>
      </c>
      <c r="FZ96">
        <f t="shared" si="1125"/>
        <v>2.6334915524829983</v>
      </c>
      <c r="GA96">
        <f t="shared" si="1125"/>
        <v>2.6383624504945917</v>
      </c>
      <c r="GB96">
        <f t="shared" si="1125"/>
        <v>2.6431724622810409</v>
      </c>
      <c r="GC96">
        <f t="shared" si="1125"/>
        <v>2.6479223489201589</v>
      </c>
      <c r="GD96">
        <f t="shared" si="1125"/>
        <v>2.6526128619762881</v>
      </c>
      <c r="GE96">
        <f t="shared" si="1125"/>
        <v>2.6572447436192159</v>
      </c>
      <c r="GF96">
        <f t="shared" si="1125"/>
        <v>2.6618187267416067</v>
      </c>
      <c r="GG96">
        <f t="shared" si="1125"/>
        <v>2.666335535074968</v>
      </c>
      <c r="GH96">
        <f t="shared" si="1125"/>
        <v>2.6707958833041618</v>
      </c>
      <c r="GI96">
        <f t="shared" si="1125"/>
        <v>2.6752004771804909</v>
      </c>
      <c r="GJ96">
        <f t="shared" si="1125"/>
        <v>2.6795500136333663</v>
      </c>
      <c r="GK96">
        <f t="shared" si="1125"/>
        <v>2.6838451808805805</v>
      </c>
      <c r="GL96">
        <f t="shared" si="1125"/>
        <v>2.6880866585372045</v>
      </c>
      <c r="GM96">
        <f t="shared" ref="GM96:IV96" si="1126">GM11/$B$113</f>
        <v>2.6922751177231206</v>
      </c>
      <c r="GN96">
        <f t="shared" si="1126"/>
        <v>2.6964112211692126</v>
      </c>
      <c r="GO96">
        <f t="shared" si="1126"/>
        <v>2.7004956233222286</v>
      </c>
      <c r="GP96">
        <f t="shared" si="1126"/>
        <v>2.7045289704483322</v>
      </c>
      <c r="GQ96">
        <f t="shared" si="1126"/>
        <v>2.7085119007353593</v>
      </c>
      <c r="GR96">
        <f t="shared" si="1126"/>
        <v>2.7124450443937982</v>
      </c>
      <c r="GS96">
        <f t="shared" si="1126"/>
        <v>2.7163290237565074</v>
      </c>
      <c r="GT96">
        <f t="shared" si="1126"/>
        <v>2.720164453377182</v>
      </c>
      <c r="GU96">
        <f t="shared" si="1126"/>
        <v>2.7239519401275984</v>
      </c>
      <c r="GV96">
        <f t="shared" si="1126"/>
        <v>2.7276920832936349</v>
      </c>
      <c r="GW96">
        <f t="shared" si="1126"/>
        <v>2.7313854746700956</v>
      </c>
      <c r="GX96">
        <f t="shared" si="1126"/>
        <v>2.7350326986543507</v>
      </c>
      <c r="GY96">
        <f t="shared" si="1126"/>
        <v>2.7386343323388025</v>
      </c>
      <c r="GZ96">
        <f t="shared" si="1126"/>
        <v>2.7421909456021987</v>
      </c>
      <c r="HA96">
        <f t="shared" si="1126"/>
        <v>2.7457031011998025</v>
      </c>
      <c r="HB96">
        <f t="shared" si="1126"/>
        <v>2.7491713548524359</v>
      </c>
      <c r="HC96">
        <f t="shared" si="1126"/>
        <v>2.7525962553344114</v>
      </c>
      <c r="HD96">
        <f t="shared" si="1126"/>
        <v>2.7559783445603627</v>
      </c>
      <c r="HE96">
        <f t="shared" si="1126"/>
        <v>2.7593181576709891</v>
      </c>
      <c r="HF96">
        <f t="shared" si="1126"/>
        <v>2.7626162231177331</v>
      </c>
      <c r="HG96">
        <f t="shared" si="1126"/>
        <v>2.7658730627463926</v>
      </c>
      <c r="HH96">
        <f t="shared" si="1126"/>
        <v>2.769089191879694</v>
      </c>
      <c r="HI96">
        <f t="shared" si="1126"/>
        <v>2.772265119398829</v>
      </c>
      <c r="HJ96">
        <f t="shared" si="1126"/>
        <v>2.775401347823975</v>
      </c>
      <c r="HK96">
        <f t="shared" si="1126"/>
        <v>2.7784983733938065</v>
      </c>
      <c r="HL96">
        <f t="shared" si="1126"/>
        <v>2.7815566861440151</v>
      </c>
      <c r="HM96">
        <f t="shared" si="1126"/>
        <v>2.784576769984846</v>
      </c>
      <c r="HN96">
        <f t="shared" si="1126"/>
        <v>2.7875591027776663</v>
      </c>
      <c r="HO96">
        <f t="shared" si="1126"/>
        <v>2.7905041564105768</v>
      </c>
      <c r="HP96">
        <f t="shared" si="1126"/>
        <v>2.7934123968730757</v>
      </c>
      <c r="HQ96">
        <f t="shared" si="1126"/>
        <v>2.7962842843297939</v>
      </c>
      <c r="HR96">
        <f t="shared" si="1126"/>
        <v>2.7991202731933025</v>
      </c>
      <c r="HS96">
        <f t="shared" si="1126"/>
        <v>2.8019208121960171</v>
      </c>
      <c r="HT96">
        <f t="shared" si="1126"/>
        <v>2.804686344461198</v>
      </c>
      <c r="HU96">
        <f t="shared" si="1126"/>
        <v>2.8074173075730644</v>
      </c>
      <c r="HV96">
        <f t="shared" si="1126"/>
        <v>2.810114133646032</v>
      </c>
      <c r="HW96">
        <f t="shared" si="1126"/>
        <v>2.812777249393088</v>
      </c>
      <c r="HX96">
        <f t="shared" si="1126"/>
        <v>2.8154070761933054</v>
      </c>
      <c r="HY96">
        <f t="shared" si="1126"/>
        <v>2.8180040301585203</v>
      </c>
      <c r="HZ96">
        <f t="shared" si="1126"/>
        <v>2.8205685221991699</v>
      </c>
      <c r="IA96">
        <f t="shared" si="1126"/>
        <v>2.8231009580893116</v>
      </c>
      <c r="IB96">
        <f t="shared" si="1126"/>
        <v>2.8256017385308265</v>
      </c>
      <c r="IC96">
        <f t="shared" si="1126"/>
        <v>2.8280712592168222</v>
      </c>
      <c r="ID96">
        <f t="shared" si="1126"/>
        <v>2.8305099108942433</v>
      </c>
      <c r="IE96">
        <f t="shared" si="1126"/>
        <v>2.8329180794256965</v>
      </c>
      <c r="IF96">
        <f t="shared" si="1126"/>
        <v>2.8352961458505064</v>
      </c>
      <c r="IG96">
        <f t="shared" si="1126"/>
        <v>2.8376444864450061</v>
      </c>
      <c r="IH96">
        <f t="shared" si="1126"/>
        <v>2.8399634727820744</v>
      </c>
      <c r="II96">
        <f t="shared" si="1126"/>
        <v>2.8422534717899297</v>
      </c>
      <c r="IJ96">
        <f t="shared" si="1126"/>
        <v>2.844514845810187</v>
      </c>
      <c r="IK96">
        <f t="shared" si="1126"/>
        <v>2.8467479526551904</v>
      </c>
      <c r="IL96">
        <f t="shared" si="1126"/>
        <v>2.8489531456646318</v>
      </c>
      <c r="IM96">
        <f t="shared" si="1126"/>
        <v>2.8511307737614553</v>
      </c>
      <c r="IN96">
        <f t="shared" si="1126"/>
        <v>2.853281181507068</v>
      </c>
      <c r="IO96">
        <f t="shared" si="1126"/>
        <v>2.8554047091558608</v>
      </c>
      <c r="IP96">
        <f t="shared" si="1126"/>
        <v>2.857501692709044</v>
      </c>
      <c r="IQ96">
        <f t="shared" si="1126"/>
        <v>2.8595724639678122</v>
      </c>
      <c r="IR96">
        <f t="shared" si="1126"/>
        <v>2.8616173505858455</v>
      </c>
      <c r="IS96">
        <f t="shared" si="1126"/>
        <v>2.8636366761211538</v>
      </c>
      <c r="IT96">
        <f t="shared" si="1126"/>
        <v>2.8656307600872708</v>
      </c>
      <c r="IU96">
        <f t="shared" si="1126"/>
        <v>2.867599918003811</v>
      </c>
      <c r="IV96">
        <f t="shared" si="1126"/>
        <v>2.8695444614463947</v>
      </c>
    </row>
    <row r="97" spans="1:256" x14ac:dyDescent="0.2">
      <c r="A97" t="s">
        <v>568</v>
      </c>
      <c r="B97">
        <v>0.72533958435058599</v>
      </c>
      <c r="C97">
        <f t="shared" ref="C97:BN97" si="1127">C12/$B$114</f>
        <v>0.98752770329927064</v>
      </c>
      <c r="D97">
        <f t="shared" si="1127"/>
        <v>0.97684515709920472</v>
      </c>
      <c r="E97">
        <f t="shared" si="1127"/>
        <v>0.96631940344794065</v>
      </c>
      <c r="F97">
        <f t="shared" si="1127"/>
        <v>0.95594766231214301</v>
      </c>
      <c r="G97">
        <f t="shared" si="1127"/>
        <v>0.94572719414242434</v>
      </c>
      <c r="H97">
        <f t="shared" si="1127"/>
        <v>0.93565530000643948</v>
      </c>
      <c r="I97">
        <f t="shared" si="1127"/>
        <v>0.92572932169463351</v>
      </c>
      <c r="J97">
        <f t="shared" si="1127"/>
        <v>0.91594664179699692</v>
      </c>
      <c r="K97">
        <f t="shared" si="1127"/>
        <v>0.90630468374978135</v>
      </c>
      <c r="L97">
        <f t="shared" si="1127"/>
        <v>0.89677814641496212</v>
      </c>
      <c r="M97">
        <f t="shared" si="1127"/>
        <v>0.88736449701190601</v>
      </c>
      <c r="N97">
        <f t="shared" si="1127"/>
        <v>0.87806129329823102</v>
      </c>
      <c r="O97">
        <f t="shared" si="1127"/>
        <v>0.86886617858861392</v>
      </c>
      <c r="P97">
        <f t="shared" si="1127"/>
        <v>0.85977687722010032</v>
      </c>
      <c r="Q97">
        <f t="shared" si="1127"/>
        <v>0.85079119042652596</v>
      </c>
      <c r="R97">
        <f t="shared" si="1127"/>
        <v>0.841906992586273</v>
      </c>
      <c r="S97">
        <f t="shared" si="1127"/>
        <v>0.83312222780934542</v>
      </c>
      <c r="T97">
        <f t="shared" si="1127"/>
        <v>0.82443720544557308</v>
      </c>
      <c r="U97">
        <f t="shared" si="1127"/>
        <v>0.81584993731947897</v>
      </c>
      <c r="V97">
        <f t="shared" si="1127"/>
        <v>0.80735849526082848</v>
      </c>
      <c r="W97">
        <f t="shared" si="1127"/>
        <v>0.79896100903720924</v>
      </c>
      <c r="X97">
        <f t="shared" si="1127"/>
        <v>0.79065566442864899</v>
      </c>
      <c r="Y97">
        <f t="shared" si="1127"/>
        <v>0.78244070143045907</v>
      </c>
      <c r="Z97">
        <f t="shared" si="1127"/>
        <v>0.7743144125715079</v>
      </c>
      <c r="AA97">
        <f t="shared" si="1127"/>
        <v>0.76627514133610275</v>
      </c>
      <c r="AB97">
        <f t="shared" si="1127"/>
        <v>0.75836371371046885</v>
      </c>
      <c r="AC97">
        <f t="shared" si="1127"/>
        <v>0.75057878677691414</v>
      </c>
      <c r="AD97">
        <f t="shared" si="1127"/>
        <v>0.74291903442742524</v>
      </c>
      <c r="AE97">
        <f t="shared" si="1127"/>
        <v>0.73538314575357389</v>
      </c>
      <c r="AF97">
        <f t="shared" si="1127"/>
        <v>0.72796982354245543</v>
      </c>
      <c r="AG97">
        <f t="shared" si="1127"/>
        <v>0.72067778287318029</v>
      </c>
      <c r="AH97">
        <f t="shared" si="1127"/>
        <v>0.71350574980871351</v>
      </c>
      <c r="AI97">
        <f t="shared" si="1127"/>
        <v>0.71811837174629523</v>
      </c>
      <c r="AJ97">
        <f t="shared" si="1127"/>
        <v>0.72277040081317334</v>
      </c>
      <c r="AK97">
        <f t="shared" si="1127"/>
        <v>0.72745923420051317</v>
      </c>
      <c r="AL97">
        <f t="shared" si="1127"/>
        <v>0.73218243334209709</v>
      </c>
      <c r="AM97">
        <f t="shared" si="1127"/>
        <v>0.73693772054309414</v>
      </c>
      <c r="AN97">
        <f t="shared" si="1127"/>
        <v>0.74172297557450895</v>
      </c>
      <c r="AO97">
        <f t="shared" si="1127"/>
        <v>0.74653623224982202</v>
      </c>
      <c r="AP97">
        <f t="shared" si="1127"/>
        <v>0.75137567499907476</v>
      </c>
      <c r="AQ97">
        <f t="shared" si="1127"/>
        <v>0.74394892486110764</v>
      </c>
      <c r="AR97">
        <f t="shared" si="1127"/>
        <v>0.73666127163426498</v>
      </c>
      <c r="AS97">
        <f t="shared" si="1127"/>
        <v>0.7295106202745768</v>
      </c>
      <c r="AT97">
        <f t="shared" si="1127"/>
        <v>0.72249489613659701</v>
      </c>
      <c r="AU97">
        <f t="shared" si="1127"/>
        <v>0.7156120462363017</v>
      </c>
      <c r="AV97">
        <f t="shared" si="1127"/>
        <v>0.70886004044703255</v>
      </c>
      <c r="AW97">
        <f t="shared" si="1127"/>
        <v>0.70223687262931822</v>
      </c>
      <c r="AX97">
        <f t="shared" si="1127"/>
        <v>0.6957405616956811</v>
      </c>
      <c r="AY97">
        <f t="shared" si="1127"/>
        <v>0.68936915261175702</v>
      </c>
      <c r="AZ97">
        <f t="shared" si="1127"/>
        <v>0.68314152732451261</v>
      </c>
      <c r="BA97">
        <f t="shared" si="1127"/>
        <v>0.67705825921099005</v>
      </c>
      <c r="BB97">
        <f t="shared" si="1127"/>
        <v>0.67112019284381252</v>
      </c>
      <c r="BC97">
        <f t="shared" si="1127"/>
        <v>0.66532845433958765</v>
      </c>
      <c r="BD97">
        <f t="shared" si="1127"/>
        <v>0.65968446380272328</v>
      </c>
      <c r="BE97">
        <f t="shared" si="1127"/>
        <v>0.65418995004053504</v>
      </c>
      <c r="BF97">
        <f t="shared" si="1127"/>
        <v>0.64884696775681683</v>
      </c>
      <c r="BG97">
        <f t="shared" si="1127"/>
        <v>0.64365791746699741</v>
      </c>
      <c r="BH97">
        <f t="shared" si="1127"/>
        <v>0.63862556841950868</v>
      </c>
      <c r="BI97">
        <f t="shared" si="1127"/>
        <v>0.63375308485612192</v>
      </c>
      <c r="BJ97">
        <f t="shared" si="1127"/>
        <v>0.62904343756359149</v>
      </c>
      <c r="BK97">
        <f t="shared" si="1127"/>
        <v>0.62449864622704898</v>
      </c>
      <c r="BL97">
        <f t="shared" si="1127"/>
        <v>0.62012100373574708</v>
      </c>
      <c r="BM97">
        <f t="shared" si="1127"/>
        <v>0.61591309227841973</v>
      </c>
      <c r="BN97">
        <f t="shared" si="1127"/>
        <v>0.61187779853564273</v>
      </c>
      <c r="BO97">
        <f t="shared" ref="BO97:DZ97" si="1128">BO12/$B$114</f>
        <v>0.60801541654648483</v>
      </c>
      <c r="BP97">
        <f t="shared" si="1128"/>
        <v>0.604326127635057</v>
      </c>
      <c r="BQ97">
        <f t="shared" si="1128"/>
        <v>0.60081015181130448</v>
      </c>
      <c r="BR97">
        <f t="shared" si="1128"/>
        <v>0.59746778983464255</v>
      </c>
      <c r="BS97">
        <f t="shared" si="1128"/>
        <v>0.59429943536140661</v>
      </c>
      <c r="BT97">
        <f t="shared" si="1128"/>
        <v>0.59130558656150389</v>
      </c>
      <c r="BU97">
        <f t="shared" si="1128"/>
        <v>0.58848684879245827</v>
      </c>
      <c r="BV97">
        <f t="shared" si="1128"/>
        <v>0.58584269618160323</v>
      </c>
      <c r="BW97">
        <f t="shared" si="1128"/>
        <v>0.58337200313367499</v>
      </c>
      <c r="BX97">
        <f t="shared" si="1128"/>
        <v>0.58107365901995356</v>
      </c>
      <c r="BY97">
        <f t="shared" si="1128"/>
        <v>0.57894657262667237</v>
      </c>
      <c r="BZ97">
        <f t="shared" si="1128"/>
        <v>0.57698967660601919</v>
      </c>
      <c r="CA97">
        <f t="shared" si="1128"/>
        <v>0.57520193192741176</v>
      </c>
      <c r="CB97">
        <f t="shared" si="1128"/>
        <v>0.57358233232719102</v>
      </c>
      <c r="CC97">
        <f t="shared" si="1128"/>
        <v>0.572129908755315</v>
      </c>
      <c r="CD97">
        <f t="shared" si="1128"/>
        <v>0.57084373381806841</v>
      </c>
      <c r="CE97">
        <f t="shared" si="1128"/>
        <v>0.56972292621622633</v>
      </c>
      <c r="CF97">
        <f t="shared" si="1128"/>
        <v>0.56876665517851921</v>
      </c>
      <c r="CG97">
        <f t="shared" si="1128"/>
        <v>0.56797414489065301</v>
      </c>
      <c r="CH97">
        <f t="shared" si="1128"/>
        <v>0.56734467892053475</v>
      </c>
      <c r="CI97">
        <f t="shared" si="1128"/>
        <v>0.56687760464074199</v>
      </c>
      <c r="CJ97">
        <f t="shared" si="1128"/>
        <v>0.56657233764966775</v>
      </c>
      <c r="CK97">
        <f t="shared" si="1128"/>
        <v>0.56642836619314763</v>
      </c>
      <c r="CL97">
        <f t="shared" si="1128"/>
        <v>0.56644525558876402</v>
      </c>
      <c r="CM97">
        <f t="shared" si="1128"/>
        <v>0.56662265265539746</v>
      </c>
      <c r="CN97">
        <f t="shared" si="1128"/>
        <v>0.56696029015097782</v>
      </c>
      <c r="CO97">
        <f t="shared" si="1128"/>
        <v>0.56745799122176876</v>
      </c>
      <c r="CP97">
        <f t="shared" si="1128"/>
        <v>0.56811567386690354</v>
      </c>
      <c r="CQ97">
        <f t="shared" si="1128"/>
        <v>0.56893334761781145</v>
      </c>
      <c r="CR97">
        <f t="shared" si="1128"/>
        <v>0.56991111421426532</v>
      </c>
      <c r="CS97">
        <f t="shared" si="1128"/>
        <v>0.57104917102084995</v>
      </c>
      <c r="CT97">
        <f t="shared" si="1128"/>
        <v>0.57234781444593208</v>
      </c>
      <c r="CU97">
        <f t="shared" si="1128"/>
        <v>0.57380744336785461</v>
      </c>
      <c r="CV97">
        <f t="shared" si="1128"/>
        <v>0.57542856257330677</v>
      </c>
      <c r="CW97">
        <f t="shared" si="1128"/>
        <v>0.5772117862130538</v>
      </c>
      <c r="CX97">
        <f t="shared" si="1128"/>
        <v>0.57915767895616099</v>
      </c>
      <c r="CY97">
        <f t="shared" si="1128"/>
        <v>0.58126677007857919</v>
      </c>
      <c r="CZ97">
        <f t="shared" si="1128"/>
        <v>0.58353969042674059</v>
      </c>
      <c r="DA97">
        <f t="shared" si="1128"/>
        <v>0.58597717561651863</v>
      </c>
      <c r="DB97">
        <f t="shared" si="1128"/>
        <v>0.5885800692276556</v>
      </c>
      <c r="DC97">
        <f t="shared" si="1128"/>
        <v>0.59134932599703216</v>
      </c>
      <c r="DD97">
        <f t="shared" si="1128"/>
        <v>0.59428601501437661</v>
      </c>
      <c r="DE97">
        <f t="shared" si="1128"/>
        <v>0.59739132292424757</v>
      </c>
      <c r="DF97">
        <f t="shared" si="1128"/>
        <v>0.60066655713834527</v>
      </c>
      <c r="DG97">
        <f t="shared" si="1128"/>
        <v>0.60411314906243596</v>
      </c>
      <c r="DH97">
        <f t="shared" si="1128"/>
        <v>0.60773265734239967</v>
      </c>
      <c r="DI97">
        <f t="shared" si="1128"/>
        <v>0.61152677113413323</v>
      </c>
      <c r="DJ97">
        <f t="shared" si="1128"/>
        <v>0.61549731340226443</v>
      </c>
      <c r="DK97">
        <f t="shared" si="1128"/>
        <v>0.61964624425285209</v>
      </c>
      <c r="DL97">
        <f t="shared" si="1128"/>
        <v>0.62397566430546869</v>
      </c>
      <c r="DM97">
        <f t="shared" si="1128"/>
        <v>0.62848781811027554</v>
      </c>
      <c r="DN97">
        <f t="shared" si="1128"/>
        <v>0.63318509761591768</v>
      </c>
      <c r="DO97">
        <f t="shared" si="1128"/>
        <v>0.63807004569428005</v>
      </c>
      <c r="DP97">
        <f t="shared" si="1128"/>
        <v>0.64314535972835707</v>
      </c>
      <c r="DQ97">
        <f t="shared" si="1128"/>
        <v>0.64841389526969595</v>
      </c>
      <c r="DR97">
        <f t="shared" si="1128"/>
        <v>0.65387866977208664</v>
      </c>
      <c r="DS97">
        <f t="shared" si="1128"/>
        <v>0.65954286640837478</v>
      </c>
      <c r="DT97">
        <f t="shared" si="1128"/>
        <v>0.66540983797747988</v>
      </c>
      <c r="DU97">
        <f t="shared" si="1128"/>
        <v>0.67148311090890811</v>
      </c>
      <c r="DV97">
        <f t="shared" si="1128"/>
        <v>0.67776638937224898</v>
      </c>
      <c r="DW97">
        <f t="shared" si="1128"/>
        <v>0.68426355949935214</v>
      </c>
      <c r="DX97">
        <f t="shared" si="1128"/>
        <v>0.69097869372708076</v>
      </c>
      <c r="DY97">
        <f t="shared" si="1128"/>
        <v>0.69791605526874356</v>
      </c>
      <c r="DZ97">
        <f t="shared" si="1128"/>
        <v>0.70508010272250854</v>
      </c>
      <c r="EA97">
        <f t="shared" ref="EA97:GL97" si="1129">EA12/$B$114</f>
        <v>0.71247549482531192</v>
      </c>
      <c r="EB97">
        <f t="shared" si="1129"/>
        <v>0.72010709536097517</v>
      </c>
      <c r="EC97">
        <f t="shared" si="1129"/>
        <v>0.72797997823145988</v>
      </c>
      <c r="ED97">
        <f t="shared" si="1129"/>
        <v>0.73609943270039435</v>
      </c>
      <c r="EE97">
        <f t="shared" si="1129"/>
        <v>0.74413149715510218</v>
      </c>
      <c r="EF97">
        <f t="shared" si="1129"/>
        <v>0.75206316080412627</v>
      </c>
      <c r="EG97">
        <f t="shared" si="1129"/>
        <v>0.75989567865753749</v>
      </c>
      <c r="EH97">
        <f t="shared" si="1129"/>
        <v>0.76763029003778105</v>
      </c>
      <c r="EI97">
        <f t="shared" si="1129"/>
        <v>0.77526821877577157</v>
      </c>
      <c r="EJ97">
        <f t="shared" si="1129"/>
        <v>0.78281067340453725</v>
      </c>
      <c r="EK97">
        <f t="shared" si="1129"/>
        <v>0.79025884735044327</v>
      </c>
      <c r="EL97">
        <f t="shared" si="1129"/>
        <v>0.79761391912202551</v>
      </c>
      <c r="EM97">
        <f t="shared" si="1129"/>
        <v>0.80487705249646302</v>
      </c>
      <c r="EN97">
        <f t="shared" si="1129"/>
        <v>0.81204939670372001</v>
      </c>
      <c r="EO97">
        <f t="shared" si="1129"/>
        <v>0.81913208660838632</v>
      </c>
      <c r="EP97">
        <f t="shared" si="1129"/>
        <v>0.82612624288924419</v>
      </c>
      <c r="EQ97">
        <f t="shared" si="1129"/>
        <v>0.83303297221659145</v>
      </c>
      <c r="ER97">
        <f t="shared" si="1129"/>
        <v>0.83985336742734684</v>
      </c>
      <c r="ES97">
        <f t="shared" si="1129"/>
        <v>0.84658850769796778</v>
      </c>
      <c r="ET97">
        <f t="shared" si="1129"/>
        <v>0.85323945871520601</v>
      </c>
      <c r="EU97">
        <f t="shared" si="1129"/>
        <v>0.8598072728447288</v>
      </c>
      <c r="EV97">
        <f t="shared" si="1129"/>
        <v>0.86629298929763254</v>
      </c>
      <c r="EW97">
        <f t="shared" si="1129"/>
        <v>0.8726976342948749</v>
      </c>
      <c r="EX97">
        <f t="shared" si="1129"/>
        <v>0.87902222122965179</v>
      </c>
      <c r="EY97">
        <f t="shared" si="1129"/>
        <v>0.885267750827744</v>
      </c>
      <c r="EZ97">
        <f t="shared" si="1129"/>
        <v>0.89143521130586001</v>
      </c>
      <c r="FA97">
        <f t="shared" si="1129"/>
        <v>0.89752557852799963</v>
      </c>
      <c r="FB97">
        <f t="shared" si="1129"/>
        <v>0.90353981615986245</v>
      </c>
      <c r="FC97">
        <f t="shared" si="1129"/>
        <v>0.90947887582132692</v>
      </c>
      <c r="FD97">
        <f t="shared" si="1129"/>
        <v>0.91534369723702314</v>
      </c>
      <c r="FE97">
        <f t="shared" si="1129"/>
        <v>0.92113520838502327</v>
      </c>
      <c r="FF97">
        <f t="shared" si="1129"/>
        <v>0.9268543256436732</v>
      </c>
      <c r="FG97">
        <f t="shared" si="1129"/>
        <v>0.93250195393659008</v>
      </c>
      <c r="FH97">
        <f t="shared" si="1129"/>
        <v>0.93807898687584546</v>
      </c>
      <c r="FI97">
        <f t="shared" si="1129"/>
        <v>0.94358630690336021</v>
      </c>
      <c r="FJ97">
        <f t="shared" si="1129"/>
        <v>0.94902478543053104</v>
      </c>
      <c r="FK97">
        <f t="shared" si="1129"/>
        <v>0.95439528297611209</v>
      </c>
      <c r="FL97">
        <f t="shared" si="1129"/>
        <v>0.95969864930237359</v>
      </c>
      <c r="FM97">
        <f t="shared" si="1129"/>
        <v>0.96493572354955659</v>
      </c>
      <c r="FN97">
        <f t="shared" si="1129"/>
        <v>0.97010733436864993</v>
      </c>
      <c r="FO97">
        <f t="shared" si="1129"/>
        <v>0.97521430005250465</v>
      </c>
      <c r="FP97">
        <f t="shared" si="1129"/>
        <v>0.98025742866531129</v>
      </c>
      <c r="FQ97">
        <f t="shared" si="1129"/>
        <v>0.98523751817045757</v>
      </c>
      <c r="FR97">
        <f t="shared" si="1129"/>
        <v>0.99015535655678966</v>
      </c>
      <c r="FS97">
        <f t="shared" si="1129"/>
        <v>0.99501172196329257</v>
      </c>
      <c r="FT97">
        <f t="shared" si="1129"/>
        <v>0.99980738280221426</v>
      </c>
      <c r="FU97">
        <f t="shared" si="1129"/>
        <v>1.0045430978806493</v>
      </c>
      <c r="FV97">
        <f t="shared" si="1129"/>
        <v>1.009219616520604</v>
      </c>
      <c r="FW97">
        <f t="shared" si="1129"/>
        <v>1.0138376786775591</v>
      </c>
      <c r="FX97">
        <f t="shared" si="1129"/>
        <v>1.0183980150575525</v>
      </c>
      <c r="FY97">
        <f t="shared" si="1129"/>
        <v>1.0229013472327959</v>
      </c>
      <c r="FZ97">
        <f t="shared" si="1129"/>
        <v>1.0273483877558487</v>
      </c>
      <c r="GA97">
        <f t="shared" si="1129"/>
        <v>1.0317398402723634</v>
      </c>
      <c r="GB97">
        <f t="shared" si="1129"/>
        <v>1.0360763996324216</v>
      </c>
      <c r="GC97">
        <f t="shared" si="1129"/>
        <v>1.0403587520004791</v>
      </c>
      <c r="GD97">
        <f t="shared" si="1129"/>
        <v>1.0445875749639359</v>
      </c>
      <c r="GE97">
        <f t="shared" si="1129"/>
        <v>1.0487635376403497</v>
      </c>
      <c r="GF97">
        <f t="shared" si="1129"/>
        <v>1.0528873007833079</v>
      </c>
      <c r="GG97">
        <f t="shared" si="1129"/>
        <v>1.0569595168869794</v>
      </c>
      <c r="GH97">
        <f t="shared" si="1129"/>
        <v>1.0609808302893551</v>
      </c>
      <c r="GI97">
        <f t="shared" si="1129"/>
        <v>1.0649518772742008</v>
      </c>
      <c r="GJ97">
        <f t="shared" si="1129"/>
        <v>1.068873286171736</v>
      </c>
      <c r="GK97">
        <f t="shared" si="1129"/>
        <v>1.0727456774580522</v>
      </c>
      <c r="GL97">
        <f t="shared" si="1129"/>
        <v>1.0765696638532893</v>
      </c>
      <c r="GM97">
        <f t="shared" ref="GM97:IV97" si="1130">GM12/$B$114</f>
        <v>1.0803458504185861</v>
      </c>
      <c r="GN97">
        <f t="shared" si="1130"/>
        <v>1.0840748346518165</v>
      </c>
      <c r="GO97">
        <f t="shared" si="1130"/>
        <v>1.0877572065821315</v>
      </c>
      <c r="GP97">
        <f t="shared" si="1130"/>
        <v>1.0913935488633177</v>
      </c>
      <c r="GQ97">
        <f t="shared" si="1130"/>
        <v>1.0949844368659889</v>
      </c>
      <c r="GR97">
        <f t="shared" si="1130"/>
        <v>1.098530438768627</v>
      </c>
      <c r="GS97">
        <f t="shared" si="1130"/>
        <v>1.1020321156474819</v>
      </c>
      <c r="GT97">
        <f t="shared" si="1130"/>
        <v>1.1054900215653511</v>
      </c>
      <c r="GU97">
        <f t="shared" si="1130"/>
        <v>1.1089047036592472</v>
      </c>
      <c r="GV97">
        <f t="shared" si="1130"/>
        <v>1.1122767022269693</v>
      </c>
      <c r="GW97">
        <f t="shared" si="1130"/>
        <v>1.115606550812595</v>
      </c>
      <c r="GX97">
        <f t="shared" si="1130"/>
        <v>1.1188947762909005</v>
      </c>
      <c r="GY97">
        <f t="shared" si="1130"/>
        <v>1.122141898950727</v>
      </c>
      <c r="GZ97">
        <f t="shared" si="1130"/>
        <v>1.1253484325773055</v>
      </c>
      <c r="HA97">
        <f t="shared" si="1130"/>
        <v>1.128514884533552</v>
      </c>
      <c r="HB97">
        <f t="shared" si="1130"/>
        <v>1.1316417558403455</v>
      </c>
      <c r="HC97">
        <f t="shared" si="1130"/>
        <v>1.1347295412558041</v>
      </c>
      <c r="HD97">
        <f t="shared" si="1130"/>
        <v>1.1377787293535693</v>
      </c>
      <c r="HE97">
        <f t="shared" si="1130"/>
        <v>1.1407898026001124</v>
      </c>
      <c r="HF97">
        <f t="shared" si="1130"/>
        <v>1.1437632374310738</v>
      </c>
      <c r="HG97">
        <f t="shared" si="1130"/>
        <v>1.1466995043266481</v>
      </c>
      <c r="HH97">
        <f t="shared" si="1130"/>
        <v>1.1495990678860279</v>
      </c>
      <c r="HI97">
        <f t="shared" si="1130"/>
        <v>1.1524623869009154</v>
      </c>
      <c r="HJ97">
        <f t="shared" si="1130"/>
        <v>1.1552899144281168</v>
      </c>
      <c r="HK97">
        <f t="shared" si="1130"/>
        <v>1.1580820978612281</v>
      </c>
      <c r="HL97">
        <f t="shared" si="1130"/>
        <v>1.1608393790014255</v>
      </c>
      <c r="HM97">
        <f t="shared" si="1130"/>
        <v>1.1635621941273704</v>
      </c>
      <c r="HN97">
        <f t="shared" si="1130"/>
        <v>1.1662509740642411</v>
      </c>
      <c r="HO97">
        <f t="shared" si="1130"/>
        <v>1.1689061442519009</v>
      </c>
      <c r="HP97">
        <f t="shared" si="1130"/>
        <v>1.1715281248122149</v>
      </c>
      <c r="HQ97">
        <f t="shared" si="1130"/>
        <v>1.174117330615525</v>
      </c>
      <c r="HR97">
        <f t="shared" si="1130"/>
        <v>1.1766741713462938</v>
      </c>
      <c r="HS97">
        <f t="shared" si="1130"/>
        <v>1.179199051567928</v>
      </c>
      <c r="HT97">
        <f t="shared" si="1130"/>
        <v>1.1816923707867917</v>
      </c>
      <c r="HU97">
        <f t="shared" si="1130"/>
        <v>1.1841545235154196</v>
      </c>
      <c r="HV97">
        <f t="shared" si="1130"/>
        <v>1.1865858993349396</v>
      </c>
      <c r="HW97">
        <f t="shared" si="1130"/>
        <v>1.1889868829567158</v>
      </c>
      <c r="HX97">
        <f t="shared" si="1130"/>
        <v>1.1913578542832197</v>
      </c>
      <c r="HY97">
        <f t="shared" si="1130"/>
        <v>1.1936991884681423</v>
      </c>
      <c r="HZ97">
        <f t="shared" si="1130"/>
        <v>1.1960112559757534</v>
      </c>
      <c r="IA97">
        <f t="shared" si="1130"/>
        <v>1.1982944226395194</v>
      </c>
      <c r="IB97">
        <f t="shared" si="1130"/>
        <v>1.2005490497199882</v>
      </c>
      <c r="IC97">
        <f t="shared" si="1130"/>
        <v>1.202775493961951</v>
      </c>
      <c r="ID97">
        <f t="shared" si="1130"/>
        <v>1.2049741076508893</v>
      </c>
      <c r="IE97">
        <f t="shared" si="1130"/>
        <v>1.207145238668716</v>
      </c>
      <c r="IF97">
        <f t="shared" si="1130"/>
        <v>1.2092892305488199</v>
      </c>
      <c r="IG97">
        <f t="shared" si="1130"/>
        <v>1.2114064225304224</v>
      </c>
      <c r="IH97">
        <f t="shared" si="1130"/>
        <v>1.2134971496122551</v>
      </c>
      <c r="II97">
        <f t="shared" si="1130"/>
        <v>1.2155617426055647</v>
      </c>
      <c r="IJ97">
        <f t="shared" si="1130"/>
        <v>1.2176005281864581</v>
      </c>
      <c r="IK97">
        <f t="shared" si="1130"/>
        <v>1.2196138289475902</v>
      </c>
      <c r="IL97">
        <f t="shared" si="1130"/>
        <v>1.2216019634492081</v>
      </c>
      <c r="IM97">
        <f t="shared" si="1130"/>
        <v>1.2235652462695559</v>
      </c>
      <c r="IN97">
        <f t="shared" si="1130"/>
        <v>1.2255039880546492</v>
      </c>
      <c r="IO97">
        <f t="shared" si="1130"/>
        <v>1.2274184955674288</v>
      </c>
      <c r="IP97">
        <f t="shared" si="1130"/>
        <v>1.2293090717362987</v>
      </c>
      <c r="IQ97">
        <f t="shared" si="1130"/>
        <v>1.2311760157030578</v>
      </c>
      <c r="IR97">
        <f t="shared" si="1130"/>
        <v>1.2330196228702324</v>
      </c>
      <c r="IS97">
        <f t="shared" si="1130"/>
        <v>1.2348401849478172</v>
      </c>
      <c r="IT97">
        <f t="shared" si="1130"/>
        <v>1.2366379899994324</v>
      </c>
      <c r="IU97">
        <f t="shared" si="1130"/>
        <v>1.2384133224879021</v>
      </c>
      <c r="IV97">
        <f t="shared" si="1130"/>
        <v>1.2401664633202663</v>
      </c>
    </row>
    <row r="98" spans="1:256" x14ac:dyDescent="0.2">
      <c r="A98" t="s">
        <v>569</v>
      </c>
      <c r="B98">
        <v>0.34302524566650389</v>
      </c>
      <c r="C98">
        <f t="shared" ref="C98:BN98" si="1131">C13/$B$115</f>
        <v>1.0171636572795082</v>
      </c>
      <c r="D98">
        <f t="shared" si="1131"/>
        <v>1.0408895781411631</v>
      </c>
      <c r="E98">
        <f t="shared" si="1131"/>
        <v>1.0643189249920473</v>
      </c>
      <c r="F98">
        <f t="shared" si="1131"/>
        <v>1.0874554050072953</v>
      </c>
      <c r="G98">
        <f t="shared" si="1131"/>
        <v>1.1103026790223531</v>
      </c>
      <c r="H98">
        <f t="shared" si="1131"/>
        <v>1.1328643621122225</v>
      </c>
      <c r="I98">
        <f t="shared" si="1131"/>
        <v>1.1551440241634685</v>
      </c>
      <c r="J98">
        <f t="shared" si="1131"/>
        <v>1.177145190439074</v>
      </c>
      <c r="K98">
        <f t="shared" si="1131"/>
        <v>1.1988713421362343</v>
      </c>
      <c r="L98">
        <f t="shared" si="1131"/>
        <v>1.2203259169371801</v>
      </c>
      <c r="M98">
        <f t="shared" si="1131"/>
        <v>1.2415123095531142</v>
      </c>
      <c r="N98">
        <f t="shared" si="1131"/>
        <v>1.2624338722613491</v>
      </c>
      <c r="O98">
        <f t="shared" si="1131"/>
        <v>1.283093915435731</v>
      </c>
      <c r="P98">
        <f t="shared" si="1131"/>
        <v>1.303495708070433</v>
      </c>
      <c r="Q98">
        <f t="shared" si="1131"/>
        <v>1.3236424782972016</v>
      </c>
      <c r="R98">
        <f t="shared" si="1131"/>
        <v>1.3435374138961353</v>
      </c>
      <c r="S98">
        <f t="shared" si="1131"/>
        <v>1.3583175559534286</v>
      </c>
      <c r="T98">
        <f t="shared" si="1131"/>
        <v>1.3723808533367925</v>
      </c>
      <c r="U98">
        <f t="shared" si="1131"/>
        <v>1.3857481887180898</v>
      </c>
      <c r="V98">
        <f t="shared" si="1131"/>
        <v>1.3984397113898601</v>
      </c>
      <c r="W98">
        <f t="shared" si="1131"/>
        <v>1.4104748706122021</v>
      </c>
      <c r="X98">
        <f t="shared" si="1131"/>
        <v>1.4218724474916322</v>
      </c>
      <c r="Y98">
        <f t="shared" si="1131"/>
        <v>1.4326505854283187</v>
      </c>
      <c r="Z98">
        <f t="shared" si="1131"/>
        <v>1.4428268191709317</v>
      </c>
      <c r="AA98">
        <f t="shared" si="1131"/>
        <v>1.4567410990986636</v>
      </c>
      <c r="AB98">
        <f t="shared" si="1131"/>
        <v>1.4702383549448315</v>
      </c>
      <c r="AC98">
        <f t="shared" si="1131"/>
        <v>1.4833323365103142</v>
      </c>
      <c r="AD98">
        <f t="shared" si="1131"/>
        <v>1.4960361623901259</v>
      </c>
      <c r="AE98">
        <f t="shared" si="1131"/>
        <v>1.5083623485924189</v>
      </c>
      <c r="AF98">
        <f t="shared" si="1131"/>
        <v>1.5203228361216969</v>
      </c>
      <c r="AG98">
        <f t="shared" si="1131"/>
        <v>1.5319290175392211</v>
      </c>
      <c r="AH98">
        <f t="shared" si="1131"/>
        <v>1.5431917625164766</v>
      </c>
      <c r="AI98">
        <f t="shared" si="1131"/>
        <v>1.5335085789340543</v>
      </c>
      <c r="AJ98">
        <f t="shared" si="1131"/>
        <v>1.5240430021364693</v>
      </c>
      <c r="AK98">
        <f t="shared" si="1131"/>
        <v>1.5147911463543584</v>
      </c>
      <c r="AL98">
        <f t="shared" si="1131"/>
        <v>1.5057491817415884</v>
      </c>
      <c r="AM98">
        <f t="shared" si="1131"/>
        <v>1.4969133343033771</v>
      </c>
      <c r="AN98">
        <f t="shared" si="1131"/>
        <v>1.4882798858008912</v>
      </c>
      <c r="AO98">
        <f t="shared" si="1131"/>
        <v>1.4798451736335099</v>
      </c>
      <c r="AP98">
        <f t="shared" si="1131"/>
        <v>1.4716055906999044</v>
      </c>
      <c r="AQ98">
        <f t="shared" si="1131"/>
        <v>1.4659653014208029</v>
      </c>
      <c r="AR98">
        <f t="shared" si="1131"/>
        <v>1.4605369044572361</v>
      </c>
      <c r="AS98">
        <f t="shared" si="1131"/>
        <v>1.455316494406939</v>
      </c>
      <c r="AT98">
        <f t="shared" si="1131"/>
        <v>1.4503002177090507</v>
      </c>
      <c r="AU98">
        <f t="shared" si="1131"/>
        <v>1.4454842722734542</v>
      </c>
      <c r="AV98">
        <f t="shared" si="1131"/>
        <v>1.4408649071034514</v>
      </c>
      <c r="AW98">
        <f t="shared" si="1131"/>
        <v>1.436438421912194</v>
      </c>
      <c r="AX98">
        <f t="shared" si="1131"/>
        <v>1.4322011667332761</v>
      </c>
      <c r="AY98">
        <f t="shared" si="1131"/>
        <v>1.4374069574827988</v>
      </c>
      <c r="AZ98">
        <f t="shared" si="1131"/>
        <v>1.4428111118647229</v>
      </c>
      <c r="BA98">
        <f t="shared" si="1131"/>
        <v>1.4484190581656748</v>
      </c>
      <c r="BB98">
        <f t="shared" si="1131"/>
        <v>1.4542366856210251</v>
      </c>
      <c r="BC98">
        <f t="shared" si="1131"/>
        <v>1.4602703563522961</v>
      </c>
      <c r="BD98">
        <f t="shared" si="1131"/>
        <v>1.4665269183706264</v>
      </c>
      <c r="BE98">
        <f t="shared" si="1131"/>
        <v>1.4730137196995741</v>
      </c>
      <c r="BF98">
        <f t="shared" si="1131"/>
        <v>1.4797386236752397</v>
      </c>
      <c r="BG98">
        <f t="shared" si="1131"/>
        <v>1.4867100254867638</v>
      </c>
      <c r="BH98">
        <f t="shared" si="1131"/>
        <v>1.4939368700256384</v>
      </c>
      <c r="BI98">
        <f t="shared" si="1131"/>
        <v>1.5014286711181106</v>
      </c>
      <c r="BJ98">
        <f t="shared" si="1131"/>
        <v>1.5091904246493921</v>
      </c>
      <c r="BK98">
        <f t="shared" si="1131"/>
        <v>1.5172166665485931</v>
      </c>
      <c r="BL98">
        <f t="shared" si="1131"/>
        <v>1.5255019661668243</v>
      </c>
      <c r="BM98">
        <f t="shared" si="1131"/>
        <v>1.5340409278108678</v>
      </c>
      <c r="BN98">
        <f t="shared" si="1131"/>
        <v>1.5428281921956362</v>
      </c>
      <c r="BO98">
        <f t="shared" ref="BO98:DZ98" si="1132">BO13/$B$115</f>
        <v>1.551858437818145</v>
      </c>
      <c r="BP98">
        <f t="shared" si="1132"/>
        <v>1.5611263822556414</v>
      </c>
      <c r="BQ98">
        <f t="shared" si="1132"/>
        <v>1.5706267833904668</v>
      </c>
      <c r="BR98">
        <f t="shared" si="1132"/>
        <v>1.5803544405641443</v>
      </c>
      <c r="BS98">
        <f t="shared" si="1132"/>
        <v>1.5903041956631179</v>
      </c>
      <c r="BT98">
        <f t="shared" si="1132"/>
        <v>1.6004709341384935</v>
      </c>
      <c r="BU98">
        <f t="shared" si="1132"/>
        <v>1.6108495859620704</v>
      </c>
      <c r="BV98">
        <f t="shared" si="1132"/>
        <v>1.6214351265208777</v>
      </c>
      <c r="BW98">
        <f t="shared" si="1132"/>
        <v>1.6322225774523698</v>
      </c>
      <c r="BX98">
        <f t="shared" si="1132"/>
        <v>1.6432070074223695</v>
      </c>
      <c r="BY98">
        <f t="shared" si="1132"/>
        <v>1.6543835328477905</v>
      </c>
      <c r="BZ98">
        <f t="shared" si="1132"/>
        <v>1.6657473185661011</v>
      </c>
      <c r="CA98">
        <f t="shared" si="1132"/>
        <v>1.6772935784534464</v>
      </c>
      <c r="CB98">
        <f t="shared" si="1132"/>
        <v>1.6890175759932746</v>
      </c>
      <c r="CC98">
        <f t="shared" si="1132"/>
        <v>1.7009146247972751</v>
      </c>
      <c r="CD98">
        <f t="shared" si="1132"/>
        <v>1.7129800890803646</v>
      </c>
      <c r="CE98">
        <f t="shared" si="1132"/>
        <v>1.7252093840914187</v>
      </c>
      <c r="CF98">
        <f t="shared" si="1132"/>
        <v>1.7375979765013903</v>
      </c>
      <c r="CG98">
        <f t="shared" si="1132"/>
        <v>1.750141384750407</v>
      </c>
      <c r="CH98">
        <f t="shared" si="1132"/>
        <v>1.7628351793553918</v>
      </c>
      <c r="CI98">
        <f t="shared" si="1132"/>
        <v>1.7756749831797061</v>
      </c>
      <c r="CJ98">
        <f t="shared" si="1132"/>
        <v>1.7886564716662696</v>
      </c>
      <c r="CK98">
        <f t="shared" si="1132"/>
        <v>1.8017753730355619</v>
      </c>
      <c r="CL98">
        <f t="shared" si="1132"/>
        <v>1.8150274684498737</v>
      </c>
      <c r="CM98">
        <f t="shared" si="1132"/>
        <v>1.8284085921451345</v>
      </c>
      <c r="CN98">
        <f t="shared" si="1132"/>
        <v>1.8419146315315948</v>
      </c>
      <c r="CO98">
        <f t="shared" si="1132"/>
        <v>1.8553311652150986</v>
      </c>
      <c r="CP98">
        <f t="shared" si="1132"/>
        <v>1.8685799922275588</v>
      </c>
      <c r="CQ98">
        <f t="shared" si="1132"/>
        <v>1.881663208902363</v>
      </c>
      <c r="CR98">
        <f t="shared" si="1132"/>
        <v>1.8945828853687323</v>
      </c>
      <c r="CS98">
        <f t="shared" si="1132"/>
        <v>1.907341065879272</v>
      </c>
      <c r="CT98">
        <f t="shared" si="1132"/>
        <v>1.9199397691334299</v>
      </c>
      <c r="CU98">
        <f t="shared" si="1132"/>
        <v>1.9323809885969108</v>
      </c>
      <c r="CV98">
        <f t="shared" si="1132"/>
        <v>1.9446666928170984</v>
      </c>
      <c r="CW98">
        <f t="shared" si="1132"/>
        <v>1.9567988257345335</v>
      </c>
      <c r="CX98">
        <f t="shared" si="1132"/>
        <v>1.9687793069905004</v>
      </c>
      <c r="CY98">
        <f t="shared" si="1132"/>
        <v>1.980610032230768</v>
      </c>
      <c r="CZ98">
        <f t="shared" si="1132"/>
        <v>1.9922928734055323</v>
      </c>
      <c r="DA98">
        <f t="shared" si="1132"/>
        <v>2.0038296790656118</v>
      </c>
      <c r="DB98">
        <f t="shared" si="1132"/>
        <v>2.0152222746549406</v>
      </c>
      <c r="DC98">
        <f t="shared" si="1132"/>
        <v>2.0264724627994029</v>
      </c>
      <c r="DD98">
        <f t="shared" si="1132"/>
        <v>2.037582023592059</v>
      </c>
      <c r="DE98">
        <f t="shared" si="1132"/>
        <v>2.0485527148748068</v>
      </c>
      <c r="DF98">
        <f t="shared" si="1132"/>
        <v>2.0593862725165208</v>
      </c>
      <c r="DG98">
        <f t="shared" si="1132"/>
        <v>2.0700844106877132</v>
      </c>
      <c r="DH98">
        <f t="shared" si="1132"/>
        <v>2.0806488221317654</v>
      </c>
      <c r="DI98">
        <f t="shared" si="1132"/>
        <v>2.0910811784327672</v>
      </c>
      <c r="DJ98">
        <f t="shared" si="1132"/>
        <v>2.1013831302800066</v>
      </c>
      <c r="DK98">
        <f t="shared" si="1132"/>
        <v>2.1115563077291553</v>
      </c>
      <c r="DL98">
        <f t="shared" si="1132"/>
        <v>2.1216023204601893</v>
      </c>
      <c r="DM98">
        <f t="shared" si="1132"/>
        <v>2.1315227580320859</v>
      </c>
      <c r="DN98">
        <f t="shared" si="1132"/>
        <v>2.1413191901343334</v>
      </c>
      <c r="DO98">
        <f t="shared" si="1132"/>
        <v>2.1509931668353031</v>
      </c>
      <c r="DP98">
        <f t="shared" si="1132"/>
        <v>2.1605462188275104</v>
      </c>
      <c r="DQ98">
        <f t="shared" si="1132"/>
        <v>2.1699798576698153</v>
      </c>
      <c r="DR98">
        <f t="shared" si="1132"/>
        <v>2.1792955760265915</v>
      </c>
      <c r="DS98">
        <f t="shared" si="1132"/>
        <v>2.1884948479039079</v>
      </c>
      <c r="DT98">
        <f t="shared" si="1132"/>
        <v>2.1975791288827575</v>
      </c>
      <c r="DU98">
        <f t="shared" si="1132"/>
        <v>2.2065498563493722</v>
      </c>
      <c r="DV98">
        <f t="shared" si="1132"/>
        <v>2.2154084497226538</v>
      </c>
      <c r="DW98">
        <f t="shared" si="1132"/>
        <v>2.2241563106787696</v>
      </c>
      <c r="DX98">
        <f t="shared" si="1132"/>
        <v>2.2327948233729336</v>
      </c>
      <c r="DY98">
        <f t="shared" si="1132"/>
        <v>2.2413253546584206</v>
      </c>
      <c r="DZ98">
        <f t="shared" si="1132"/>
        <v>2.2497492543028397</v>
      </c>
      <c r="EA98">
        <f t="shared" ref="EA98:GL98" si="1133">EA13/$B$115</f>
        <v>2.2580678552017028</v>
      </c>
      <c r="EB98">
        <f t="shared" si="1133"/>
        <v>2.2662824735893303</v>
      </c>
      <c r="EC98">
        <f t="shared" si="1133"/>
        <v>2.2743944092471122</v>
      </c>
      <c r="ED98">
        <f t="shared" si="1133"/>
        <v>2.2824049457091724</v>
      </c>
      <c r="EE98">
        <f t="shared" si="1133"/>
        <v>2.2903153504654568</v>
      </c>
      <c r="EF98">
        <f t="shared" si="1133"/>
        <v>2.298126875162287</v>
      </c>
      <c r="EG98">
        <f t="shared" si="1133"/>
        <v>2.305840755800407</v>
      </c>
      <c r="EH98">
        <f t="shared" si="1133"/>
        <v>2.3134582129305508</v>
      </c>
      <c r="EI98">
        <f t="shared" si="1133"/>
        <v>2.3209804518465678</v>
      </c>
      <c r="EJ98">
        <f t="shared" si="1133"/>
        <v>2.3284086627761345</v>
      </c>
      <c r="EK98">
        <f t="shared" si="1133"/>
        <v>2.3357440210690816</v>
      </c>
      <c r="EL98">
        <f t="shared" si="1133"/>
        <v>2.3429876873833666</v>
      </c>
      <c r="EM98">
        <f t="shared" si="1133"/>
        <v>2.3501408078687236</v>
      </c>
      <c r="EN98">
        <f t="shared" si="1133"/>
        <v>2.3572045143480134</v>
      </c>
      <c r="EO98">
        <f t="shared" si="1133"/>
        <v>2.364179924496312</v>
      </c>
      <c r="EP98">
        <f t="shared" si="1133"/>
        <v>2.3710681420177568</v>
      </c>
      <c r="EQ98">
        <f t="shared" si="1133"/>
        <v>2.3778702568201835</v>
      </c>
      <c r="ER98">
        <f t="shared" si="1133"/>
        <v>2.3845873451875801</v>
      </c>
      <c r="ES98">
        <f t="shared" si="1133"/>
        <v>2.3912204699503841</v>
      </c>
      <c r="ET98">
        <f t="shared" si="1133"/>
        <v>2.397770680653653</v>
      </c>
      <c r="EU98">
        <f t="shared" si="1133"/>
        <v>2.4042390137231311</v>
      </c>
      <c r="EV98">
        <f t="shared" si="1133"/>
        <v>2.4106264926292411</v>
      </c>
      <c r="EW98">
        <f t="shared" si="1133"/>
        <v>2.4169341280490242</v>
      </c>
      <c r="EX98">
        <f t="shared" si="1133"/>
        <v>2.4231629180260601</v>
      </c>
      <c r="EY98">
        <f t="shared" si="1133"/>
        <v>2.4293138481283831</v>
      </c>
      <c r="EZ98">
        <f t="shared" si="1133"/>
        <v>2.4353878916044271</v>
      </c>
      <c r="FA98">
        <f t="shared" si="1133"/>
        <v>2.4413860095370206</v>
      </c>
      <c r="FB98">
        <f t="shared" si="1133"/>
        <v>2.4473091509954568</v>
      </c>
      <c r="FC98">
        <f t="shared" si="1133"/>
        <v>2.4531582531856624</v>
      </c>
      <c r="FD98">
        <f t="shared" si="1133"/>
        <v>2.4589342415984903</v>
      </c>
      <c r="FE98">
        <f t="shared" si="1133"/>
        <v>2.4646380301561579</v>
      </c>
      <c r="FF98">
        <f t="shared" si="1133"/>
        <v>2.4702705213568548</v>
      </c>
      <c r="FG98">
        <f t="shared" si="1133"/>
        <v>2.4758326064175429</v>
      </c>
      <c r="FH98">
        <f t="shared" si="1133"/>
        <v>2.4813251654149724</v>
      </c>
      <c r="FI98">
        <f t="shared" si="1133"/>
        <v>2.4867490674249337</v>
      </c>
      <c r="FJ98">
        <f t="shared" si="1133"/>
        <v>2.4921051706597708</v>
      </c>
      <c r="FK98">
        <f t="shared" si="1133"/>
        <v>2.4973943226041726</v>
      </c>
      <c r="FL98">
        <f t="shared" si="1133"/>
        <v>2.5026173601492694</v>
      </c>
      <c r="FM98">
        <f t="shared" si="1133"/>
        <v>2.5077751097250522</v>
      </c>
      <c r="FN98">
        <f t="shared" si="1133"/>
        <v>2.5128683874311379</v>
      </c>
      <c r="FO98">
        <f t="shared" si="1133"/>
        <v>2.5178979991658976</v>
      </c>
      <c r="FP98">
        <f t="shared" si="1133"/>
        <v>2.5228647407539726</v>
      </c>
      <c r="FQ98">
        <f t="shared" si="1133"/>
        <v>2.5277693980721971</v>
      </c>
      <c r="FR98">
        <f t="shared" si="1133"/>
        <v>2.532612747173943</v>
      </c>
      <c r="FS98">
        <f t="shared" si="1133"/>
        <v>2.5373955544119178</v>
      </c>
      <c r="FT98">
        <f t="shared" si="1133"/>
        <v>2.5421185765594174</v>
      </c>
      <c r="FU98">
        <f t="shared" si="1133"/>
        <v>2.5467825609300738</v>
      </c>
      <c r="FV98">
        <f t="shared" si="1133"/>
        <v>2.5513882454960966</v>
      </c>
      <c r="FW98">
        <f t="shared" si="1133"/>
        <v>2.5559363590050439</v>
      </c>
      <c r="FX98">
        <f t="shared" si="1133"/>
        <v>2.5604276210951298</v>
      </c>
      <c r="FY98">
        <f t="shared" si="1133"/>
        <v>2.5648627424090895</v>
      </c>
      <c r="FZ98">
        <f t="shared" si="1133"/>
        <v>2.5692424247066246</v>
      </c>
      <c r="GA98">
        <f t="shared" si="1133"/>
        <v>2.5735673609754404</v>
      </c>
      <c r="GB98">
        <f t="shared" si="1133"/>
        <v>2.5778382355408964</v>
      </c>
      <c r="GC98">
        <f t="shared" si="1133"/>
        <v>2.5820557241742841</v>
      </c>
      <c r="GD98">
        <f t="shared" si="1133"/>
        <v>2.5862204941997544</v>
      </c>
      <c r="GE98">
        <f t="shared" si="1133"/>
        <v>2.5903332045999061</v>
      </c>
      <c r="GF98">
        <f t="shared" si="1133"/>
        <v>2.5943945061200564</v>
      </c>
      <c r="GG98">
        <f t="shared" si="1133"/>
        <v>2.5984050413712043</v>
      </c>
      <c r="GH98">
        <f t="shared" si="1133"/>
        <v>2.6023654449317131</v>
      </c>
      <c r="GI98">
        <f t="shared" si="1133"/>
        <v>2.6062763434477154</v>
      </c>
      <c r="GJ98">
        <f t="shared" si="1133"/>
        <v>2.6101383557322677</v>
      </c>
      <c r="GK98">
        <f t="shared" si="1133"/>
        <v>2.6139520928632631</v>
      </c>
      <c r="GL98">
        <f t="shared" si="1133"/>
        <v>2.6177181582801214</v>
      </c>
      <c r="GM98">
        <f t="shared" ref="GM98:IV98" si="1134">GM13/$B$115</f>
        <v>2.6214371478792686</v>
      </c>
      <c r="GN98">
        <f t="shared" si="1134"/>
        <v>2.6251096501084263</v>
      </c>
      <c r="GO98">
        <f t="shared" si="1134"/>
        <v>2.6287362460597197</v>
      </c>
      <c r="GP98">
        <f t="shared" si="1134"/>
        <v>2.6323175095616222</v>
      </c>
      <c r="GQ98">
        <f t="shared" si="1134"/>
        <v>2.6358540072697507</v>
      </c>
      <c r="GR98">
        <f t="shared" si="1134"/>
        <v>2.6393462987565277</v>
      </c>
      <c r="GS98">
        <f t="shared" si="1134"/>
        <v>2.6427949365997199</v>
      </c>
      <c r="GT98">
        <f t="shared" si="1134"/>
        <v>2.6462004664698724</v>
      </c>
      <c r="GU98">
        <f t="shared" si="1134"/>
        <v>2.6495634272166475</v>
      </c>
      <c r="GV98">
        <f t="shared" si="1134"/>
        <v>2.6528843509540883</v>
      </c>
      <c r="GW98">
        <f t="shared" si="1134"/>
        <v>2.6561637631448107</v>
      </c>
      <c r="GX98">
        <f t="shared" si="1134"/>
        <v>2.6594021826831495</v>
      </c>
      <c r="GY98">
        <f t="shared" si="1134"/>
        <v>2.6626001219772593</v>
      </c>
      <c r="GZ98">
        <f t="shared" si="1134"/>
        <v>2.6657580870301922</v>
      </c>
      <c r="HA98">
        <f t="shared" si="1134"/>
        <v>2.6688765775199634</v>
      </c>
      <c r="HB98">
        <f t="shared" si="1134"/>
        <v>2.6719560868786125</v>
      </c>
      <c r="HC98">
        <f t="shared" si="1134"/>
        <v>2.6749971023702788</v>
      </c>
      <c r="HD98">
        <f t="shared" si="1134"/>
        <v>2.6780001051682989</v>
      </c>
      <c r="HE98">
        <f t="shared" si="1134"/>
        <v>2.680965570431344</v>
      </c>
      <c r="HF98">
        <f t="shared" si="1134"/>
        <v>2.6838939673786011</v>
      </c>
      <c r="HG98">
        <f t="shared" si="1134"/>
        <v>2.6867857593640174</v>
      </c>
      <c r="HH98">
        <f t="shared" si="1134"/>
        <v>2.6896414039496159</v>
      </c>
      <c r="HI98">
        <f t="shared" si="1134"/>
        <v>2.6924613529778947</v>
      </c>
      <c r="HJ98">
        <f t="shared" si="1134"/>
        <v>2.6952460526433195</v>
      </c>
      <c r="HK98">
        <f t="shared" si="1134"/>
        <v>2.697995943562927</v>
      </c>
      <c r="HL98">
        <f t="shared" si="1134"/>
        <v>2.7007114608460387</v>
      </c>
      <c r="HM98">
        <f t="shared" si="1134"/>
        <v>2.7033930341631121</v>
      </c>
      <c r="HN98">
        <f t="shared" si="1134"/>
        <v>2.706041087813722</v>
      </c>
      <c r="HO98">
        <f t="shared" si="1134"/>
        <v>2.708656040793699</v>
      </c>
      <c r="HP98">
        <f t="shared" si="1134"/>
        <v>2.7112383068614268</v>
      </c>
      <c r="HQ98">
        <f t="shared" si="1134"/>
        <v>2.7137882946033081</v>
      </c>
      <c r="HR98">
        <f t="shared" si="1134"/>
        <v>2.7163064074984153</v>
      </c>
      <c r="HS98">
        <f t="shared" si="1134"/>
        <v>2.718793043982334</v>
      </c>
      <c r="HT98">
        <f t="shared" si="1134"/>
        <v>2.7212485975102036</v>
      </c>
      <c r="HU98">
        <f t="shared" si="1134"/>
        <v>2.7236734566189749</v>
      </c>
      <c r="HV98">
        <f t="shared" si="1134"/>
        <v>2.7260680049888864</v>
      </c>
      <c r="HW98">
        <f t="shared" si="1134"/>
        <v>2.7284326215041741</v>
      </c>
      <c r="HX98">
        <f t="shared" si="1134"/>
        <v>2.7307676803130212</v>
      </c>
      <c r="HY98">
        <f t="shared" si="1134"/>
        <v>2.7330735508867572</v>
      </c>
      <c r="HZ98">
        <f t="shared" si="1134"/>
        <v>2.7353505980783215</v>
      </c>
      <c r="IA98">
        <f t="shared" si="1134"/>
        <v>2.7375991821799914</v>
      </c>
      <c r="IB98">
        <f t="shared" si="1134"/>
        <v>2.7398196589803905</v>
      </c>
      <c r="IC98">
        <f t="shared" si="1134"/>
        <v>2.7420123798207841</v>
      </c>
      <c r="ID98">
        <f t="shared" si="1134"/>
        <v>2.7441776916506728</v>
      </c>
      <c r="IE98">
        <f t="shared" si="1134"/>
        <v>2.7463159370826884</v>
      </c>
      <c r="IF98">
        <f t="shared" si="1134"/>
        <v>2.7484274544468037</v>
      </c>
      <c r="IG98">
        <f t="shared" si="1134"/>
        <v>2.7505125778438675</v>
      </c>
      <c r="IH98">
        <f t="shared" si="1134"/>
        <v>2.7525716371984679</v>
      </c>
      <c r="II98">
        <f t="shared" si="1134"/>
        <v>2.7546049583111358</v>
      </c>
      <c r="IJ98">
        <f t="shared" si="1134"/>
        <v>2.7566128629098952</v>
      </c>
      <c r="IK98">
        <f t="shared" si="1134"/>
        <v>2.7585956687011706</v>
      </c>
      <c r="IL98">
        <f t="shared" si="1134"/>
        <v>2.7605536894200546</v>
      </c>
      <c r="IM98">
        <f t="shared" si="1134"/>
        <v>2.7624872348799525</v>
      </c>
      <c r="IN98">
        <f t="shared" si="1134"/>
        <v>2.7643966110216023</v>
      </c>
      <c r="IO98">
        <f t="shared" si="1134"/>
        <v>2.7662821199614811</v>
      </c>
      <c r="IP98">
        <f t="shared" si="1134"/>
        <v>2.7681440600396114</v>
      </c>
      <c r="IQ98">
        <f t="shared" si="1134"/>
        <v>2.7699827258667651</v>
      </c>
      <c r="IR98">
        <f t="shared" si="1134"/>
        <v>2.7717984083710792</v>
      </c>
      <c r="IS98">
        <f t="shared" si="1134"/>
        <v>2.7735913948440896</v>
      </c>
      <c r="IT98">
        <f t="shared" si="1134"/>
        <v>2.775361968986187</v>
      </c>
      <c r="IU98">
        <f t="shared" si="1134"/>
        <v>2.7771104109515088</v>
      </c>
      <c r="IV98">
        <f t="shared" si="1134"/>
        <v>2.7788369973922635</v>
      </c>
    </row>
    <row r="99" spans="1:256" x14ac:dyDescent="0.2">
      <c r="A99" t="s">
        <v>570</v>
      </c>
      <c r="B99">
        <v>0.81556205749511723</v>
      </c>
      <c r="C99">
        <f t="shared" ref="C99:BN99" si="1135">C14/$B$116</f>
        <v>1.0028268532849505</v>
      </c>
      <c r="D99">
        <f t="shared" si="1135"/>
        <v>1.0028237145549914</v>
      </c>
      <c r="E99">
        <f t="shared" si="1135"/>
        <v>1.0026589855272081</v>
      </c>
      <c r="F99">
        <f t="shared" si="1135"/>
        <v>1.0023462870873148</v>
      </c>
      <c r="G99">
        <f t="shared" si="1135"/>
        <v>1.0018979214582393</v>
      </c>
      <c r="H99">
        <f t="shared" si="1135"/>
        <v>1.0013250131169877</v>
      </c>
      <c r="I99">
        <f t="shared" si="1135"/>
        <v>1.0006376316089456</v>
      </c>
      <c r="J99">
        <f t="shared" si="1135"/>
        <v>0.99984489903839624</v>
      </c>
      <c r="K99">
        <f t="shared" si="1135"/>
        <v>1.0026736910853666</v>
      </c>
      <c r="L99">
        <f t="shared" si="1135"/>
        <v>1.00546712323175</v>
      </c>
      <c r="M99">
        <f t="shared" si="1135"/>
        <v>1.0082256374763037</v>
      </c>
      <c r="N99">
        <f t="shared" si="1135"/>
        <v>1.0109496702928005</v>
      </c>
      <c r="O99">
        <f t="shared" si="1135"/>
        <v>1.013639652699091</v>
      </c>
      <c r="P99">
        <f t="shared" si="1135"/>
        <v>1.0162960103253027</v>
      </c>
      <c r="Q99">
        <f t="shared" si="1135"/>
        <v>1.0189191634811869</v>
      </c>
      <c r="R99">
        <f t="shared" si="1135"/>
        <v>1.0215095272226224</v>
      </c>
      <c r="S99">
        <f t="shared" si="1135"/>
        <v>1.0240675114172901</v>
      </c>
      <c r="T99">
        <f t="shared" si="1135"/>
        <v>1.0265935208095245</v>
      </c>
      <c r="U99">
        <f t="shared" si="1135"/>
        <v>1.0290879550843557</v>
      </c>
      <c r="V99">
        <f t="shared" si="1135"/>
        <v>1.0315512089307517</v>
      </c>
      <c r="W99">
        <f t="shared" si="1135"/>
        <v>1.0339836721040678</v>
      </c>
      <c r="X99">
        <f t="shared" si="1135"/>
        <v>1.0363857294877175</v>
      </c>
      <c r="Y99">
        <f t="shared" si="1135"/>
        <v>1.0387577611540717</v>
      </c>
      <c r="Z99">
        <f t="shared" si="1135"/>
        <v>1.0411001424245963</v>
      </c>
      <c r="AA99">
        <f t="shared" si="1135"/>
        <v>1.0434132439292392</v>
      </c>
      <c r="AB99">
        <f t="shared" si="1135"/>
        <v>1.0456974316650742</v>
      </c>
      <c r="AC99">
        <f t="shared" si="1135"/>
        <v>1.0479530670542112</v>
      </c>
      <c r="AD99">
        <f t="shared" si="1135"/>
        <v>1.050180507000984</v>
      </c>
      <c r="AE99">
        <f t="shared" si="1135"/>
        <v>1.0523801039484222</v>
      </c>
      <c r="AF99">
        <f t="shared" si="1135"/>
        <v>1.0545522059340173</v>
      </c>
      <c r="AG99">
        <f t="shared" si="1135"/>
        <v>1.0566971566447925</v>
      </c>
      <c r="AH99">
        <f t="shared" si="1135"/>
        <v>1.0588152954716832</v>
      </c>
      <c r="AI99">
        <f t="shared" si="1135"/>
        <v>1.0525946747347412</v>
      </c>
      <c r="AJ99">
        <f t="shared" si="1135"/>
        <v>1.0465097344372305</v>
      </c>
      <c r="AK99">
        <f t="shared" si="1135"/>
        <v>1.0405582427383899</v>
      </c>
      <c r="AL99">
        <f t="shared" si="1135"/>
        <v>1.0347379257273945</v>
      </c>
      <c r="AM99">
        <f t="shared" si="1135"/>
        <v>1.0290464702571016</v>
      </c>
      <c r="AN99">
        <f t="shared" si="1135"/>
        <v>1.0234815267582524</v>
      </c>
      <c r="AO99">
        <f t="shared" si="1135"/>
        <v>1.0180407120341233</v>
      </c>
      <c r="AP99">
        <f t="shared" si="1135"/>
        <v>1.0127216120347353</v>
      </c>
      <c r="AQ99">
        <f t="shared" si="1135"/>
        <v>1.0149809773336724</v>
      </c>
      <c r="AR99">
        <f t="shared" si="1135"/>
        <v>1.0168245212159477</v>
      </c>
      <c r="AS99">
        <f t="shared" si="1135"/>
        <v>1.0182751379692476</v>
      </c>
      <c r="AT99">
        <f t="shared" si="1135"/>
        <v>1.0193542329876715</v>
      </c>
      <c r="AU99">
        <f t="shared" si="1135"/>
        <v>1.0200818454690457</v>
      </c>
      <c r="AV99">
        <f t="shared" si="1135"/>
        <v>1.02047675878653</v>
      </c>
      <c r="AW99">
        <f t="shared" si="1135"/>
        <v>1.0205565999950135</v>
      </c>
      <c r="AX99">
        <f t="shared" si="1135"/>
        <v>1.0203379297335478</v>
      </c>
      <c r="AY99">
        <f t="shared" si="1135"/>
        <v>1.0083348819259323</v>
      </c>
      <c r="AZ99">
        <f t="shared" si="1135"/>
        <v>0.99644700186168156</v>
      </c>
      <c r="BA99">
        <f t="shared" si="1135"/>
        <v>0.98467458031406496</v>
      </c>
      <c r="BB99">
        <f t="shared" si="1135"/>
        <v>0.97301776868725198</v>
      </c>
      <c r="BC99">
        <f t="shared" si="1135"/>
        <v>0.96147659681340436</v>
      </c>
      <c r="BD99">
        <f t="shared" si="1135"/>
        <v>0.95005098827901013</v>
      </c>
      <c r="BE99">
        <f t="shared" si="1135"/>
        <v>0.93874077366847353</v>
      </c>
      <c r="BF99">
        <f t="shared" si="1135"/>
        <v>0.92754570204375608</v>
      </c>
      <c r="BG99">
        <f t="shared" si="1135"/>
        <v>0.91646545092349263</v>
      </c>
      <c r="BH99">
        <f t="shared" si="1135"/>
        <v>0.90549963498041919</v>
      </c>
      <c r="BI99">
        <f t="shared" si="1135"/>
        <v>0.89464781363985146</v>
      </c>
      <c r="BJ99">
        <f t="shared" si="1135"/>
        <v>0.88390949773254757</v>
      </c>
      <c r="BK99">
        <f t="shared" si="1135"/>
        <v>0.87328415795873715</v>
      </c>
      <c r="BL99">
        <f t="shared" si="1135"/>
        <v>0.86277123496531272</v>
      </c>
      <c r="BM99">
        <f t="shared" si="1135"/>
        <v>0.85237014266596078</v>
      </c>
      <c r="BN99">
        <f t="shared" si="1135"/>
        <v>0.84208027111034711</v>
      </c>
      <c r="BO99">
        <f t="shared" ref="BO99:DZ99" si="1136">BO14/$B$116</f>
        <v>0.83190113543151678</v>
      </c>
      <c r="BP99">
        <f t="shared" si="1136"/>
        <v>0.82183239264626451</v>
      </c>
      <c r="BQ99">
        <f t="shared" si="1136"/>
        <v>0.81187363414315195</v>
      </c>
      <c r="BR99">
        <f t="shared" si="1136"/>
        <v>0.80202438912934493</v>
      </c>
      <c r="BS99">
        <f t="shared" si="1136"/>
        <v>0.79228413058452085</v>
      </c>
      <c r="BT99">
        <f t="shared" si="1136"/>
        <v>0.78265228079596483</v>
      </c>
      <c r="BU99">
        <f t="shared" si="1136"/>
        <v>0.77312821682796773</v>
      </c>
      <c r="BV99">
        <f t="shared" si="1136"/>
        <v>0.76371133996482476</v>
      </c>
      <c r="BW99">
        <f t="shared" si="1136"/>
        <v>0.75440103544293813</v>
      </c>
      <c r="BX99">
        <f t="shared" si="1136"/>
        <v>0.7451966412976635</v>
      </c>
      <c r="BY99">
        <f t="shared" si="1136"/>
        <v>0.73609745392355874</v>
      </c>
      <c r="BZ99">
        <f t="shared" si="1136"/>
        <v>0.72710273303984829</v>
      </c>
      <c r="CA99">
        <f t="shared" si="1136"/>
        <v>0.71821170613198504</v>
      </c>
      <c r="CB99">
        <f t="shared" si="1136"/>
        <v>0.70942357243069643</v>
      </c>
      <c r="CC99">
        <f t="shared" si="1136"/>
        <v>0.70073750648182864</v>
      </c>
      <c r="CD99">
        <f t="shared" si="1136"/>
        <v>0.69215266135339715</v>
      </c>
      <c r="CE99">
        <f t="shared" si="1136"/>
        <v>0.68366817152034831</v>
      </c>
      <c r="CF99">
        <f t="shared" si="1136"/>
        <v>0.67528315546246032</v>
      </c>
      <c r="CG99">
        <f t="shared" si="1136"/>
        <v>0.666996718006443</v>
      </c>
      <c r="CH99">
        <f t="shared" si="1136"/>
        <v>0.6588079524395295</v>
      </c>
      <c r="CI99">
        <f t="shared" si="1136"/>
        <v>0.65071594241858721</v>
      </c>
      <c r="CJ99">
        <f t="shared" si="1136"/>
        <v>0.6427197636959473</v>
      </c>
      <c r="CK99">
        <f t="shared" si="1136"/>
        <v>0.63481848568069521</v>
      </c>
      <c r="CL99">
        <f t="shared" si="1136"/>
        <v>0.62701117285201891</v>
      </c>
      <c r="CM99">
        <f t="shared" si="1136"/>
        <v>0.61929688603934496</v>
      </c>
      <c r="CN99">
        <f t="shared" si="1136"/>
        <v>0.61167468358235244</v>
      </c>
      <c r="CO99">
        <f t="shared" si="1136"/>
        <v>0.60414362238252606</v>
      </c>
      <c r="CP99">
        <f t="shared" si="1136"/>
        <v>0.59670277143436123</v>
      </c>
      <c r="CQ99">
        <f t="shared" si="1136"/>
        <v>0.58935120267452379</v>
      </c>
      <c r="CR99">
        <f t="shared" si="1136"/>
        <v>0.58208798679875562</v>
      </c>
      <c r="CS99">
        <f t="shared" si="1136"/>
        <v>0.57491219426252349</v>
      </c>
      <c r="CT99">
        <f t="shared" si="1136"/>
        <v>0.56782289618201032</v>
      </c>
      <c r="CU99">
        <f t="shared" si="1136"/>
        <v>0.56081916514538965</v>
      </c>
      <c r="CV99">
        <f t="shared" si="1136"/>
        <v>0.55390007594323631</v>
      </c>
      <c r="CW99">
        <f t="shared" si="1136"/>
        <v>0.54706470622597214</v>
      </c>
      <c r="CX99">
        <f t="shared" si="1136"/>
        <v>0.54031213861461824</v>
      </c>
      <c r="CY99">
        <f t="shared" si="1136"/>
        <v>0.53364146084058384</v>
      </c>
      <c r="CZ99">
        <f t="shared" si="1136"/>
        <v>0.5270517648573555</v>
      </c>
      <c r="DA99">
        <f t="shared" si="1136"/>
        <v>0.52054214728805326</v>
      </c>
      <c r="DB99">
        <f t="shared" si="1136"/>
        <v>0.5141117098272654</v>
      </c>
      <c r="DC99">
        <f t="shared" si="1136"/>
        <v>0.50775955960135488</v>
      </c>
      <c r="DD99">
        <f t="shared" si="1136"/>
        <v>0.50148480949102003</v>
      </c>
      <c r="DE99">
        <f t="shared" si="1136"/>
        <v>0.49528657841951468</v>
      </c>
      <c r="DF99">
        <f t="shared" si="1136"/>
        <v>0.48916399160961049</v>
      </c>
      <c r="DG99">
        <f t="shared" si="1136"/>
        <v>0.48311618081208274</v>
      </c>
      <c r="DH99">
        <f t="shared" si="1136"/>
        <v>0.4771422845082407</v>
      </c>
      <c r="DI99">
        <f t="shared" si="1136"/>
        <v>0.4712414480887841</v>
      </c>
      <c r="DJ99">
        <f t="shared" si="1136"/>
        <v>0.46541282401105621</v>
      </c>
      <c r="DK99">
        <f t="shared" si="1136"/>
        <v>0.45965557193657175</v>
      </c>
      <c r="DL99">
        <f t="shared" si="1136"/>
        <v>0.45396885885052773</v>
      </c>
      <c r="DM99">
        <f t="shared" si="1136"/>
        <v>0.44835185916484893</v>
      </c>
      <c r="DN99">
        <f t="shared" si="1136"/>
        <v>0.44280375480618156</v>
      </c>
      <c r="DO99">
        <f t="shared" si="1136"/>
        <v>0.43732373529012208</v>
      </c>
      <c r="DP99">
        <f t="shared" si="1136"/>
        <v>0.43191099778285535</v>
      </c>
      <c r="DQ99">
        <f t="shared" si="1136"/>
        <v>0.42656474715127329</v>
      </c>
      <c r="DR99">
        <f t="shared" si="1136"/>
        <v>0.4212841960025519</v>
      </c>
      <c r="DS99">
        <f t="shared" si="1136"/>
        <v>0.41606856471408099</v>
      </c>
      <c r="DT99">
        <f t="shared" si="1136"/>
        <v>0.41091708145456457</v>
      </c>
      <c r="DU99">
        <f t="shared" si="1136"/>
        <v>0.4058289821970395</v>
      </c>
      <c r="DV99">
        <f t="shared" si="1136"/>
        <v>0.40080351072449938</v>
      </c>
      <c r="DW99">
        <f t="shared" si="1136"/>
        <v>0.39583991862875118</v>
      </c>
      <c r="DX99">
        <f t="shared" si="1136"/>
        <v>0.39093746530308121</v>
      </c>
      <c r="DY99">
        <f t="shared" si="1136"/>
        <v>0.38609541792925983</v>
      </c>
      <c r="DZ99">
        <f t="shared" si="1136"/>
        <v>0.38131305145937006</v>
      </c>
      <c r="EA99">
        <f t="shared" ref="EA99:GL99" si="1137">EA14/$B$116</f>
        <v>0.37658964859290717</v>
      </c>
      <c r="EB99">
        <f t="shared" si="1137"/>
        <v>0.37192449974955988</v>
      </c>
      <c r="EC99">
        <f t="shared" si="1137"/>
        <v>0.36731690303804987</v>
      </c>
      <c r="ED99">
        <f t="shared" si="1137"/>
        <v>0.36276616422137786</v>
      </c>
      <c r="EE99">
        <f t="shared" si="1137"/>
        <v>0.3582715966787971</v>
      </c>
      <c r="EF99">
        <f t="shared" si="1137"/>
        <v>0.3538325213648072</v>
      </c>
      <c r="EG99">
        <f t="shared" si="1137"/>
        <v>0.34944826676544222</v>
      </c>
      <c r="EH99">
        <f t="shared" si="1137"/>
        <v>0.34511816885210239</v>
      </c>
      <c r="EI99">
        <f t="shared" si="1137"/>
        <v>0.34084157103316171</v>
      </c>
      <c r="EJ99">
        <f t="shared" si="1137"/>
        <v>0.33661782410356378</v>
      </c>
      <c r="EK99">
        <f t="shared" si="1137"/>
        <v>0.33244628619260386</v>
      </c>
      <c r="EL99">
        <f t="shared" si="1137"/>
        <v>0.32832632271007917</v>
      </c>
      <c r="EM99">
        <f t="shared" si="1137"/>
        <v>0.32425730629097493</v>
      </c>
      <c r="EN99">
        <f t="shared" si="1137"/>
        <v>0.32023861673884196</v>
      </c>
      <c r="EO99">
        <f t="shared" si="1137"/>
        <v>0.31626964096800941</v>
      </c>
      <c r="EP99">
        <f t="shared" si="1137"/>
        <v>0.31234977294476624</v>
      </c>
      <c r="EQ99">
        <f t="shared" si="1137"/>
        <v>0.30847841362763223</v>
      </c>
      <c r="ER99">
        <f t="shared" si="1137"/>
        <v>0.30465497090683441</v>
      </c>
      <c r="ES99">
        <f t="shared" si="1137"/>
        <v>0.30087885954309274</v>
      </c>
      <c r="ET99">
        <f t="shared" si="1137"/>
        <v>0.29714950110581229</v>
      </c>
      <c r="EU99">
        <f t="shared" si="1137"/>
        <v>0.29346632391077249</v>
      </c>
      <c r="EV99">
        <f t="shared" si="1137"/>
        <v>0.28982876295739585</v>
      </c>
      <c r="EW99">
        <f t="shared" si="1137"/>
        <v>0.2862362598656743</v>
      </c>
      <c r="EX99">
        <f t="shared" si="1137"/>
        <v>0.28268826281282272</v>
      </c>
      <c r="EY99">
        <f t="shared" si="1137"/>
        <v>0.27918422646972751</v>
      </c>
      <c r="EZ99">
        <f t="shared" si="1137"/>
        <v>0.27572361193724965</v>
      </c>
      <c r="FA99">
        <f t="shared" si="1137"/>
        <v>0.27230588668243916</v>
      </c>
      <c r="FB99">
        <f t="shared" si="1137"/>
        <v>0.26893052447471372</v>
      </c>
      <c r="FC99">
        <f t="shared" si="1137"/>
        <v>0.26559700532204839</v>
      </c>
      <c r="FD99">
        <f t="shared" si="1137"/>
        <v>0.26230481540722211</v>
      </c>
      <c r="FE99">
        <f t="shared" si="1137"/>
        <v>0.25905344702416128</v>
      </c>
      <c r="FF99">
        <f t="shared" si="1137"/>
        <v>0.2558423985144192</v>
      </c>
      <c r="FG99">
        <f t="shared" si="1137"/>
        <v>0.25267117420382584</v>
      </c>
      <c r="FH99">
        <f t="shared" si="1137"/>
        <v>0.24953928433934006</v>
      </c>
      <c r="FI99">
        <f t="shared" si="1137"/>
        <v>0.24644624502613519</v>
      </c>
      <c r="FJ99">
        <f t="shared" si="1137"/>
        <v>0.24339157816494397</v>
      </c>
      <c r="FK99">
        <f t="shared" si="1137"/>
        <v>0.24037481138968925</v>
      </c>
      <c r="FL99">
        <f t="shared" si="1137"/>
        <v>0.23739547800542277</v>
      </c>
      <c r="FM99">
        <f t="shared" si="1137"/>
        <v>0.23445311692659415</v>
      </c>
      <c r="FN99">
        <f t="shared" si="1137"/>
        <v>0.23154727261566888</v>
      </c>
      <c r="FO99">
        <f t="shared" si="1137"/>
        <v>0.22867749502211354</v>
      </c>
      <c r="FP99">
        <f t="shared" si="1137"/>
        <v>0.22584333952176483</v>
      </c>
      <c r="FQ99">
        <f t="shared" si="1137"/>
        <v>0.22304436685659659</v>
      </c>
      <c r="FR99">
        <f t="shared" si="1137"/>
        <v>0.22028014307489927</v>
      </c>
      <c r="FS99">
        <f t="shared" si="1137"/>
        <v>0.21755023947188348</v>
      </c>
      <c r="FT99">
        <f t="shared" si="1137"/>
        <v>0.21485423253071925</v>
      </c>
      <c r="FU99">
        <f t="shared" si="1137"/>
        <v>0.21219170386402078</v>
      </c>
      <c r="FV99">
        <f t="shared" si="1137"/>
        <v>0.20956224015578603</v>
      </c>
      <c r="FW99">
        <f t="shared" si="1137"/>
        <v>0.20696543310379914</v>
      </c>
      <c r="FX99">
        <f t="shared" si="1137"/>
        <v>0.20440087936250281</v>
      </c>
      <c r="FY99">
        <f t="shared" si="1137"/>
        <v>0.20186818048634761</v>
      </c>
      <c r="FZ99">
        <f t="shared" si="1137"/>
        <v>0.19936694287362314</v>
      </c>
      <c r="GA99">
        <f t="shared" si="1137"/>
        <v>0.19689677771077682</v>
      </c>
      <c r="GB99">
        <f t="shared" si="1137"/>
        <v>0.1944573009172241</v>
      </c>
      <c r="GC99">
        <f t="shared" si="1137"/>
        <v>0.1920481330906538</v>
      </c>
      <c r="GD99">
        <f t="shared" si="1137"/>
        <v>0.1896688994528318</v>
      </c>
      <c r="GE99">
        <f t="shared" si="1137"/>
        <v>0.18731922979590618</v>
      </c>
      <c r="GF99">
        <f t="shared" si="1137"/>
        <v>0.18499875842921459</v>
      </c>
      <c r="GG99">
        <f t="shared" si="1137"/>
        <v>0.18270712412659698</v>
      </c>
      <c r="GH99">
        <f t="shared" si="1137"/>
        <v>0.18044397007421356</v>
      </c>
      <c r="GI99">
        <f t="shared" si="1137"/>
        <v>0.17820894381886984</v>
      </c>
      <c r="GJ99">
        <f t="shared" si="1137"/>
        <v>0.17600169721684811</v>
      </c>
      <c r="GK99">
        <f t="shared" si="1137"/>
        <v>0.17382188638324642</v>
      </c>
      <c r="GL99">
        <f t="shared" si="1137"/>
        <v>0.17166917164182374</v>
      </c>
      <c r="GM99">
        <f t="shared" ref="GM99:IV99" si="1138">GM14/$B$116</f>
        <v>0.16954321747535164</v>
      </c>
      <c r="GN99">
        <f t="shared" si="1138"/>
        <v>0.16744369247647098</v>
      </c>
      <c r="GO99">
        <f t="shared" si="1138"/>
        <v>0.16537026929905255</v>
      </c>
      <c r="GP99">
        <f t="shared" si="1138"/>
        <v>0.16332262461006072</v>
      </c>
      <c r="GQ99">
        <f t="shared" si="1138"/>
        <v>0.1613004390419176</v>
      </c>
      <c r="GR99">
        <f t="shared" si="1138"/>
        <v>0.15930339714536701</v>
      </c>
      <c r="GS99">
        <f t="shared" si="1138"/>
        <v>0.1573311873428351</v>
      </c>
      <c r="GT99">
        <f t="shared" si="1138"/>
        <v>0.15538350188228625</v>
      </c>
      <c r="GU99">
        <f t="shared" si="1138"/>
        <v>0.15346003679157139</v>
      </c>
      <c r="GV99">
        <f t="shared" si="1138"/>
        <v>0.15156049183326648</v>
      </c>
      <c r="GW99">
        <f t="shared" si="1138"/>
        <v>0.14968457045999825</v>
      </c>
      <c r="GX99">
        <f t="shared" si="1138"/>
        <v>0.14783197977025456</v>
      </c>
      <c r="GY99">
        <f t="shared" si="1138"/>
        <v>0.14600243046467629</v>
      </c>
      <c r="GZ99">
        <f t="shared" si="1138"/>
        <v>0.14419563680282801</v>
      </c>
      <c r="HA99">
        <f t="shared" si="1138"/>
        <v>0.14241131656044381</v>
      </c>
      <c r="HB99">
        <f t="shared" si="1138"/>
        <v>0.14064919098714546</v>
      </c>
      <c r="HC99">
        <f t="shared" si="1138"/>
        <v>0.13890898476462943</v>
      </c>
      <c r="HD99">
        <f t="shared" si="1138"/>
        <v>0.13719042596531936</v>
      </c>
      <c r="HE99">
        <f t="shared" si="1138"/>
        <v>0.13549324601148036</v>
      </c>
      <c r="HF99">
        <f t="shared" si="1138"/>
        <v>0.13381717963479206</v>
      </c>
      <c r="HG99">
        <f t="shared" si="1138"/>
        <v>0.1321619648363761</v>
      </c>
      <c r="HH99">
        <f t="shared" si="1138"/>
        <v>0.13052734284727502</v>
      </c>
      <c r="HI99">
        <f t="shared" si="1138"/>
        <v>0.12891305808937867</v>
      </c>
      <c r="HJ99">
        <f t="shared" si="1138"/>
        <v>0.12731885813679422</v>
      </c>
      <c r="HK99">
        <f t="shared" si="1138"/>
        <v>0.12574449367765619</v>
      </c>
      <c r="HL99">
        <f t="shared" si="1138"/>
        <v>0.12418971847637271</v>
      </c>
      <c r="HM99">
        <f t="shared" si="1138"/>
        <v>0.12265428933630391</v>
      </c>
      <c r="HN99">
        <f t="shared" si="1138"/>
        <v>0.121137966062869</v>
      </c>
      <c r="HO99">
        <f t="shared" si="1138"/>
        <v>0.11964051142707775</v>
      </c>
      <c r="HP99">
        <f t="shared" si="1138"/>
        <v>0.11816169112948278</v>
      </c>
      <c r="HQ99">
        <f t="shared" si="1138"/>
        <v>0.11670127376454847</v>
      </c>
      <c r="HR99">
        <f t="shared" si="1138"/>
        <v>0.11525903078543299</v>
      </c>
      <c r="HS99">
        <f t="shared" si="1138"/>
        <v>0.11383473646917895</v>
      </c>
      <c r="HT99">
        <f t="shared" si="1138"/>
        <v>0.11242816788230928</v>
      </c>
      <c r="HU99">
        <f t="shared" si="1138"/>
        <v>0.11103910484682414</v>
      </c>
      <c r="HV99">
        <f t="shared" si="1138"/>
        <v>0.10966732990659496</v>
      </c>
      <c r="HW99">
        <f t="shared" si="1138"/>
        <v>0.10831262829415163</v>
      </c>
      <c r="HX99">
        <f t="shared" si="1138"/>
        <v>0.10697478789785915</v>
      </c>
      <c r="HY99">
        <f t="shared" si="1138"/>
        <v>0.10565359922947956</v>
      </c>
      <c r="HZ99">
        <f t="shared" si="1138"/>
        <v>0.1043488553921154</v>
      </c>
      <c r="IA99">
        <f t="shared" si="1138"/>
        <v>0.10306035204853072</v>
      </c>
      <c r="IB99">
        <f t="shared" si="1138"/>
        <v>0.10178788738984583</v>
      </c>
      <c r="IC99">
        <f t="shared" si="1138"/>
        <v>0.10053126210460195</v>
      </c>
      <c r="ID99">
        <f t="shared" si="1138"/>
        <v>9.929027934819179E-2</v>
      </c>
      <c r="IE99">
        <f t="shared" si="1138"/>
        <v>9.8064744712652294E-2</v>
      </c>
      <c r="IF99">
        <f t="shared" si="1138"/>
        <v>9.68544661968158E-2</v>
      </c>
      <c r="IG99">
        <f t="shared" si="1138"/>
        <v>9.5659254176815672E-2</v>
      </c>
      <c r="IH99">
        <f t="shared" si="1138"/>
        <v>9.4478921376942762E-2</v>
      </c>
      <c r="II99">
        <f t="shared" si="1138"/>
        <v>9.3313282840848846E-2</v>
      </c>
      <c r="IJ99">
        <f t="shared" si="1138"/>
        <v>9.2162155903093387E-2</v>
      </c>
      <c r="IK99">
        <f t="shared" si="1138"/>
        <v>9.1025360161029911E-2</v>
      </c>
      <c r="IL99">
        <f t="shared" si="1138"/>
        <v>8.9902717447028102E-2</v>
      </c>
      <c r="IM99">
        <f t="shared" si="1138"/>
        <v>8.8794051801028326E-2</v>
      </c>
      <c r="IN99">
        <f t="shared" si="1138"/>
        <v>8.7699189443424599E-2</v>
      </c>
      <c r="IO99">
        <f t="shared" si="1138"/>
        <v>8.6617958748272619E-2</v>
      </c>
      <c r="IP99">
        <f t="shared" si="1138"/>
        <v>8.555019021681913E-2</v>
      </c>
      <c r="IQ99">
        <f t="shared" si="1138"/>
        <v>8.4495716451349082E-2</v>
      </c>
      <c r="IR99">
        <f t="shared" si="1138"/>
        <v>8.345437212934724E-2</v>
      </c>
      <c r="IS99">
        <f t="shared" si="1138"/>
        <v>8.2425993977970333E-2</v>
      </c>
      <c r="IT99">
        <f t="shared" si="1138"/>
        <v>8.1410420748826776E-2</v>
      </c>
      <c r="IU99">
        <f t="shared" si="1138"/>
        <v>8.0407493193060009E-2</v>
      </c>
      <c r="IV99">
        <f t="shared" si="1138"/>
        <v>7.9417054036732479E-2</v>
      </c>
    </row>
    <row r="100" spans="1:256" x14ac:dyDescent="0.2">
      <c r="A100" t="s">
        <v>571</v>
      </c>
      <c r="B100">
        <v>0.74665122985839849</v>
      </c>
      <c r="C100">
        <f t="shared" ref="C100:BN100" si="1139">C15/$B$117</f>
        <v>1.0032272354681808</v>
      </c>
      <c r="D100">
        <f t="shared" si="1139"/>
        <v>1.0074283125704351</v>
      </c>
      <c r="E100">
        <f t="shared" si="1139"/>
        <v>1.011576876208911</v>
      </c>
      <c r="F100">
        <f t="shared" si="1139"/>
        <v>1.0156735828019061</v>
      </c>
      <c r="G100">
        <f t="shared" si="1139"/>
        <v>1.0197190805624885</v>
      </c>
      <c r="H100">
        <f t="shared" si="1139"/>
        <v>1.023714009601064</v>
      </c>
      <c r="I100">
        <f t="shared" si="1139"/>
        <v>1.0276590020266569</v>
      </c>
      <c r="J100">
        <f t="shared" si="1139"/>
        <v>1.0315546820469301</v>
      </c>
      <c r="K100">
        <f t="shared" si="1139"/>
        <v>1.0354016660669501</v>
      </c>
      <c r="L100">
        <f t="shared" si="1139"/>
        <v>1.0392005627867196</v>
      </c>
      <c r="M100">
        <f t="shared" si="1139"/>
        <v>1.0429519732974919</v>
      </c>
      <c r="N100">
        <f t="shared" si="1139"/>
        <v>1.0466564911768796</v>
      </c>
      <c r="O100">
        <f t="shared" si="1139"/>
        <v>1.050314702582775</v>
      </c>
      <c r="P100">
        <f t="shared" si="1139"/>
        <v>1.0539271863460968</v>
      </c>
      <c r="Q100">
        <f t="shared" si="1139"/>
        <v>1.057494514062377</v>
      </c>
      <c r="R100">
        <f t="shared" si="1139"/>
        <v>1.0610172501822037</v>
      </c>
      <c r="S100">
        <f t="shared" si="1139"/>
        <v>1.0644959521005326</v>
      </c>
      <c r="T100">
        <f t="shared" si="1139"/>
        <v>1.0679311702448824</v>
      </c>
      <c r="U100">
        <f t="shared" si="1139"/>
        <v>1.0713234481624279</v>
      </c>
      <c r="V100">
        <f t="shared" si="1139"/>
        <v>1.0746733226060039</v>
      </c>
      <c r="W100">
        <f t="shared" si="1139"/>
        <v>1.0779813236190354</v>
      </c>
      <c r="X100">
        <f t="shared" si="1139"/>
        <v>1.0812479746194037</v>
      </c>
      <c r="Y100">
        <f t="shared" si="1139"/>
        <v>1.0844737924822676</v>
      </c>
      <c r="Z100">
        <f t="shared" si="1139"/>
        <v>1.0876592876218458</v>
      </c>
      <c r="AA100">
        <f t="shared" si="1139"/>
        <v>1.0908049640721791</v>
      </c>
      <c r="AB100">
        <f t="shared" si="1139"/>
        <v>1.0939113195668835</v>
      </c>
      <c r="AC100">
        <f t="shared" si="1139"/>
        <v>1.0969788456179037</v>
      </c>
      <c r="AD100">
        <f t="shared" si="1139"/>
        <v>1.1000080275932864</v>
      </c>
      <c r="AE100">
        <f t="shared" si="1139"/>
        <v>1.1029993447939768</v>
      </c>
      <c r="AF100">
        <f t="shared" si="1139"/>
        <v>1.1059532705296584</v>
      </c>
      <c r="AG100">
        <f t="shared" si="1139"/>
        <v>1.1088702721936441</v>
      </c>
      <c r="AH100">
        <f t="shared" si="1139"/>
        <v>1.1117508113368297</v>
      </c>
      <c r="AI100">
        <f t="shared" si="1139"/>
        <v>1.1113472951555501</v>
      </c>
      <c r="AJ100">
        <f t="shared" si="1139"/>
        <v>1.1109364058145308</v>
      </c>
      <c r="AK100">
        <f t="shared" si="1139"/>
        <v>1.110518390692169</v>
      </c>
      <c r="AL100">
        <f t="shared" si="1139"/>
        <v>1.1100934921344576</v>
      </c>
      <c r="AM100">
        <f t="shared" si="1139"/>
        <v>1.1096619475421436</v>
      </c>
      <c r="AN100">
        <f t="shared" si="1139"/>
        <v>1.1092239894564913</v>
      </c>
      <c r="AO100">
        <f t="shared" si="1139"/>
        <v>1.1087798456436768</v>
      </c>
      <c r="AP100">
        <f t="shared" si="1139"/>
        <v>1.1083297391778302</v>
      </c>
      <c r="AQ100">
        <f t="shared" si="1139"/>
        <v>1.1112170349837138</v>
      </c>
      <c r="AR100">
        <f t="shared" si="1139"/>
        <v>1.1140682395920238</v>
      </c>
      <c r="AS100">
        <f t="shared" si="1139"/>
        <v>1.11688380414273</v>
      </c>
      <c r="AT100">
        <f t="shared" si="1139"/>
        <v>1.1196641741365523</v>
      </c>
      <c r="AU100">
        <f t="shared" si="1139"/>
        <v>1.1224097895054517</v>
      </c>
      <c r="AV100">
        <f t="shared" si="1139"/>
        <v>1.1251210846822399</v>
      </c>
      <c r="AW100">
        <f t="shared" si="1139"/>
        <v>1.1277984886693184</v>
      </c>
      <c r="AX100">
        <f t="shared" si="1139"/>
        <v>1.1304424251065583</v>
      </c>
      <c r="AY100">
        <f t="shared" si="1139"/>
        <v>1.1330533123383326</v>
      </c>
      <c r="AZ100">
        <f t="shared" si="1139"/>
        <v>1.1356315634797098</v>
      </c>
      <c r="BA100">
        <f t="shared" si="1139"/>
        <v>1.13817758648182</v>
      </c>
      <c r="BB100">
        <f t="shared" si="1139"/>
        <v>1.1406917841964035</v>
      </c>
      <c r="BC100">
        <f t="shared" si="1139"/>
        <v>1.1431745544395551</v>
      </c>
      <c r="BD100">
        <f t="shared" si="1139"/>
        <v>1.145626290054667</v>
      </c>
      <c r="BE100">
        <f t="shared" si="1139"/>
        <v>1.14804737897459</v>
      </c>
      <c r="BF100">
        <f t="shared" si="1139"/>
        <v>1.1504382042830141</v>
      </c>
      <c r="BG100">
        <f t="shared" si="1139"/>
        <v>1.1527991442750829</v>
      </c>
      <c r="BH100">
        <f t="shared" si="1139"/>
        <v>1.1551305725172507</v>
      </c>
      <c r="BI100">
        <f t="shared" si="1139"/>
        <v>1.1574328579063915</v>
      </c>
      <c r="BJ100">
        <f t="shared" si="1139"/>
        <v>1.159706364728168</v>
      </c>
      <c r="BK100">
        <f t="shared" si="1139"/>
        <v>1.1619514527146724</v>
      </c>
      <c r="BL100">
        <f t="shared" si="1139"/>
        <v>1.1641684771013454</v>
      </c>
      <c r="BM100">
        <f t="shared" si="1139"/>
        <v>1.1663577886831851</v>
      </c>
      <c r="BN100">
        <f t="shared" si="1139"/>
        <v>1.1685197338702515</v>
      </c>
      <c r="BO100">
        <f t="shared" ref="BO100:DZ100" si="1140">BO15/$B$117</f>
        <v>1.1706546547424799</v>
      </c>
      <c r="BP100">
        <f t="shared" si="1140"/>
        <v>1.1727628891038053</v>
      </c>
      <c r="BQ100">
        <f t="shared" si="1140"/>
        <v>1.1747615245432681</v>
      </c>
      <c r="BR100">
        <f t="shared" si="1140"/>
        <v>1.176580216134119</v>
      </c>
      <c r="BS100">
        <f t="shared" si="1140"/>
        <v>1.1782231501857863</v>
      </c>
      <c r="BT100">
        <f t="shared" si="1140"/>
        <v>1.1796944364661879</v>
      </c>
      <c r="BU100">
        <f t="shared" si="1140"/>
        <v>1.1809981094611604</v>
      </c>
      <c r="BV100">
        <f t="shared" si="1140"/>
        <v>1.1821381296143578</v>
      </c>
      <c r="BW100">
        <f t="shared" si="1140"/>
        <v>1.1831183845479194</v>
      </c>
      <c r="BX100">
        <f t="shared" si="1140"/>
        <v>1.183942690264187</v>
      </c>
      <c r="BY100">
        <f t="shared" si="1140"/>
        <v>1.1846147923287595</v>
      </c>
      <c r="BZ100">
        <f t="shared" si="1140"/>
        <v>1.1851383670351612</v>
      </c>
      <c r="CA100">
        <f t="shared" si="1140"/>
        <v>1.1855170225513987</v>
      </c>
      <c r="CB100">
        <f t="shared" si="1140"/>
        <v>1.1857543000486783</v>
      </c>
      <c r="CC100">
        <f t="shared" si="1140"/>
        <v>1.1858536748125494</v>
      </c>
      <c r="CD100">
        <f t="shared" si="1140"/>
        <v>1.1858185573367388</v>
      </c>
      <c r="CE100">
        <f t="shared" si="1140"/>
        <v>1.1856522943999308</v>
      </c>
      <c r="CF100">
        <f t="shared" si="1140"/>
        <v>1.1853581701257567</v>
      </c>
      <c r="CG100">
        <f t="shared" si="1140"/>
        <v>1.184939407026234</v>
      </c>
      <c r="CH100">
        <f t="shared" si="1140"/>
        <v>1.1843991670289147</v>
      </c>
      <c r="CI100">
        <f t="shared" si="1140"/>
        <v>1.1837405524879776</v>
      </c>
      <c r="CJ100">
        <f t="shared" si="1140"/>
        <v>1.1829666071795131</v>
      </c>
      <c r="CK100">
        <f t="shared" si="1140"/>
        <v>1.1820803172812311</v>
      </c>
      <c r="CL100">
        <f t="shared" si="1140"/>
        <v>1.1810846123368317</v>
      </c>
      <c r="CM100">
        <f t="shared" si="1140"/>
        <v>1.1799823662052644</v>
      </c>
      <c r="CN100">
        <f t="shared" si="1140"/>
        <v>1.1787763979951058</v>
      </c>
      <c r="CO100">
        <f t="shared" si="1140"/>
        <v>1.177469472984279</v>
      </c>
      <c r="CP100">
        <f t="shared" si="1140"/>
        <v>1.1760643035253331</v>
      </c>
      <c r="CQ100">
        <f t="shared" si="1140"/>
        <v>1.1745635499365046</v>
      </c>
      <c r="CR100">
        <f t="shared" si="1140"/>
        <v>1.172969821378768</v>
      </c>
      <c r="CS100">
        <f t="shared" si="1140"/>
        <v>1.1712856767190947</v>
      </c>
      <c r="CT100">
        <f t="shared" si="1140"/>
        <v>1.1695136253801202</v>
      </c>
      <c r="CU100">
        <f t="shared" si="1140"/>
        <v>1.1676561281764297</v>
      </c>
      <c r="CV100">
        <f t="shared" si="1140"/>
        <v>1.165715598137663</v>
      </c>
      <c r="CW100">
        <f t="shared" si="1140"/>
        <v>1.1636944013186354</v>
      </c>
      <c r="CX100">
        <f t="shared" si="1140"/>
        <v>1.1615948575966717</v>
      </c>
      <c r="CY100">
        <f t="shared" si="1140"/>
        <v>1.1594192414563482</v>
      </c>
      <c r="CZ100">
        <f t="shared" si="1140"/>
        <v>1.1571697827618308</v>
      </c>
      <c r="DA100">
        <f t="shared" si="1140"/>
        <v>1.154848667516996</v>
      </c>
      <c r="DB100">
        <f t="shared" si="1140"/>
        <v>1.1524580386135226</v>
      </c>
      <c r="DC100">
        <f t="shared" si="1140"/>
        <v>1.1499999965671337</v>
      </c>
      <c r="DD100">
        <f t="shared" si="1140"/>
        <v>1.1474766002421688</v>
      </c>
      <c r="DE100">
        <f t="shared" si="1140"/>
        <v>1.1448898675646613</v>
      </c>
      <c r="DF100">
        <f t="shared" si="1140"/>
        <v>1.1422417762241011</v>
      </c>
      <c r="DG100">
        <f t="shared" si="1140"/>
        <v>1.1395342643640451</v>
      </c>
      <c r="DH100">
        <f t="shared" si="1140"/>
        <v>1.136769231261753</v>
      </c>
      <c r="DI100">
        <f t="shared" si="1140"/>
        <v>1.1339485379970085</v>
      </c>
      <c r="DJ100">
        <f t="shared" si="1140"/>
        <v>1.131074008110295</v>
      </c>
      <c r="DK100">
        <f t="shared" si="1140"/>
        <v>1.1281474282504846</v>
      </c>
      <c r="DL100">
        <f t="shared" si="1140"/>
        <v>1.1251705488121997</v>
      </c>
      <c r="DM100">
        <f t="shared" si="1140"/>
        <v>1.1221450845630048</v>
      </c>
      <c r="DN100">
        <f t="shared" si="1140"/>
        <v>1.1190727152605853</v>
      </c>
      <c r="DO100">
        <f t="shared" si="1140"/>
        <v>1.1159550862600605</v>
      </c>
      <c r="DP100">
        <f t="shared" si="1140"/>
        <v>1.1127938091115865</v>
      </c>
      <c r="DQ100">
        <f t="shared" si="1140"/>
        <v>1.1095904621483939</v>
      </c>
      <c r="DR100">
        <f t="shared" si="1140"/>
        <v>1.1063465910654044</v>
      </c>
      <c r="DS100">
        <f t="shared" si="1140"/>
        <v>1.1030637094885762</v>
      </c>
      <c r="DT100">
        <f t="shared" si="1140"/>
        <v>1.0997432995351122</v>
      </c>
      <c r="DU100">
        <f t="shared" si="1140"/>
        <v>1.0963868123646743</v>
      </c>
      <c r="DV100">
        <f t="shared" si="1140"/>
        <v>1.0929956687217424</v>
      </c>
      <c r="DW100">
        <f t="shared" si="1140"/>
        <v>1.0895712594692488</v>
      </c>
      <c r="DX100">
        <f t="shared" si="1140"/>
        <v>1.0861149461136272</v>
      </c>
      <c r="DY100">
        <f t="shared" si="1140"/>
        <v>1.0826280613214014</v>
      </c>
      <c r="DZ100">
        <f t="shared" si="1140"/>
        <v>1.0791119094274482</v>
      </c>
      <c r="EA100">
        <f t="shared" ref="EA100:GL100" si="1141">EA15/$B$117</f>
        <v>1.0755677669350594</v>
      </c>
      <c r="EB100">
        <f t="shared" si="1141"/>
        <v>1.0719968830079298</v>
      </c>
      <c r="EC100">
        <f t="shared" si="1141"/>
        <v>1.068400479954192</v>
      </c>
      <c r="ED100">
        <f t="shared" si="1141"/>
        <v>1.0647797537026249</v>
      </c>
      <c r="EE100">
        <f t="shared" si="1141"/>
        <v>1.0611358742711514</v>
      </c>
      <c r="EF100">
        <f t="shared" si="1141"/>
        <v>1.0574699862277461</v>
      </c>
      <c r="EG100">
        <f t="shared" si="1141"/>
        <v>1.0537832091438681</v>
      </c>
      <c r="EH100">
        <f t="shared" si="1141"/>
        <v>1.0500766380405364</v>
      </c>
      <c r="EI100">
        <f t="shared" si="1141"/>
        <v>1.0463513438271563</v>
      </c>
      <c r="EJ100">
        <f t="shared" si="1141"/>
        <v>1.0426083737332144</v>
      </c>
      <c r="EK100">
        <f t="shared" si="1141"/>
        <v>1.0388487517329452</v>
      </c>
      <c r="EL100">
        <f t="shared" si="1141"/>
        <v>1.0350734789630842</v>
      </c>
      <c r="EM100">
        <f t="shared" si="1141"/>
        <v>1.0312835341338089</v>
      </c>
      <c r="EN100">
        <f t="shared" si="1141"/>
        <v>1.0274798739329745</v>
      </c>
      <c r="EO100">
        <f t="shared" si="1141"/>
        <v>1.02366343342375</v>
      </c>
      <c r="EP100">
        <f t="shared" si="1141"/>
        <v>1.0198351264357512</v>
      </c>
      <c r="EQ100">
        <f t="shared" si="1141"/>
        <v>1.0159958459497773</v>
      </c>
      <c r="ER100">
        <f t="shared" si="1141"/>
        <v>1.0121464644762443</v>
      </c>
      <c r="ES100">
        <f t="shared" si="1141"/>
        <v>1.0082878344274173</v>
      </c>
      <c r="ET100">
        <f t="shared" si="1141"/>
        <v>1.0044207884835339</v>
      </c>
      <c r="EU100">
        <f t="shared" si="1141"/>
        <v>1.0005461399529154</v>
      </c>
      <c r="EV100">
        <f t="shared" si="1141"/>
        <v>0.99666468312615919</v>
      </c>
      <c r="EW100">
        <f t="shared" si="1141"/>
        <v>0.99277719362450145</v>
      </c>
      <c r="EX100">
        <f t="shared" si="1141"/>
        <v>0.98888442874244409</v>
      </c>
      <c r="EY100">
        <f t="shared" si="1141"/>
        <v>0.98498712778473152</v>
      </c>
      <c r="EZ100">
        <f t="shared" si="1141"/>
        <v>0.98108601239776805</v>
      </c>
      <c r="FA100">
        <f t="shared" si="1141"/>
        <v>0.97718178689555946</v>
      </c>
      <c r="FB100">
        <f t="shared" si="1141"/>
        <v>0.97327513858026626</v>
      </c>
      <c r="FC100">
        <f t="shared" si="1141"/>
        <v>0.96936673805745022</v>
      </c>
      <c r="FD100">
        <f t="shared" si="1141"/>
        <v>0.96545723954609863</v>
      </c>
      <c r="FE100">
        <f t="shared" si="1141"/>
        <v>0.96154728118350663</v>
      </c>
      <c r="FF100">
        <f t="shared" si="1141"/>
        <v>0.95763748532509774</v>
      </c>
      <c r="FG100">
        <f t="shared" si="1141"/>
        <v>0.95372845883926127</v>
      </c>
      <c r="FH100">
        <f t="shared" si="1141"/>
        <v>0.94982079339728598</v>
      </c>
      <c r="FI100">
        <f t="shared" si="1141"/>
        <v>0.94591506575846374</v>
      </c>
      <c r="FJ100">
        <f t="shared" si="1141"/>
        <v>0.94201183805044086</v>
      </c>
      <c r="FK100">
        <f t="shared" si="1141"/>
        <v>0.93811165804489127</v>
      </c>
      <c r="FL100">
        <f t="shared" si="1141"/>
        <v>0.93421505942858207</v>
      </c>
      <c r="FM100">
        <f t="shared" si="1141"/>
        <v>0.93032256206990849</v>
      </c>
      <c r="FN100">
        <f t="shared" si="1141"/>
        <v>0.92643467228096321</v>
      </c>
      <c r="FO100">
        <f t="shared" si="1141"/>
        <v>0.92255188307521552</v>
      </c>
      <c r="FP100">
        <f t="shared" si="1141"/>
        <v>0.91867467442086481</v>
      </c>
      <c r="FQ100">
        <f t="shared" si="1141"/>
        <v>0.91480351348993971</v>
      </c>
      <c r="FR100">
        <f t="shared" si="1141"/>
        <v>0.9109388549032067</v>
      </c>
      <c r="FS100">
        <f t="shared" si="1141"/>
        <v>0.90708114097095638</v>
      </c>
      <c r="FT100">
        <f t="shared" si="1141"/>
        <v>0.90323080192973115</v>
      </c>
      <c r="FU100">
        <f t="shared" si="1141"/>
        <v>0.89938825617505691</v>
      </c>
      <c r="FV100">
        <f t="shared" si="1141"/>
        <v>0.89555391049024535</v>
      </c>
      <c r="FW100">
        <f t="shared" si="1141"/>
        <v>0.89172816027132396</v>
      </c>
      <c r="FX100">
        <f t="shared" si="1141"/>
        <v>0.88791138974815886</v>
      </c>
      <c r="FY100">
        <f t="shared" si="1141"/>
        <v>0.88410397220182768</v>
      </c>
      <c r="FZ100">
        <f t="shared" si="1141"/>
        <v>0.88030627017830387</v>
      </c>
      <c r="GA100">
        <f t="shared" si="1141"/>
        <v>0.87651863569850885</v>
      </c>
      <c r="GB100">
        <f t="shared" si="1141"/>
        <v>0.8727414104647907</v>
      </c>
      <c r="GC100">
        <f t="shared" si="1141"/>
        <v>0.86897492606388482</v>
      </c>
      <c r="GD100">
        <f t="shared" si="1141"/>
        <v>0.86521950416641369</v>
      </c>
      <c r="GE100">
        <f t="shared" si="1141"/>
        <v>0.8614754567229792</v>
      </c>
      <c r="GF100">
        <f t="shared" si="1141"/>
        <v>0.85774308615690187</v>
      </c>
      <c r="GG100">
        <f t="shared" si="1141"/>
        <v>0.85402268555366068</v>
      </c>
      <c r="GH100">
        <f t="shared" si="1141"/>
        <v>0.85031453884708585</v>
      </c>
      <c r="GI100">
        <f t="shared" si="1141"/>
        <v>0.84661892100235481</v>
      </c>
      <c r="GJ100">
        <f t="shared" si="1141"/>
        <v>0.84293609819584459</v>
      </c>
      <c r="GK100">
        <f t="shared" si="1141"/>
        <v>0.83926632799188761</v>
      </c>
      <c r="GL100">
        <f t="shared" si="1141"/>
        <v>0.8356098595164837</v>
      </c>
      <c r="GM100">
        <f t="shared" ref="GM100:IV100" si="1142">GM15/$B$117</f>
        <v>0.83196693362801355</v>
      </c>
      <c r="GN100">
        <f t="shared" si="1142"/>
        <v>0.82833778308500283</v>
      </c>
      <c r="GO100">
        <f t="shared" si="1142"/>
        <v>0.82472263271098545</v>
      </c>
      <c r="GP100">
        <f t="shared" si="1142"/>
        <v>0.8211216995565086</v>
      </c>
      <c r="GQ100">
        <f t="shared" si="1142"/>
        <v>0.81753519305832989</v>
      </c>
      <c r="GR100">
        <f t="shared" si="1142"/>
        <v>0.81396331519584719</v>
      </c>
      <c r="GS100">
        <f t="shared" si="1142"/>
        <v>0.81040626064480847</v>
      </c>
      <c r="GT100">
        <f t="shared" si="1142"/>
        <v>0.80686421692834365</v>
      </c>
      <c r="GU100">
        <f t="shared" si="1142"/>
        <v>0.80333736456536198</v>
      </c>
      <c r="GV100">
        <f t="shared" si="1142"/>
        <v>0.79982587721635701</v>
      </c>
      <c r="GW100">
        <f t="shared" si="1142"/>
        <v>0.79632992182666096</v>
      </c>
      <c r="GX100">
        <f t="shared" si="1142"/>
        <v>0.7928496587671896</v>
      </c>
      <c r="GY100">
        <f t="shared" si="1142"/>
        <v>0.78938524197271687</v>
      </c>
      <c r="GZ100">
        <f t="shared" si="1142"/>
        <v>0.78593681907772095</v>
      </c>
      <c r="HA100">
        <f t="shared" si="1142"/>
        <v>0.78250453154983879</v>
      </c>
      <c r="HB100">
        <f t="shared" si="1142"/>
        <v>0.77908851482097019</v>
      </c>
      <c r="HC100">
        <f t="shared" si="1142"/>
        <v>0.77568889841606592</v>
      </c>
      <c r="HD100">
        <f t="shared" si="1142"/>
        <v>0.77230580607964061</v>
      </c>
      <c r="HE100">
        <f t="shared" si="1142"/>
        <v>0.7689393559000457</v>
      </c>
      <c r="HF100">
        <f t="shared" si="1142"/>
        <v>0.76558966043153809</v>
      </c>
      <c r="HG100">
        <f t="shared" si="1142"/>
        <v>0.76225682681418105</v>
      </c>
      <c r="HH100">
        <f t="shared" si="1142"/>
        <v>0.75894095689161267</v>
      </c>
      <c r="HI100">
        <f t="shared" si="1142"/>
        <v>0.75564214732671608</v>
      </c>
      <c r="HJ100">
        <f t="shared" si="1142"/>
        <v>0.75236048971522507</v>
      </c>
      <c r="HK100">
        <f t="shared" si="1142"/>
        <v>0.74909607069729855</v>
      </c>
      <c r="HL100">
        <f t="shared" si="1142"/>
        <v>0.74584897206709955</v>
      </c>
      <c r="HM100">
        <f t="shared" si="1142"/>
        <v>0.74261927088040625</v>
      </c>
      <c r="HN100">
        <f t="shared" si="1142"/>
        <v>0.73940703956029208</v>
      </c>
      <c r="HO100">
        <f t="shared" si="1142"/>
        <v>0.73621234600090313</v>
      </c>
      <c r="HP100">
        <f t="shared" si="1142"/>
        <v>0.73303525366936473</v>
      </c>
      <c r="HQ100">
        <f t="shared" si="1142"/>
        <v>0.72987582170584941</v>
      </c>
      <c r="HR100">
        <f t="shared" si="1142"/>
        <v>0.72673410502183344</v>
      </c>
      <c r="HS100">
        <f t="shared" si="1142"/>
        <v>0.72361015439657361</v>
      </c>
      <c r="HT100">
        <f t="shared" si="1142"/>
        <v>0.72050401657183272</v>
      </c>
      <c r="HU100">
        <f t="shared" si="1142"/>
        <v>0.71741573434488337</v>
      </c>
      <c r="HV100">
        <f t="shared" si="1142"/>
        <v>0.71434534665981564</v>
      </c>
      <c r="HW100">
        <f t="shared" si="1142"/>
        <v>0.71129288869718033</v>
      </c>
      <c r="HX100">
        <f t="shared" si="1142"/>
        <v>0.70825839196199269</v>
      </c>
      <c r="HY100">
        <f t="shared" si="1142"/>
        <v>0.70524188437012303</v>
      </c>
      <c r="HZ100">
        <f t="shared" si="1142"/>
        <v>0.70224339033310335</v>
      </c>
      <c r="IA100">
        <f t="shared" si="1142"/>
        <v>0.69926293084137359</v>
      </c>
      <c r="IB100">
        <f t="shared" si="1142"/>
        <v>0.6963005235459947</v>
      </c>
      <c r="IC100">
        <f t="shared" si="1142"/>
        <v>0.69335618283885359</v>
      </c>
      <c r="ID100">
        <f t="shared" si="1142"/>
        <v>0.69042991993138425</v>
      </c>
      <c r="IE100">
        <f t="shared" si="1142"/>
        <v>0.68752174293183033</v>
      </c>
      <c r="IF100">
        <f t="shared" si="1142"/>
        <v>0.6846316569210732</v>
      </c>
      <c r="IG100">
        <f t="shared" si="1142"/>
        <v>0.68175966402704924</v>
      </c>
      <c r="IH100">
        <f t="shared" si="1142"/>
        <v>0.67890576349777909</v>
      </c>
      <c r="II100">
        <f t="shared" si="1142"/>
        <v>0.67606995177303386</v>
      </c>
      <c r="IJ100">
        <f t="shared" si="1142"/>
        <v>0.67325222255465789</v>
      </c>
      <c r="IK100">
        <f t="shared" si="1142"/>
        <v>0.6704525668755742</v>
      </c>
      <c r="IL100">
        <f t="shared" si="1142"/>
        <v>0.66767097316749058</v>
      </c>
      <c r="IM100">
        <f t="shared" si="1142"/>
        <v>0.6649074273273321</v>
      </c>
      <c r="IN100">
        <f t="shared" si="1142"/>
        <v>0.66216191278241732</v>
      </c>
      <c r="IO100">
        <f t="shared" si="1142"/>
        <v>0.65943441055440288</v>
      </c>
      <c r="IP100">
        <f t="shared" si="1142"/>
        <v>0.65672489932201383</v>
      </c>
      <c r="IQ100">
        <f t="shared" si="1142"/>
        <v>0.65403335548258257</v>
      </c>
      <c r="IR100">
        <f t="shared" si="1142"/>
        <v>0.65135975321241535</v>
      </c>
      <c r="IS100">
        <f t="shared" si="1142"/>
        <v>0.64870406452600526</v>
      </c>
      <c r="IT100">
        <f t="shared" si="1142"/>
        <v>0.64606625933411344</v>
      </c>
      <c r="IU100">
        <f t="shared" si="1142"/>
        <v>0.64344630550073389</v>
      </c>
      <c r="IV100">
        <f t="shared" si="1142"/>
        <v>0.64084416889896512</v>
      </c>
    </row>
    <row r="101" spans="1:256" x14ac:dyDescent="0.2">
      <c r="A101" t="s">
        <v>572</v>
      </c>
      <c r="B101">
        <v>0.42901557922363281</v>
      </c>
      <c r="C101">
        <f t="shared" ref="C101:BN101" si="1143">C16/$B$118</f>
        <v>1.0166364710405635</v>
      </c>
      <c r="D101">
        <f t="shared" si="1143"/>
        <v>1.0330649861931203</v>
      </c>
      <c r="E101">
        <f t="shared" si="1143"/>
        <v>1.0492881449062699</v>
      </c>
      <c r="F101">
        <f t="shared" si="1143"/>
        <v>1.065308514135505</v>
      </c>
      <c r="G101">
        <f t="shared" si="1143"/>
        <v>1.0811286287493749</v>
      </c>
      <c r="H101">
        <f t="shared" si="1143"/>
        <v>1.0967509919305714</v>
      </c>
      <c r="I101">
        <f t="shared" si="1143"/>
        <v>1.1121780755720028</v>
      </c>
      <c r="J101">
        <f t="shared" si="1143"/>
        <v>1.1274123206679163</v>
      </c>
      <c r="K101">
        <f t="shared" si="1143"/>
        <v>1.1361563144119298</v>
      </c>
      <c r="L101">
        <f t="shared" si="1143"/>
        <v>1.1447910082341428</v>
      </c>
      <c r="M101">
        <f t="shared" si="1143"/>
        <v>1.1533177683835782</v>
      </c>
      <c r="N101">
        <f t="shared" si="1143"/>
        <v>1.1617379440311459</v>
      </c>
      <c r="O101">
        <f t="shared" si="1143"/>
        <v>1.1700528674831188</v>
      </c>
      <c r="P101">
        <f t="shared" si="1143"/>
        <v>1.1782638543919421</v>
      </c>
      <c r="Q101">
        <f t="shared" si="1143"/>
        <v>1.1863722039644051</v>
      </c>
      <c r="R101">
        <f t="shared" si="1143"/>
        <v>1.1943791991672124</v>
      </c>
      <c r="S101">
        <f t="shared" si="1143"/>
        <v>1.2085859302181858</v>
      </c>
      <c r="T101">
        <f t="shared" si="1143"/>
        <v>1.222615077131022</v>
      </c>
      <c r="U101">
        <f t="shared" si="1143"/>
        <v>1.236468859707448</v>
      </c>
      <c r="V101">
        <f t="shared" si="1143"/>
        <v>1.2501494700016684</v>
      </c>
      <c r="W101">
        <f t="shared" si="1143"/>
        <v>1.263659072667211</v>
      </c>
      <c r="X101">
        <f t="shared" si="1143"/>
        <v>1.2769998052994347</v>
      </c>
      <c r="Y101">
        <f t="shared" si="1143"/>
        <v>1.2901737787737553</v>
      </c>
      <c r="Z101">
        <f t="shared" si="1143"/>
        <v>1.3031830775796471</v>
      </c>
      <c r="AA101">
        <f t="shared" si="1143"/>
        <v>1.3160297601504651</v>
      </c>
      <c r="AB101">
        <f t="shared" si="1143"/>
        <v>1.3287158591891479</v>
      </c>
      <c r="AC101">
        <f t="shared" si="1143"/>
        <v>1.3412433819898473</v>
      </c>
      <c r="AD101">
        <f t="shared" si="1143"/>
        <v>1.3536143107555378</v>
      </c>
      <c r="AE101">
        <f t="shared" si="1143"/>
        <v>1.3658306029116571</v>
      </c>
      <c r="AF101">
        <f t="shared" si="1143"/>
        <v>1.3778941914158251</v>
      </c>
      <c r="AG101">
        <f t="shared" si="1143"/>
        <v>1.3898069850636909</v>
      </c>
      <c r="AH101">
        <f t="shared" si="1143"/>
        <v>1.4015708687909585</v>
      </c>
      <c r="AI101">
        <f t="shared" si="1143"/>
        <v>1.3965512329310714</v>
      </c>
      <c r="AJ101">
        <f t="shared" si="1143"/>
        <v>1.391594342519433</v>
      </c>
      <c r="AK101">
        <f t="shared" si="1143"/>
        <v>1.38669941323794</v>
      </c>
      <c r="AL101">
        <f t="shared" si="1143"/>
        <v>1.3818656705724659</v>
      </c>
      <c r="AM101">
        <f t="shared" si="1143"/>
        <v>1.37709234969031</v>
      </c>
      <c r="AN101">
        <f t="shared" si="1143"/>
        <v>1.3723786953191812</v>
      </c>
      <c r="AO101">
        <f t="shared" si="1143"/>
        <v>1.3677239616276915</v>
      </c>
      <c r="AP101">
        <f t="shared" si="1143"/>
        <v>1.3631274121073453</v>
      </c>
      <c r="AQ101">
        <f t="shared" si="1143"/>
        <v>1.3710883194560033</v>
      </c>
      <c r="AR101">
        <f t="shared" si="1143"/>
        <v>1.3789497154628032</v>
      </c>
      <c r="AS101">
        <f t="shared" si="1143"/>
        <v>1.3867128440195182</v>
      </c>
      <c r="AT101">
        <f t="shared" si="1143"/>
        <v>1.3943789334692742</v>
      </c>
      <c r="AU101">
        <f t="shared" si="1143"/>
        <v>1.4019491968009083</v>
      </c>
      <c r="AV101">
        <f t="shared" si="1143"/>
        <v>1.4094248318408971</v>
      </c>
      <c r="AW101">
        <f t="shared" si="1143"/>
        <v>1.4168070214428858</v>
      </c>
      <c r="AX101">
        <f t="shared" si="1143"/>
        <v>1.4240969336748497</v>
      </c>
      <c r="AY101">
        <f t="shared" si="1143"/>
        <v>1.4354321610804404</v>
      </c>
      <c r="AZ101">
        <f t="shared" si="1143"/>
        <v>1.4466256981434609</v>
      </c>
      <c r="BA101">
        <f t="shared" si="1143"/>
        <v>1.457679315993194</v>
      </c>
      <c r="BB101">
        <f t="shared" si="1143"/>
        <v>1.4685947636198053</v>
      </c>
      <c r="BC101">
        <f t="shared" si="1143"/>
        <v>1.4793737681510839</v>
      </c>
      <c r="BD101">
        <f t="shared" si="1143"/>
        <v>1.4900180351257215</v>
      </c>
      <c r="BE101">
        <f t="shared" si="1143"/>
        <v>1.5005292487631763</v>
      </c>
      <c r="BF101">
        <f t="shared" si="1143"/>
        <v>1.5109090722301628</v>
      </c>
      <c r="BG101">
        <f t="shared" si="1143"/>
        <v>1.5211591479038118</v>
      </c>
      <c r="BH101">
        <f t="shared" si="1143"/>
        <v>1.5312810976315403</v>
      </c>
      <c r="BI101">
        <f t="shared" si="1143"/>
        <v>1.5412765229876721</v>
      </c>
      <c r="BJ101">
        <f t="shared" si="1143"/>
        <v>1.5511470055268526</v>
      </c>
      <c r="BK101">
        <f t="shared" si="1143"/>
        <v>1.560894107034293</v>
      </c>
      <c r="BL101">
        <f t="shared" si="1143"/>
        <v>1.5705193697728905</v>
      </c>
      <c r="BM101">
        <f t="shared" si="1143"/>
        <v>1.5800243167272556</v>
      </c>
      <c r="BN101">
        <f t="shared" si="1143"/>
        <v>1.589410451844691</v>
      </c>
      <c r="BO101">
        <f t="shared" ref="BO101:DZ101" si="1144">BO16/$B$118</f>
        <v>1.5986792602731585</v>
      </c>
      <c r="BP101">
        <f t="shared" si="1144"/>
        <v>1.6078322085962704</v>
      </c>
      <c r="BQ101">
        <f t="shared" si="1144"/>
        <v>1.6168707450653432</v>
      </c>
      <c r="BR101">
        <f t="shared" si="1144"/>
        <v>1.6257962998285524</v>
      </c>
      <c r="BS101">
        <f t="shared" si="1144"/>
        <v>1.6346102851572217</v>
      </c>
      <c r="BT101">
        <f t="shared" si="1144"/>
        <v>1.6433140956692827</v>
      </c>
      <c r="BU101">
        <f t="shared" si="1144"/>
        <v>1.6519091085499429</v>
      </c>
      <c r="BV101">
        <f t="shared" si="1144"/>
        <v>1.6603966837695947</v>
      </c>
      <c r="BW101">
        <f t="shared" si="1144"/>
        <v>1.6687781642990009</v>
      </c>
      <c r="BX101">
        <f t="shared" si="1144"/>
        <v>1.6770548763217896</v>
      </c>
      <c r="BY101">
        <f t="shared" si="1144"/>
        <v>1.6852281294442932</v>
      </c>
      <c r="BZ101">
        <f t="shared" si="1144"/>
        <v>1.6932992169027659</v>
      </c>
      <c r="CA101">
        <f t="shared" si="1144"/>
        <v>1.7012694157680073</v>
      </c>
      <c r="CB101">
        <f t="shared" si="1144"/>
        <v>1.7091399871474333</v>
      </c>
      <c r="CC101">
        <f t="shared" si="1144"/>
        <v>1.7169121763846167</v>
      </c>
      <c r="CD101">
        <f t="shared" si="1144"/>
        <v>1.7245872132563353</v>
      </c>
      <c r="CE101">
        <f t="shared" si="1144"/>
        <v>1.7321663121671573</v>
      </c>
      <c r="CF101">
        <f t="shared" si="1144"/>
        <v>1.7396506723415939</v>
      </c>
      <c r="CG101">
        <f t="shared" si="1144"/>
        <v>1.7470414780138503</v>
      </c>
      <c r="CH101">
        <f t="shared" si="1144"/>
        <v>1.7543398986152032</v>
      </c>
      <c r="CI101">
        <f t="shared" si="1144"/>
        <v>1.7615470889590392</v>
      </c>
      <c r="CJ101">
        <f t="shared" si="1144"/>
        <v>1.7686641894235773</v>
      </c>
      <c r="CK101">
        <f t="shared" si="1144"/>
        <v>1.7756923261323088</v>
      </c>
      <c r="CL101">
        <f t="shared" si="1144"/>
        <v>1.7826326111321809</v>
      </c>
      <c r="CM101">
        <f t="shared" si="1144"/>
        <v>1.7894861425695547</v>
      </c>
      <c r="CN101">
        <f t="shared" si="1144"/>
        <v>1.7962540048639615</v>
      </c>
      <c r="CO101">
        <f t="shared" si="1144"/>
        <v>1.8029372688796881</v>
      </c>
      <c r="CP101">
        <f t="shared" si="1144"/>
        <v>1.809536992095218</v>
      </c>
      <c r="CQ101">
        <f t="shared" si="1144"/>
        <v>1.816054218770554</v>
      </c>
      <c r="CR101">
        <f t="shared" si="1144"/>
        <v>1.8224899801124483</v>
      </c>
      <c r="CS101">
        <f t="shared" si="1144"/>
        <v>1.8288452944375688</v>
      </c>
      <c r="CT101">
        <f t="shared" si="1144"/>
        <v>1.8351211673336252</v>
      </c>
      <c r="CU101">
        <f t="shared" si="1144"/>
        <v>1.8413185918184809</v>
      </c>
      <c r="CV101">
        <f t="shared" si="1144"/>
        <v>1.847438548497276</v>
      </c>
      <c r="CW101">
        <f t="shared" si="1144"/>
        <v>1.8534820057175863</v>
      </c>
      <c r="CX101">
        <f t="shared" si="1144"/>
        <v>1.8594499197226424</v>
      </c>
      <c r="CY101">
        <f t="shared" si="1144"/>
        <v>1.8653432348026355</v>
      </c>
      <c r="CZ101">
        <f t="shared" si="1144"/>
        <v>1.8711628834441287</v>
      </c>
      <c r="DA101">
        <f t="shared" si="1144"/>
        <v>1.8769097864776032</v>
      </c>
      <c r="DB101">
        <f t="shared" si="1144"/>
        <v>1.8825848532231593</v>
      </c>
      <c r="DC101">
        <f t="shared" si="1144"/>
        <v>1.8881889816343962</v>
      </c>
      <c r="DD101">
        <f t="shared" si="1144"/>
        <v>1.8937230584404923</v>
      </c>
      <c r="DE101">
        <f t="shared" si="1144"/>
        <v>1.8991879592865122</v>
      </c>
      <c r="DF101">
        <f t="shared" si="1144"/>
        <v>1.9045845488719571</v>
      </c>
      <c r="DG101">
        <f t="shared" si="1144"/>
        <v>1.9099136810875836</v>
      </c>
      <c r="DH101">
        <f t="shared" si="1144"/>
        <v>1.9151761991505152</v>
      </c>
      <c r="DI101">
        <f t="shared" si="1144"/>
        <v>1.92037293573766</v>
      </c>
      <c r="DJ101">
        <f t="shared" si="1144"/>
        <v>1.9255047131174652</v>
      </c>
      <c r="DK101">
        <f t="shared" si="1144"/>
        <v>1.9305723432800233</v>
      </c>
      <c r="DL101">
        <f t="shared" si="1144"/>
        <v>1.9355766280655491</v>
      </c>
      <c r="DM101">
        <f t="shared" si="1144"/>
        <v>1.940518359291256</v>
      </c>
      <c r="DN101">
        <f t="shared" si="1144"/>
        <v>1.9453983188766415</v>
      </c>
      <c r="DO101">
        <f t="shared" si="1144"/>
        <v>1.9502172789672096</v>
      </c>
      <c r="DP101">
        <f t="shared" si="1144"/>
        <v>1.9549760020566456</v>
      </c>
      <c r="DQ101">
        <f t="shared" si="1144"/>
        <v>1.9596752411074636</v>
      </c>
      <c r="DR101">
        <f t="shared" si="1144"/>
        <v>1.9643157396701465</v>
      </c>
      <c r="DS101">
        <f t="shared" si="1144"/>
        <v>1.9688982320007959</v>
      </c>
      <c r="DT101">
        <f t="shared" si="1144"/>
        <v>1.9734234431773121</v>
      </c>
      <c r="DU101">
        <f t="shared" si="1144"/>
        <v>1.9778920892141219</v>
      </c>
      <c r="DV101">
        <f t="shared" si="1144"/>
        <v>1.9823048771754714</v>
      </c>
      <c r="DW101">
        <f t="shared" si="1144"/>
        <v>1.9866625052873041</v>
      </c>
      <c r="DX101">
        <f t="shared" si="1144"/>
        <v>1.990965663047739</v>
      </c>
      <c r="DY101">
        <f t="shared" si="1144"/>
        <v>1.9952150313361685</v>
      </c>
      <c r="DZ101">
        <f t="shared" si="1144"/>
        <v>1.9994112825209924</v>
      </c>
      <c r="EA101">
        <f t="shared" ref="EA101:GL101" si="1145">EA16/$B$118</f>
        <v>2.0035550805660063</v>
      </c>
      <c r="EB101">
        <f t="shared" si="1145"/>
        <v>2.0076470811354574</v>
      </c>
      <c r="EC101">
        <f t="shared" si="1145"/>
        <v>2.0116879316977907</v>
      </c>
      <c r="ED101">
        <f t="shared" si="1145"/>
        <v>2.0156782716280945</v>
      </c>
      <c r="EE101">
        <f t="shared" si="1145"/>
        <v>2.0196187323092696</v>
      </c>
      <c r="EF101">
        <f t="shared" si="1145"/>
        <v>2.0235099372319296</v>
      </c>
      <c r="EG101">
        <f t="shared" si="1145"/>
        <v>2.027352502093057</v>
      </c>
      <c r="EH101">
        <f t="shared" si="1145"/>
        <v>2.03114703489342</v>
      </c>
      <c r="EI101">
        <f t="shared" si="1145"/>
        <v>2.0348941360337784</v>
      </c>
      <c r="EJ101">
        <f t="shared" si="1145"/>
        <v>2.0385943984098822</v>
      </c>
      <c r="EK101">
        <f t="shared" si="1145"/>
        <v>2.042248407506285</v>
      </c>
      <c r="EL101">
        <f t="shared" si="1145"/>
        <v>2.0458567414889828</v>
      </c>
      <c r="EM101">
        <f t="shared" si="1145"/>
        <v>2.0494199712968966</v>
      </c>
      <c r="EN101">
        <f t="shared" si="1145"/>
        <v>2.0529386607322118</v>
      </c>
      <c r="EO101">
        <f t="shared" si="1145"/>
        <v>2.056413366549585</v>
      </c>
      <c r="EP101">
        <f t="shared" si="1145"/>
        <v>2.0598446385442415</v>
      </c>
      <c r="EQ101">
        <f t="shared" si="1145"/>
        <v>2.0632330196389645</v>
      </c>
      <c r="ER101">
        <f t="shared" si="1145"/>
        <v>2.0665790459700037</v>
      </c>
      <c r="ES101">
        <f t="shared" si="1145"/>
        <v>2.0698832469719046</v>
      </c>
      <c r="ET101">
        <f t="shared" si="1145"/>
        <v>2.0731461454612821</v>
      </c>
      <c r="EU101">
        <f t="shared" si="1145"/>
        <v>2.0763682577195426</v>
      </c>
      <c r="EV101">
        <f t="shared" si="1145"/>
        <v>2.0795500935745741</v>
      </c>
      <c r="EW101">
        <f t="shared" si="1145"/>
        <v>2.0826921564814183</v>
      </c>
      <c r="EX101">
        <f t="shared" si="1145"/>
        <v>2.0857949436019267</v>
      </c>
      <c r="EY101">
        <f t="shared" si="1145"/>
        <v>2.0888589458834286</v>
      </c>
      <c r="EZ101">
        <f t="shared" si="1145"/>
        <v>2.091884648136412</v>
      </c>
      <c r="FA101">
        <f t="shared" si="1145"/>
        <v>2.0948725291112327</v>
      </c>
      <c r="FB101">
        <f t="shared" si="1145"/>
        <v>2.0978230615738687</v>
      </c>
      <c r="FC101">
        <f t="shared" si="1145"/>
        <v>2.1007367123807215</v>
      </c>
      <c r="FD101">
        <f t="shared" si="1145"/>
        <v>2.1036139425524887</v>
      </c>
      <c r="FE101">
        <f t="shared" si="1145"/>
        <v>2.1064552073471083</v>
      </c>
      <c r="FF101">
        <f t="shared" si="1145"/>
        <v>2.1092609563317959</v>
      </c>
      <c r="FG101">
        <f t="shared" si="1145"/>
        <v>2.1120316334541744</v>
      </c>
      <c r="FH101">
        <f t="shared" si="1145"/>
        <v>2.1147676771125234</v>
      </c>
      <c r="FI101">
        <f t="shared" si="1145"/>
        <v>2.1174695202251432</v>
      </c>
      <c r="FJ101">
        <f t="shared" si="1145"/>
        <v>2.1201375902988553</v>
      </c>
      <c r="FK101">
        <f t="shared" si="1145"/>
        <v>2.1227723094966455</v>
      </c>
      <c r="FL101">
        <f t="shared" si="1145"/>
        <v>2.1253740947044637</v>
      </c>
      <c r="FM101">
        <f t="shared" si="1145"/>
        <v>2.127943357597184</v>
      </c>
      <c r="FN101">
        <f t="shared" si="1145"/>
        <v>2.1304805047037454</v>
      </c>
      <c r="FO101">
        <f t="shared" si="1145"/>
        <v>2.1329859374714748</v>
      </c>
      <c r="FP101">
        <f t="shared" si="1145"/>
        <v>2.1354600523296074</v>
      </c>
      <c r="FQ101">
        <f t="shared" si="1145"/>
        <v>2.137903240752014</v>
      </c>
      <c r="FR101">
        <f t="shared" si="1145"/>
        <v>2.1403158893191399</v>
      </c>
      <c r="FS101">
        <f t="shared" si="1145"/>
        <v>2.1426983797791768</v>
      </c>
      <c r="FT101">
        <f t="shared" si="1145"/>
        <v>2.1450510891084629</v>
      </c>
      <c r="FU101">
        <f t="shared" si="1145"/>
        <v>2.1473743895711337</v>
      </c>
      <c r="FV101">
        <f t="shared" si="1145"/>
        <v>2.1496686487780203</v>
      </c>
      <c r="FW101">
        <f t="shared" si="1145"/>
        <v>2.1519342297448216</v>
      </c>
      <c r="FX101">
        <f t="shared" si="1145"/>
        <v>2.1541714909495373</v>
      </c>
      <c r="FY101">
        <f t="shared" si="1145"/>
        <v>2.1563807863891946</v>
      </c>
      <c r="FZ101">
        <f t="shared" si="1145"/>
        <v>2.158562465635856</v>
      </c>
      <c r="GA101">
        <f t="shared" si="1145"/>
        <v>2.1607168738919338</v>
      </c>
      <c r="GB101">
        <f t="shared" si="1145"/>
        <v>2.1628443520448104</v>
      </c>
      <c r="GC101">
        <f t="shared" si="1145"/>
        <v>2.1649452367207767</v>
      </c>
      <c r="GD101">
        <f t="shared" si="1145"/>
        <v>2.1670198603382933</v>
      </c>
      <c r="GE101">
        <f t="shared" si="1145"/>
        <v>2.1690685511605907</v>
      </c>
      <c r="GF101">
        <f t="shared" si="1145"/>
        <v>2.1710916333476096</v>
      </c>
      <c r="GG101">
        <f t="shared" si="1145"/>
        <v>2.1730894270072905</v>
      </c>
      <c r="GH101">
        <f t="shared" si="1145"/>
        <v>2.1750622482462258</v>
      </c>
      <c r="GI101">
        <f t="shared" si="1145"/>
        <v>2.1770104092196738</v>
      </c>
      <c r="GJ101">
        <f t="shared" si="1145"/>
        <v>2.1789342181809541</v>
      </c>
      <c r="GK101">
        <f t="shared" si="1145"/>
        <v>2.1808339795302185</v>
      </c>
      <c r="GL101">
        <f t="shared" si="1145"/>
        <v>2.1827099938626171</v>
      </c>
      <c r="GM101">
        <f t="shared" ref="GM101:IV101" si="1146">GM16/$B$118</f>
        <v>2.1845625580158603</v>
      </c>
      <c r="GN101">
        <f t="shared" si="1146"/>
        <v>2.1863919651171884</v>
      </c>
      <c r="GO101">
        <f t="shared" si="1146"/>
        <v>2.1881985046297494</v>
      </c>
      <c r="GP101">
        <f t="shared" si="1146"/>
        <v>2.1899824623984041</v>
      </c>
      <c r="GQ101">
        <f t="shared" si="1146"/>
        <v>2.1917441206949499</v>
      </c>
      <c r="GR101">
        <f t="shared" si="1146"/>
        <v>2.1934837582627895</v>
      </c>
      <c r="GS101">
        <f t="shared" si="1146"/>
        <v>2.1952016503610308</v>
      </c>
      <c r="GT101">
        <f t="shared" si="1146"/>
        <v>2.1968980688080442</v>
      </c>
      <c r="GU101">
        <f t="shared" si="1146"/>
        <v>2.1985732820244697</v>
      </c>
      <c r="GV101">
        <f t="shared" si="1146"/>
        <v>2.2002275550756898</v>
      </c>
      <c r="GW101">
        <f t="shared" si="1146"/>
        <v>2.2018611497137699</v>
      </c>
      <c r="GX101">
        <f t="shared" si="1146"/>
        <v>2.2034743244188739</v>
      </c>
      <c r="GY101">
        <f t="shared" si="1146"/>
        <v>2.2050673344401641</v>
      </c>
      <c r="GZ101">
        <f t="shared" si="1146"/>
        <v>2.2066404318361879</v>
      </c>
      <c r="HA101">
        <f t="shared" si="1146"/>
        <v>2.2081938655147617</v>
      </c>
      <c r="HB101">
        <f t="shared" si="1146"/>
        <v>2.2097278812723533</v>
      </c>
      <c r="HC101">
        <f t="shared" si="1146"/>
        <v>2.2112427218329751</v>
      </c>
      <c r="HD101">
        <f t="shared" si="1146"/>
        <v>2.2127386268865892</v>
      </c>
      <c r="HE101">
        <f t="shared" si="1146"/>
        <v>2.214215833127033</v>
      </c>
      <c r="HF101">
        <f t="shared" si="1146"/>
        <v>2.215674574289471</v>
      </c>
      <c r="HG101">
        <f t="shared" si="1146"/>
        <v>2.2171150811873788</v>
      </c>
      <c r="HH101">
        <f t="shared" si="1146"/>
        <v>2.2185375817490622</v>
      </c>
      <c r="HI101">
        <f t="shared" si="1146"/>
        <v>2.2199423010537256</v>
      </c>
      <c r="HJ101">
        <f t="shared" si="1146"/>
        <v>2.22132946136708</v>
      </c>
      <c r="HK101">
        <f t="shared" si="1146"/>
        <v>2.2226992821765177</v>
      </c>
      <c r="HL101">
        <f t="shared" si="1146"/>
        <v>2.2240519802258372</v>
      </c>
      <c r="HM101">
        <f t="shared" si="1146"/>
        <v>2.2253877695495405</v>
      </c>
      <c r="HN101">
        <f t="shared" si="1146"/>
        <v>2.2267068615066972</v>
      </c>
      <c r="HO101">
        <f t="shared" si="1146"/>
        <v>2.2280094648143898</v>
      </c>
      <c r="HP101">
        <f t="shared" si="1146"/>
        <v>2.229295785580736</v>
      </c>
      <c r="HQ101">
        <f t="shared" si="1146"/>
        <v>2.230566027337503</v>
      </c>
      <c r="HR101">
        <f t="shared" si="1146"/>
        <v>2.2318203910723104</v>
      </c>
      <c r="HS101">
        <f t="shared" si="1146"/>
        <v>2.2330590752604325</v>
      </c>
      <c r="HT101">
        <f t="shared" si="1146"/>
        <v>2.2342822758962035</v>
      </c>
      <c r="HU101">
        <f t="shared" si="1146"/>
        <v>2.2354901865240273</v>
      </c>
      <c r="HV101">
        <f t="shared" si="1146"/>
        <v>2.2366829982690031</v>
      </c>
      <c r="HW101">
        <f t="shared" si="1146"/>
        <v>2.2378608998671665</v>
      </c>
      <c r="HX101">
        <f t="shared" si="1146"/>
        <v>2.2390240776953534</v>
      </c>
      <c r="HY101">
        <f t="shared" si="1146"/>
        <v>2.2401727158006874</v>
      </c>
      <c r="HZ101">
        <f t="shared" si="1146"/>
        <v>2.2413069959297047</v>
      </c>
      <c r="IA101">
        <f t="shared" si="1146"/>
        <v>2.2424270975571097</v>
      </c>
      <c r="IB101">
        <f t="shared" si="1146"/>
        <v>2.2435331979141719</v>
      </c>
      <c r="IC101">
        <f t="shared" si="1146"/>
        <v>2.2446254720167711</v>
      </c>
      <c r="ID101">
        <f t="shared" si="1146"/>
        <v>2.2457040926930878</v>
      </c>
      <c r="IE101">
        <f t="shared" si="1146"/>
        <v>2.2467692306109499</v>
      </c>
      <c r="IF101">
        <f t="shared" si="1146"/>
        <v>2.2478210543048394</v>
      </c>
      <c r="IG101">
        <f t="shared" si="1146"/>
        <v>2.2488597302025548</v>
      </c>
      <c r="IH101">
        <f t="shared" si="1146"/>
        <v>2.2498854226515492</v>
      </c>
      <c r="II101">
        <f t="shared" si="1146"/>
        <v>2.2508982939449309</v>
      </c>
      <c r="IJ101">
        <f t="shared" si="1146"/>
        <v>2.2518985043471456</v>
      </c>
      <c r="IK101">
        <f t="shared" si="1146"/>
        <v>2.2528862121193325</v>
      </c>
      <c r="IL101">
        <f t="shared" si="1146"/>
        <v>2.2538615735443668</v>
      </c>
      <c r="IM101">
        <f t="shared" si="1146"/>
        <v>2.2548247429515884</v>
      </c>
      <c r="IN101">
        <f t="shared" si="1146"/>
        <v>2.2557758727412196</v>
      </c>
      <c r="IO101">
        <f t="shared" si="1146"/>
        <v>2.2567151134084806</v>
      </c>
      <c r="IP101">
        <f t="shared" si="1146"/>
        <v>2.257642613567401</v>
      </c>
      <c r="IQ101">
        <f t="shared" si="1146"/>
        <v>2.2585585199743345</v>
      </c>
      <c r="IR101">
        <f t="shared" si="1146"/>
        <v>2.2594629775511814</v>
      </c>
      <c r="IS101">
        <f t="shared" si="1146"/>
        <v>2.2603561294083176</v>
      </c>
      <c r="IT101">
        <f t="shared" si="1146"/>
        <v>2.26123811686724</v>
      </c>
      <c r="IU101">
        <f t="shared" si="1146"/>
        <v>2.2621090794829257</v>
      </c>
      <c r="IV101">
        <f t="shared" si="1146"/>
        <v>2.2629691550659152</v>
      </c>
    </row>
    <row r="102" spans="1:256" x14ac:dyDescent="0.2">
      <c r="A102" t="s">
        <v>573</v>
      </c>
      <c r="B102">
        <v>0.46971038818359373</v>
      </c>
      <c r="C102">
        <f t="shared" ref="C102:BN102" si="1147">C17/$B$119</f>
        <v>0.99748761845003164</v>
      </c>
      <c r="D102">
        <f t="shared" si="1147"/>
        <v>0.99500664166943786</v>
      </c>
      <c r="E102">
        <f t="shared" si="1147"/>
        <v>0.99255667709860151</v>
      </c>
      <c r="F102">
        <f t="shared" si="1147"/>
        <v>0.99013733708490059</v>
      </c>
      <c r="G102">
        <f t="shared" si="1147"/>
        <v>0.98774823882137108</v>
      </c>
      <c r="H102">
        <f t="shared" si="1147"/>
        <v>0.98538900428613552</v>
      </c>
      <c r="I102">
        <f t="shared" si="1147"/>
        <v>0.98305926018259038</v>
      </c>
      <c r="J102">
        <f t="shared" si="1147"/>
        <v>0.98075863788033968</v>
      </c>
      <c r="K102">
        <f t="shared" si="1147"/>
        <v>0.98847439180689867</v>
      </c>
      <c r="L102">
        <f t="shared" si="1147"/>
        <v>0.9960936988093757</v>
      </c>
      <c r="M102">
        <f t="shared" si="1147"/>
        <v>1.0036177644743218</v>
      </c>
      <c r="N102">
        <f t="shared" si="1147"/>
        <v>1.011047779318456</v>
      </c>
      <c r="O102">
        <f t="shared" si="1147"/>
        <v>1.0183849189770386</v>
      </c>
      <c r="P102">
        <f t="shared" si="1147"/>
        <v>1.0256303443898891</v>
      </c>
      <c r="Q102">
        <f t="shared" si="1147"/>
        <v>1.0327852019850787</v>
      </c>
      <c r="R102">
        <f t="shared" si="1147"/>
        <v>1.0398506238603284</v>
      </c>
      <c r="S102">
        <f t="shared" si="1147"/>
        <v>1.0440598818808831</v>
      </c>
      <c r="T102">
        <f t="shared" si="1147"/>
        <v>1.0482165241761807</v>
      </c>
      <c r="U102">
        <f t="shared" si="1147"/>
        <v>1.0523212084427873</v>
      </c>
      <c r="V102">
        <f t="shared" si="1147"/>
        <v>1.056374584156061</v>
      </c>
      <c r="W102">
        <f t="shared" si="1147"/>
        <v>1.0603772926729191</v>
      </c>
      <c r="X102">
        <f t="shared" si="1147"/>
        <v>1.0643299673333162</v>
      </c>
      <c r="Y102">
        <f t="shared" si="1147"/>
        <v>1.0682332335604585</v>
      </c>
      <c r="Z102">
        <f t="shared" si="1147"/>
        <v>1.0720877089597614</v>
      </c>
      <c r="AA102">
        <f t="shared" si="1147"/>
        <v>1.073051565769608</v>
      </c>
      <c r="AB102">
        <f t="shared" si="1147"/>
        <v>1.0740033743693318</v>
      </c>
      <c r="AC102">
        <f t="shared" si="1147"/>
        <v>1.0749432853615588</v>
      </c>
      <c r="AD102">
        <f t="shared" si="1147"/>
        <v>1.0758714474663831</v>
      </c>
      <c r="AE102">
        <f t="shared" si="1147"/>
        <v>1.076788007544897</v>
      </c>
      <c r="AF102">
        <f t="shared" si="1147"/>
        <v>1.0776931106224297</v>
      </c>
      <c r="AG102">
        <f t="shared" si="1147"/>
        <v>1.0785868999114929</v>
      </c>
      <c r="AH102">
        <f t="shared" si="1147"/>
        <v>1.079469516834443</v>
      </c>
      <c r="AI102">
        <f t="shared" si="1147"/>
        <v>1.0784761478740124</v>
      </c>
      <c r="AJ102">
        <f t="shared" si="1147"/>
        <v>1.0774951960255872</v>
      </c>
      <c r="AK102">
        <f t="shared" si="1147"/>
        <v>1.0765265060752673</v>
      </c>
      <c r="AL102">
        <f t="shared" si="1147"/>
        <v>1.0755699247493267</v>
      </c>
      <c r="AM102">
        <f t="shared" si="1147"/>
        <v>1.07462530068996</v>
      </c>
      <c r="AN102">
        <f t="shared" si="1147"/>
        <v>1.0736924844313356</v>
      </c>
      <c r="AO102">
        <f t="shared" si="1147"/>
        <v>1.0727713283759439</v>
      </c>
      <c r="AP102">
        <f t="shared" si="1147"/>
        <v>1.0718616867712445</v>
      </c>
      <c r="AQ102">
        <f t="shared" si="1147"/>
        <v>1.0611246299825745</v>
      </c>
      <c r="AR102">
        <f t="shared" si="1147"/>
        <v>1.0505217864037626</v>
      </c>
      <c r="AS102">
        <f t="shared" si="1147"/>
        <v>1.0400514783696859</v>
      </c>
      <c r="AT102">
        <f t="shared" si="1147"/>
        <v>1.0297120491860354</v>
      </c>
      <c r="AU102">
        <f t="shared" si="1147"/>
        <v>1.0195018628671804</v>
      </c>
      <c r="AV102">
        <f t="shared" si="1147"/>
        <v>1.0094193038773109</v>
      </c>
      <c r="AW102">
        <f t="shared" si="1147"/>
        <v>0.99946277687481511</v>
      </c>
      <c r="AX102">
        <f t="shared" si="1147"/>
        <v>0.9896307064598503</v>
      </c>
      <c r="AY102">
        <f t="shared" si="1147"/>
        <v>0.97992153692507256</v>
      </c>
      <c r="AZ102">
        <f t="shared" si="1147"/>
        <v>0.97033373200947959</v>
      </c>
      <c r="BA102">
        <f t="shared" si="1147"/>
        <v>0.96086577465533152</v>
      </c>
      <c r="BB102">
        <f t="shared" si="1147"/>
        <v>0.95151616676811046</v>
      </c>
      <c r="BC102">
        <f t="shared" si="1147"/>
        <v>0.94228342897947936</v>
      </c>
      <c r="BD102">
        <f t="shared" si="1147"/>
        <v>0.93316610041320636</v>
      </c>
      <c r="BE102">
        <f t="shared" si="1147"/>
        <v>0.92416273845401176</v>
      </c>
      <c r="BF102">
        <f t="shared" si="1147"/>
        <v>0.915271918519307</v>
      </c>
      <c r="BG102">
        <f t="shared" si="1147"/>
        <v>0.90649223383378608</v>
      </c>
      <c r="BH102">
        <f t="shared" si="1147"/>
        <v>0.89782229520683421</v>
      </c>
      <c r="BI102">
        <f t="shared" si="1147"/>
        <v>0.88926073081271917</v>
      </c>
      <c r="BJ102">
        <f t="shared" si="1147"/>
        <v>0.88080618597353055</v>
      </c>
      <c r="BK102">
        <f t="shared" si="1147"/>
        <v>0.8724573229448318</v>
      </c>
      <c r="BL102">
        <f t="shared" si="1147"/>
        <v>0.86421282070399186</v>
      </c>
      <c r="BM102">
        <f t="shared" si="1147"/>
        <v>0.85607137474116235</v>
      </c>
      <c r="BN102">
        <f t="shared" si="1147"/>
        <v>0.84803169685286817</v>
      </c>
      <c r="BO102">
        <f t="shared" ref="BO102:DZ102" si="1148">BO17/$B$119</f>
        <v>0.84009251493817783</v>
      </c>
      <c r="BP102">
        <f t="shared" si="1148"/>
        <v>0.83225257279742093</v>
      </c>
      <c r="BQ102">
        <f t="shared" si="1148"/>
        <v>0.82451062993342361</v>
      </c>
      <c r="BR102">
        <f t="shared" si="1148"/>
        <v>0.8168654613552262</v>
      </c>
      <c r="BS102">
        <f t="shared" si="1148"/>
        <v>0.80931585738425627</v>
      </c>
      <c r="BT102">
        <f t="shared" si="1148"/>
        <v>0.80186062346292353</v>
      </c>
      <c r="BU102">
        <f t="shared" si="1148"/>
        <v>0.79449857996560735</v>
      </c>
      <c r="BV102">
        <f t="shared" si="1148"/>
        <v>0.78722856201200764</v>
      </c>
      <c r="BW102">
        <f t="shared" si="1148"/>
        <v>0.780049419282828</v>
      </c>
      <c r="BX102">
        <f t="shared" si="1148"/>
        <v>0.77296001583776308</v>
      </c>
      <c r="BY102">
        <f t="shared" si="1148"/>
        <v>0.76595922993576149</v>
      </c>
      <c r="BZ102">
        <f t="shared" si="1148"/>
        <v>0.75904595385753493</v>
      </c>
      <c r="CA102">
        <f t="shared" si="1148"/>
        <v>0.75221909373028617</v>
      </c>
      <c r="CB102">
        <f t="shared" si="1148"/>
        <v>0.74547756935462806</v>
      </c>
      <c r="CC102">
        <f t="shared" si="1148"/>
        <v>0.73882031403366555</v>
      </c>
      <c r="CD102">
        <f t="shared" si="1148"/>
        <v>0.73224627440421519</v>
      </c>
      <c r="CE102">
        <f t="shared" si="1148"/>
        <v>0.72575441027013299</v>
      </c>
      <c r="CF102">
        <f t="shared" si="1148"/>
        <v>0.71934369443772672</v>
      </c>
      <c r="CG102">
        <f t="shared" si="1148"/>
        <v>0.71301311255322564</v>
      </c>
      <c r="CH102">
        <f t="shared" si="1148"/>
        <v>0.70676166294228082</v>
      </c>
      <c r="CI102">
        <f t="shared" si="1148"/>
        <v>0.70058835645147266</v>
      </c>
      <c r="CJ102">
        <f t="shared" si="1148"/>
        <v>0.69449221629179969</v>
      </c>
      <c r="CK102">
        <f t="shared" si="1148"/>
        <v>0.68847227788412257</v>
      </c>
      <c r="CL102">
        <f t="shared" si="1148"/>
        <v>0.68252758870654151</v>
      </c>
      <c r="CM102">
        <f t="shared" si="1148"/>
        <v>0.67665720814368024</v>
      </c>
      <c r="CN102">
        <f t="shared" si="1148"/>
        <v>0.67086020733785467</v>
      </c>
      <c r="CO102">
        <f t="shared" si="1148"/>
        <v>0.66513566904210186</v>
      </c>
      <c r="CP102">
        <f t="shared" si="1148"/>
        <v>0.65948268747504601</v>
      </c>
      <c r="CQ102">
        <f t="shared" si="1148"/>
        <v>0.65390036817757846</v>
      </c>
      <c r="CR102">
        <f t="shared" si="1148"/>
        <v>0.64838782787132909</v>
      </c>
      <c r="CS102">
        <f t="shared" si="1148"/>
        <v>0.64294419431890792</v>
      </c>
      <c r="CT102">
        <f t="shared" si="1148"/>
        <v>0.63756860618589195</v>
      </c>
      <c r="CU102">
        <f t="shared" si="1148"/>
        <v>0.63226021290453882</v>
      </c>
      <c r="CV102">
        <f t="shared" si="1148"/>
        <v>0.6270181745392025</v>
      </c>
      <c r="CW102">
        <f t="shared" si="1148"/>
        <v>0.62184166165343291</v>
      </c>
      <c r="CX102">
        <f t="shared" si="1148"/>
        <v>0.61672985517873546</v>
      </c>
      <c r="CY102">
        <f t="shared" si="1148"/>
        <v>0.61168194628497174</v>
      </c>
      <c r="CZ102">
        <f t="shared" si="1148"/>
        <v>0.60669713625237998</v>
      </c>
      <c r="DA102">
        <f t="shared" si="1148"/>
        <v>0.60177463634519579</v>
      </c>
      <c r="DB102">
        <f t="shared" si="1148"/>
        <v>0.59691366768685128</v>
      </c>
      <c r="DC102">
        <f t="shared" si="1148"/>
        <v>0.59211346113673602</v>
      </c>
      <c r="DD102">
        <f t="shared" si="1148"/>
        <v>0.5873732571684972</v>
      </c>
      <c r="DE102">
        <f t="shared" si="1148"/>
        <v>0.58269230574986142</v>
      </c>
      <c r="DF102">
        <f t="shared" si="1148"/>
        <v>0.57806986622395862</v>
      </c>
      <c r="DG102">
        <f t="shared" si="1148"/>
        <v>0.57350520719212961</v>
      </c>
      <c r="DH102">
        <f t="shared" si="1148"/>
        <v>0.56899760639819852</v>
      </c>
      <c r="DI102">
        <f t="shared" si="1148"/>
        <v>0.56454635061419134</v>
      </c>
      <c r="DJ102">
        <f t="shared" si="1148"/>
        <v>0.5601507355274844</v>
      </c>
      <c r="DK102">
        <f t="shared" si="1148"/>
        <v>0.55581006562936131</v>
      </c>
      <c r="DL102">
        <f t="shared" si="1148"/>
        <v>0.55152365410496473</v>
      </c>
      <c r="DM102">
        <f t="shared" si="1148"/>
        <v>0.54729082272462315</v>
      </c>
      <c r="DN102">
        <f t="shared" si="1148"/>
        <v>0.54311090173653576</v>
      </c>
      <c r="DO102">
        <f t="shared" si="1148"/>
        <v>0.53898322976079949</v>
      </c>
      <c r="DP102">
        <f t="shared" si="1148"/>
        <v>0.53490715368475994</v>
      </c>
      <c r="DQ102">
        <f t="shared" si="1148"/>
        <v>0.53088202855967093</v>
      </c>
      <c r="DR102">
        <f t="shared" si="1148"/>
        <v>0.52690721749864544</v>
      </c>
      <c r="DS102">
        <f t="shared" si="1148"/>
        <v>0.52298209157588282</v>
      </c>
      <c r="DT102">
        <f t="shared" si="1148"/>
        <v>0.51910602972715469</v>
      </c>
      <c r="DU102">
        <f t="shared" si="1148"/>
        <v>0.51527841865153567</v>
      </c>
      <c r="DV102">
        <f t="shared" si="1148"/>
        <v>0.5114986527143619</v>
      </c>
      <c r="DW102">
        <f t="shared" si="1148"/>
        <v>0.50776613385140279</v>
      </c>
      <c r="DX102">
        <f t="shared" si="1148"/>
        <v>0.50408027147423073</v>
      </c>
      <c r="DY102">
        <f t="shared" si="1148"/>
        <v>0.5004404823767733</v>
      </c>
      <c r="DZ102">
        <f t="shared" si="1148"/>
        <v>0.49684619064303404</v>
      </c>
      <c r="EA102">
        <f t="shared" ref="EA102:GL102" si="1149">EA17/$B$119</f>
        <v>0.49329682755596649</v>
      </c>
      <c r="EB102">
        <f t="shared" si="1149"/>
        <v>0.48979183150748734</v>
      </c>
      <c r="EC102">
        <f t="shared" si="1149"/>
        <v>0.48633064790961417</v>
      </c>
      <c r="ED102">
        <f t="shared" si="1149"/>
        <v>0.4829127291067144</v>
      </c>
      <c r="EE102">
        <f t="shared" si="1149"/>
        <v>0.47953753428885088</v>
      </c>
      <c r="EF102">
        <f t="shared" si="1149"/>
        <v>0.47620452940621072</v>
      </c>
      <c r="EG102">
        <f t="shared" si="1149"/>
        <v>0.4729131870846035</v>
      </c>
      <c r="EH102">
        <f t="shared" si="1149"/>
        <v>0.46966298654201633</v>
      </c>
      <c r="EI102">
        <f t="shared" si="1149"/>
        <v>0.46645341350621156</v>
      </c>
      <c r="EJ102">
        <f t="shared" si="1149"/>
        <v>0.46328396013335438</v>
      </c>
      <c r="EK102">
        <f t="shared" si="1149"/>
        <v>0.46015412492765784</v>
      </c>
      <c r="EL102">
        <f t="shared" si="1149"/>
        <v>0.45706341266203254</v>
      </c>
      <c r="EM102">
        <f t="shared" si="1149"/>
        <v>0.45401133429972762</v>
      </c>
      <c r="EN102">
        <f t="shared" si="1149"/>
        <v>0.45099740691695145</v>
      </c>
      <c r="EO102">
        <f t="shared" si="1149"/>
        <v>0.44802115362645994</v>
      </c>
      <c r="EP102">
        <f t="shared" si="1149"/>
        <v>0.44508210350209965</v>
      </c>
      <c r="EQ102">
        <f t="shared" si="1149"/>
        <v>0.44217979150429382</v>
      </c>
      <c r="ER102">
        <f t="shared" si="1149"/>
        <v>0.43931375840646059</v>
      </c>
      <c r="ES102">
        <f t="shared" si="1149"/>
        <v>0.43648355072235029</v>
      </c>
      <c r="ET102">
        <f t="shared" si="1149"/>
        <v>0.43368872063429137</v>
      </c>
      <c r="EU102">
        <f t="shared" si="1149"/>
        <v>0.43092882592233317</v>
      </c>
      <c r="EV102">
        <f t="shared" si="1149"/>
        <v>0.42820342989427446</v>
      </c>
      <c r="EW102">
        <f t="shared" si="1149"/>
        <v>0.42551210131656642</v>
      </c>
      <c r="EX102">
        <f t="shared" si="1149"/>
        <v>0.42285441434607973</v>
      </c>
      <c r="EY102">
        <f t="shared" si="1149"/>
        <v>0.42022994846272416</v>
      </c>
      <c r="EZ102">
        <f t="shared" si="1149"/>
        <v>0.41763828840291056</v>
      </c>
      <c r="FA102">
        <f t="shared" si="1149"/>
        <v>0.41507902409384462</v>
      </c>
      <c r="FB102">
        <f t="shared" si="1149"/>
        <v>0.41255175058864202</v>
      </c>
      <c r="FC102">
        <f t="shared" si="1149"/>
        <v>0.41005606800225441</v>
      </c>
      <c r="FD102">
        <f t="shared" si="1149"/>
        <v>0.40759158144819663</v>
      </c>
      <c r="FE102">
        <f t="shared" si="1149"/>
        <v>0.40515790097606463</v>
      </c>
      <c r="FF102">
        <f t="shared" si="1149"/>
        <v>0.40275464150983425</v>
      </c>
      <c r="FG102">
        <f t="shared" si="1149"/>
        <v>0.40038142278693173</v>
      </c>
      <c r="FH102">
        <f t="shared" si="1149"/>
        <v>0.39803786929806556</v>
      </c>
      <c r="FI102">
        <f t="shared" si="1149"/>
        <v>0.39572361022781016</v>
      </c>
      <c r="FJ102">
        <f t="shared" si="1149"/>
        <v>0.39343827939593295</v>
      </c>
      <c r="FK102">
        <f t="shared" si="1149"/>
        <v>0.39118151519945427</v>
      </c>
      <c r="FL102">
        <f t="shared" si="1149"/>
        <v>0.38895296055543149</v>
      </c>
      <c r="FM102">
        <f t="shared" si="1149"/>
        <v>0.38675226284445907</v>
      </c>
      <c r="FN102">
        <f t="shared" si="1149"/>
        <v>0.38457907385487372</v>
      </c>
      <c r="FO102">
        <f t="shared" si="1149"/>
        <v>0.38243304972765824</v>
      </c>
      <c r="FP102">
        <f t="shared" si="1149"/>
        <v>0.38031385090203296</v>
      </c>
      <c r="FQ102">
        <f t="shared" si="1149"/>
        <v>0.37822114206172797</v>
      </c>
      <c r="FR102">
        <f t="shared" si="1149"/>
        <v>0.37615459208192675</v>
      </c>
      <c r="FS102">
        <f t="shared" si="1149"/>
        <v>0.37411387397687312</v>
      </c>
      <c r="FT102">
        <f t="shared" si="1149"/>
        <v>0.37209866484813264</v>
      </c>
      <c r="FU102">
        <f t="shared" si="1149"/>
        <v>0.37010864583350145</v>
      </c>
      <c r="FV102">
        <f t="shared" si="1149"/>
        <v>0.36814350205655311</v>
      </c>
      <c r="FW102">
        <f t="shared" si="1149"/>
        <v>0.36620292257681664</v>
      </c>
      <c r="FX102">
        <f t="shared" si="1149"/>
        <v>0.36428660034057686</v>
      </c>
      <c r="FY102">
        <f t="shared" si="1149"/>
        <v>0.36239423213229005</v>
      </c>
      <c r="FZ102">
        <f t="shared" si="1149"/>
        <v>0.36052551852660686</v>
      </c>
      <c r="GA102">
        <f t="shared" si="1149"/>
        <v>0.35868016384099471</v>
      </c>
      <c r="GB102">
        <f t="shared" si="1149"/>
        <v>0.3568578760889527</v>
      </c>
      <c r="GC102">
        <f t="shared" si="1149"/>
        <v>0.35505836693381121</v>
      </c>
      <c r="GD102">
        <f t="shared" si="1149"/>
        <v>0.35328135164310903</v>
      </c>
      <c r="GE102">
        <f t="shared" si="1149"/>
        <v>0.35152654904354058</v>
      </c>
      <c r="GF102">
        <f t="shared" si="1149"/>
        <v>0.34979368147646672</v>
      </c>
      <c r="GG102">
        <f t="shared" si="1149"/>
        <v>0.3480824747539813</v>
      </c>
      <c r="GH102">
        <f t="shared" si="1149"/>
        <v>0.346392658115527</v>
      </c>
      <c r="GI102">
        <f t="shared" si="1149"/>
        <v>0.34472396418505336</v>
      </c>
      <c r="GJ102">
        <f t="shared" si="1149"/>
        <v>0.34307612892871064</v>
      </c>
      <c r="GK102">
        <f t="shared" si="1149"/>
        <v>0.34144889161307213</v>
      </c>
      <c r="GL102">
        <f t="shared" si="1149"/>
        <v>0.33984199476387916</v>
      </c>
      <c r="GM102">
        <f t="shared" ref="GM102:IV102" si="1150">GM17/$B$119</f>
        <v>0.33825518412530109</v>
      </c>
      <c r="GN102">
        <f t="shared" si="1150"/>
        <v>0.33668820861970528</v>
      </c>
      <c r="GO102">
        <f t="shared" si="1150"/>
        <v>0.33514082030792941</v>
      </c>
      <c r="GP102">
        <f t="shared" si="1150"/>
        <v>0.33361277435005066</v>
      </c>
      <c r="GQ102">
        <f t="shared" si="1150"/>
        <v>0.33210382896664548</v>
      </c>
      <c r="GR102">
        <f t="shared" si="1150"/>
        <v>0.33061374540053284</v>
      </c>
      <c r="GS102">
        <f t="shared" si="1150"/>
        <v>0.32914228787899663</v>
      </c>
      <c r="GT102">
        <f t="shared" si="1150"/>
        <v>0.32768922357647956</v>
      </c>
      <c r="GU102">
        <f t="shared" si="1150"/>
        <v>0.326254322577744</v>
      </c>
      <c r="GV102">
        <f t="shared" si="1150"/>
        <v>0.32483735784149265</v>
      </c>
      <c r="GW102">
        <f t="shared" si="1150"/>
        <v>0.32343810516444438</v>
      </c>
      <c r="GX102">
        <f t="shared" si="1150"/>
        <v>0.32205634314585924</v>
      </c>
      <c r="GY102">
        <f t="shared" si="1150"/>
        <v>0.32069185315250642</v>
      </c>
      <c r="GZ102">
        <f t="shared" si="1150"/>
        <v>0.31934441928407054</v>
      </c>
      <c r="HA102">
        <f t="shared" si="1150"/>
        <v>0.31801382833899006</v>
      </c>
      <c r="HB102">
        <f t="shared" si="1150"/>
        <v>0.31669986978072312</v>
      </c>
      <c r="HC102">
        <f t="shared" si="1150"/>
        <v>0.31540233570443449</v>
      </c>
      <c r="HD102">
        <f t="shared" si="1150"/>
        <v>0.31412102080409948</v>
      </c>
      <c r="HE102">
        <f t="shared" si="1150"/>
        <v>0.31285572234001868</v>
      </c>
      <c r="HF102">
        <f t="shared" si="1150"/>
        <v>0.31160624010673887</v>
      </c>
      <c r="HG102">
        <f t="shared" si="1150"/>
        <v>0.31037237640137511</v>
      </c>
      <c r="HH102">
        <f t="shared" si="1150"/>
        <v>0.30915393599232832</v>
      </c>
      <c r="HI102">
        <f t="shared" si="1150"/>
        <v>0.30795072608839469</v>
      </c>
      <c r="HJ102">
        <f t="shared" si="1150"/>
        <v>0.30676255630826016</v>
      </c>
      <c r="HK102">
        <f t="shared" si="1150"/>
        <v>0.30558923865037735</v>
      </c>
      <c r="HL102">
        <f t="shared" si="1150"/>
        <v>0.30443058746321805</v>
      </c>
      <c r="HM102">
        <f t="shared" si="1150"/>
        <v>0.30328641941589829</v>
      </c>
      <c r="HN102">
        <f t="shared" si="1150"/>
        <v>0.30215655346916998</v>
      </c>
      <c r="HO102">
        <f t="shared" si="1150"/>
        <v>0.30104081084677581</v>
      </c>
      <c r="HP102">
        <f t="shared" si="1150"/>
        <v>0.29993901500716152</v>
      </c>
      <c r="HQ102">
        <f t="shared" si="1150"/>
        <v>0.29885099161554241</v>
      </c>
      <c r="HR102">
        <f t="shared" si="1150"/>
        <v>0.29777656851631856</v>
      </c>
      <c r="HS102">
        <f t="shared" si="1150"/>
        <v>0.29671557570583507</v>
      </c>
      <c r="HT102">
        <f t="shared" si="1150"/>
        <v>0.29566784530548257</v>
      </c>
      <c r="HU102">
        <f t="shared" si="1150"/>
        <v>0.29463321153513444</v>
      </c>
      <c r="HV102">
        <f t="shared" si="1150"/>
        <v>0.29361151068691566</v>
      </c>
      <c r="HW102">
        <f t="shared" si="1150"/>
        <v>0.29260258109929965</v>
      </c>
      <c r="HX102">
        <f t="shared" si="1150"/>
        <v>0.29160626313152882</v>
      </c>
      <c r="HY102">
        <f t="shared" si="1150"/>
        <v>0.29062239913835514</v>
      </c>
      <c r="HZ102">
        <f t="shared" si="1150"/>
        <v>0.28965083344509612</v>
      </c>
      <c r="IA102">
        <f t="shared" si="1150"/>
        <v>0.28869141232300283</v>
      </c>
      <c r="IB102">
        <f t="shared" si="1150"/>
        <v>0.28774398396493572</v>
      </c>
      <c r="IC102">
        <f t="shared" si="1150"/>
        <v>0.28680839846134448</v>
      </c>
      <c r="ID102">
        <f t="shared" si="1150"/>
        <v>0.28588450777654806</v>
      </c>
      <c r="IE102">
        <f t="shared" si="1150"/>
        <v>0.28497216572531164</v>
      </c>
      <c r="IF102">
        <f t="shared" si="1150"/>
        <v>0.28407122794971568</v>
      </c>
      <c r="IG102">
        <f t="shared" si="1150"/>
        <v>0.28318155189631466</v>
      </c>
      <c r="IH102">
        <f t="shared" si="1150"/>
        <v>0.28230299679358117</v>
      </c>
      <c r="II102">
        <f t="shared" si="1150"/>
        <v>0.28143542362963186</v>
      </c>
      <c r="IJ102">
        <f t="shared" si="1150"/>
        <v>0.28057869513023187</v>
      </c>
      <c r="IK102">
        <f t="shared" si="1150"/>
        <v>0.27973267573707444</v>
      </c>
      <c r="IL102">
        <f t="shared" si="1150"/>
        <v>0.2788972315863314</v>
      </c>
      <c r="IM102">
        <f t="shared" si="1150"/>
        <v>0.27807223048747265</v>
      </c>
      <c r="IN102">
        <f t="shared" si="1150"/>
        <v>0.27725754190234969</v>
      </c>
      <c r="IO102">
        <f t="shared" si="1150"/>
        <v>0.27645303692454076</v>
      </c>
      <c r="IP102">
        <f t="shared" si="1150"/>
        <v>0.2756585882589544</v>
      </c>
      <c r="IQ102">
        <f t="shared" si="1150"/>
        <v>0.27487407020168791</v>
      </c>
      <c r="IR102">
        <f t="shared" si="1150"/>
        <v>0.27409935862013723</v>
      </c>
      <c r="IS102">
        <f t="shared" si="1150"/>
        <v>0.27333433093335596</v>
      </c>
      <c r="IT102">
        <f t="shared" si="1150"/>
        <v>0.27257886609265947</v>
      </c>
      <c r="IU102">
        <f t="shared" si="1150"/>
        <v>0.27183284456247164</v>
      </c>
      <c r="IV102">
        <f t="shared" si="1150"/>
        <v>0.27109614830141121</v>
      </c>
    </row>
    <row r="103" spans="1:256" x14ac:dyDescent="0.2">
      <c r="A103" t="s">
        <v>574</v>
      </c>
      <c r="B103">
        <v>0.69426445007324222</v>
      </c>
      <c r="C103">
        <f t="shared" ref="C103:BN103" si="1151">C18/$B$120</f>
        <v>0.988345544976171</v>
      </c>
      <c r="D103">
        <f t="shared" si="1151"/>
        <v>0.99399589232763186</v>
      </c>
      <c r="E103">
        <f t="shared" si="1151"/>
        <v>0.99957561033719944</v>
      </c>
      <c r="F103">
        <f t="shared" si="1151"/>
        <v>1.0050855818716473</v>
      </c>
      <c r="G103">
        <f t="shared" si="1151"/>
        <v>1.0105266787619147</v>
      </c>
      <c r="H103">
        <f t="shared" si="1151"/>
        <v>1.0158997619410537</v>
      </c>
      <c r="I103">
        <f t="shared" si="1151"/>
        <v>1.0212056815804536</v>
      </c>
      <c r="J103">
        <f t="shared" si="1151"/>
        <v>1.0264452772243606</v>
      </c>
      <c r="K103">
        <f t="shared" si="1151"/>
        <v>1.0160688097255395</v>
      </c>
      <c r="L103">
        <f t="shared" si="1151"/>
        <v>1.0058154156834476</v>
      </c>
      <c r="M103">
        <f t="shared" si="1151"/>
        <v>0.9956822541455953</v>
      </c>
      <c r="N103">
        <f t="shared" si="1151"/>
        <v>0.98566659190409356</v>
      </c>
      <c r="O103">
        <f t="shared" si="1151"/>
        <v>0.97576579889975423</v>
      </c>
      <c r="P103">
        <f t="shared" si="1151"/>
        <v>0.96597734382452971</v>
      </c>
      <c r="Q103">
        <f t="shared" si="1151"/>
        <v>0.95629878991436412</v>
      </c>
      <c r="R103">
        <f t="shared" si="1151"/>
        <v>0.94672779092488657</v>
      </c>
      <c r="S103">
        <f t="shared" si="1151"/>
        <v>0.93816264908519975</v>
      </c>
      <c r="T103">
        <f t="shared" si="1151"/>
        <v>0.92968700008956373</v>
      </c>
      <c r="U103">
        <f t="shared" si="1151"/>
        <v>0.92129771469610111</v>
      </c>
      <c r="V103">
        <f t="shared" si="1151"/>
        <v>0.91299183390797212</v>
      </c>
      <c r="W103">
        <f t="shared" si="1151"/>
        <v>0.90476655986304344</v>
      </c>
      <c r="X103">
        <f t="shared" si="1151"/>
        <v>0.89661924729813725</v>
      </c>
      <c r="Y103">
        <f t="shared" si="1151"/>
        <v>0.88854739554555084</v>
      </c>
      <c r="Z103">
        <f t="shared" si="1151"/>
        <v>0.88054864102268293</v>
      </c>
      <c r="AA103">
        <f t="shared" si="1151"/>
        <v>0.87569971734713492</v>
      </c>
      <c r="AB103">
        <f t="shared" si="1151"/>
        <v>0.8709544902680405</v>
      </c>
      <c r="AC103">
        <f t="shared" si="1151"/>
        <v>0.8663110989784707</v>
      </c>
      <c r="AD103">
        <f t="shared" si="1151"/>
        <v>0.86176774186475813</v>
      </c>
      <c r="AE103">
        <f t="shared" si="1151"/>
        <v>0.85732267033100695</v>
      </c>
      <c r="AF103">
        <f t="shared" si="1151"/>
        <v>0.85297418321696628</v>
      </c>
      <c r="AG103">
        <f t="shared" si="1151"/>
        <v>0.84872062176153551</v>
      </c>
      <c r="AH103">
        <f t="shared" si="1151"/>
        <v>0.84456036506757781</v>
      </c>
      <c r="AI103">
        <f t="shared" si="1151"/>
        <v>0.8468354678396065</v>
      </c>
      <c r="AJ103">
        <f t="shared" si="1151"/>
        <v>0.84914630215720788</v>
      </c>
      <c r="AK103">
        <f t="shared" si="1151"/>
        <v>0.85149405308579962</v>
      </c>
      <c r="AL103">
        <f t="shared" si="1151"/>
        <v>0.8538799370334389</v>
      </c>
      <c r="AM103">
        <f t="shared" si="1151"/>
        <v>0.85630520201787585</v>
      </c>
      <c r="AN103">
        <f t="shared" si="1151"/>
        <v>0.85877112802257782</v>
      </c>
      <c r="AO103">
        <f t="shared" si="1151"/>
        <v>0.86127902743416773</v>
      </c>
      <c r="AP103">
        <f t="shared" si="1151"/>
        <v>0.86383024555548504</v>
      </c>
      <c r="AQ103">
        <f t="shared" si="1151"/>
        <v>0.85496157381405791</v>
      </c>
      <c r="AR103">
        <f t="shared" si="1151"/>
        <v>0.84623422951857574</v>
      </c>
      <c r="AS103">
        <f t="shared" si="1151"/>
        <v>0.83764704334138629</v>
      </c>
      <c r="AT103">
        <f t="shared" si="1151"/>
        <v>0.82919885959989159</v>
      </c>
      <c r="AU103">
        <f t="shared" si="1151"/>
        <v>0.8208885364343369</v>
      </c>
      <c r="AV103">
        <f t="shared" si="1151"/>
        <v>0.81271494599264005</v>
      </c>
      <c r="AW103">
        <f t="shared" si="1151"/>
        <v>0.80467697462110377</v>
      </c>
      <c r="AX103">
        <f t="shared" si="1151"/>
        <v>0.79677352305997184</v>
      </c>
      <c r="AY103">
        <f t="shared" si="1151"/>
        <v>0.78900350664292429</v>
      </c>
      <c r="AZ103">
        <f t="shared" si="1151"/>
        <v>0.78133840471290728</v>
      </c>
      <c r="BA103">
        <f t="shared" si="1151"/>
        <v>0.77377905299282101</v>
      </c>
      <c r="BB103">
        <f t="shared" si="1151"/>
        <v>0.76632638340803683</v>
      </c>
      <c r="BC103">
        <f t="shared" si="1151"/>
        <v>0.75898143467509804</v>
      </c>
      <c r="BD103">
        <f t="shared" si="1151"/>
        <v>0.75174536418831128</v>
      </c>
      <c r="BE103">
        <f t="shared" si="1151"/>
        <v>0.74461946137950885</v>
      </c>
      <c r="BF103">
        <f t="shared" si="1151"/>
        <v>0.73760516275651389</v>
      </c>
      <c r="BG103">
        <f t="shared" si="1151"/>
        <v>0.73070406886155526</v>
      </c>
      <c r="BH103">
        <f t="shared" si="1151"/>
        <v>0.72391796343321313</v>
      </c>
      <c r="BI103">
        <f t="shared" si="1151"/>
        <v>0.7172488351058578</v>
      </c>
      <c r="BJ103">
        <f t="shared" si="1151"/>
        <v>0.7106989020407295</v>
      </c>
      <c r="BK103">
        <f t="shared" si="1151"/>
        <v>0.70427061086317355</v>
      </c>
      <c r="BL103">
        <f t="shared" si="1151"/>
        <v>0.69796660187360138</v>
      </c>
      <c r="BM103">
        <f t="shared" si="1151"/>
        <v>0.69178973331405602</v>
      </c>
      <c r="BN103">
        <f t="shared" si="1151"/>
        <v>0.68574310811583283</v>
      </c>
      <c r="BO103">
        <f t="shared" ref="BO103:DZ103" si="1152">BO18/$B$120</f>
        <v>0.67982898074890519</v>
      </c>
      <c r="BP103">
        <f t="shared" si="1152"/>
        <v>0.67404839938505567</v>
      </c>
      <c r="BQ103">
        <f t="shared" si="1152"/>
        <v>0.66840251312157628</v>
      </c>
      <c r="BR103">
        <f t="shared" si="1152"/>
        <v>0.66289257664046342</v>
      </c>
      <c r="BS103">
        <f t="shared" si="1152"/>
        <v>0.6575199553261476</v>
      </c>
      <c r="BT103">
        <f t="shared" si="1152"/>
        <v>0.65228579806015108</v>
      </c>
      <c r="BU103">
        <f t="shared" si="1152"/>
        <v>0.64718959595483594</v>
      </c>
      <c r="BV103">
        <f t="shared" si="1152"/>
        <v>0.64223090970622465</v>
      </c>
      <c r="BW103">
        <f t="shared" si="1152"/>
        <v>0.63740936431721396</v>
      </c>
      <c r="BX103">
        <f t="shared" si="1152"/>
        <v>0.63272464603854006</v>
      </c>
      <c r="BY103">
        <f t="shared" si="1152"/>
        <v>0.6281765024423076</v>
      </c>
      <c r="BZ103">
        <f t="shared" si="1152"/>
        <v>0.62376474252655534</v>
      </c>
      <c r="CA103">
        <f t="shared" si="1152"/>
        <v>0.61948923685317248</v>
      </c>
      <c r="CB103">
        <f t="shared" si="1152"/>
        <v>0.61534991772160341</v>
      </c>
      <c r="CC103">
        <f t="shared" si="1152"/>
        <v>0.61134677938090942</v>
      </c>
      <c r="CD103">
        <f t="shared" si="1152"/>
        <v>0.60747987828289651</v>
      </c>
      <c r="CE103">
        <f t="shared" si="1152"/>
        <v>0.60374933337916381</v>
      </c>
      <c r="CF103">
        <f t="shared" si="1152"/>
        <v>0.60015532646508096</v>
      </c>
      <c r="CG103">
        <f t="shared" si="1152"/>
        <v>0.5966981025738578</v>
      </c>
      <c r="CH103">
        <f t="shared" si="1152"/>
        <v>0.5933779704240304</v>
      </c>
      <c r="CI103">
        <f t="shared" si="1152"/>
        <v>0.5901953029238497</v>
      </c>
      <c r="CJ103">
        <f t="shared" si="1152"/>
        <v>0.58715053773622738</v>
      </c>
      <c r="CK103">
        <f t="shared" si="1152"/>
        <v>0.58424417790805439</v>
      </c>
      <c r="CL103">
        <f t="shared" si="1152"/>
        <v>0.58147679256788098</v>
      </c>
      <c r="CM103">
        <f t="shared" si="1152"/>
        <v>0.57884901769611286</v>
      </c>
      <c r="CN103">
        <f t="shared" si="1152"/>
        <v>0.57636155697204583</v>
      </c>
      <c r="CO103">
        <f t="shared" si="1152"/>
        <v>0.57401518270223317</v>
      </c>
      <c r="CP103">
        <f t="shared" si="1152"/>
        <v>0.57181017330346695</v>
      </c>
      <c r="CQ103">
        <f t="shared" si="1152"/>
        <v>0.56974665661946899</v>
      </c>
      <c r="CR103">
        <f t="shared" si="1152"/>
        <v>0.56782482203443096</v>
      </c>
      <c r="CS103">
        <f t="shared" si="1152"/>
        <v>0.56604492136318274</v>
      </c>
      <c r="CT103">
        <f t="shared" si="1152"/>
        <v>0.56440726977830513</v>
      </c>
      <c r="CU103">
        <f t="shared" si="1152"/>
        <v>0.5629122467796136</v>
      </c>
      <c r="CV103">
        <f t="shared" si="1152"/>
        <v>0.56156029721133338</v>
      </c>
      <c r="CW103">
        <f t="shared" si="1152"/>
        <v>0.56035193233217606</v>
      </c>
      <c r="CX103">
        <f t="shared" si="1152"/>
        <v>0.55928773094343098</v>
      </c>
      <c r="CY103">
        <f t="shared" si="1152"/>
        <v>0.55836833887832726</v>
      </c>
      <c r="CZ103">
        <f t="shared" si="1152"/>
        <v>0.5575944685373122</v>
      </c>
      <c r="DA103">
        <f t="shared" si="1152"/>
        <v>0.55696689982168612</v>
      </c>
      <c r="DB103">
        <f t="shared" si="1152"/>
        <v>0.55648648112804422</v>
      </c>
      <c r="DC103">
        <f t="shared" si="1152"/>
        <v>0.55615413040767692</v>
      </c>
      <c r="DD103">
        <f t="shared" si="1152"/>
        <v>0.55597083629492938</v>
      </c>
      <c r="DE103">
        <f t="shared" si="1152"/>
        <v>0.55593765930838379</v>
      </c>
      <c r="DF103">
        <f t="shared" si="1152"/>
        <v>0.55605573312859646</v>
      </c>
      <c r="DG103">
        <f t="shared" si="1152"/>
        <v>0.55632626595599155</v>
      </c>
      <c r="DH103">
        <f t="shared" si="1152"/>
        <v>0.55675054195239937</v>
      </c>
      <c r="DI103">
        <f t="shared" si="1152"/>
        <v>0.55732992276961479</v>
      </c>
      <c r="DJ103">
        <f t="shared" si="1152"/>
        <v>0.55806584916825264</v>
      </c>
      <c r="DK103">
        <f t="shared" si="1152"/>
        <v>0.55895984273008492</v>
      </c>
      <c r="DL103">
        <f t="shared" si="1152"/>
        <v>0.56001350766696645</v>
      </c>
      <c r="DM103">
        <f t="shared" si="1152"/>
        <v>0.56122853272938322</v>
      </c>
      <c r="DN103">
        <f t="shared" si="1152"/>
        <v>0.56260669321760171</v>
      </c>
      <c r="DO103">
        <f t="shared" si="1152"/>
        <v>0.56414985309834886</v>
      </c>
      <c r="DP103">
        <f t="shared" si="1152"/>
        <v>0.5658599672299186</v>
      </c>
      <c r="DQ103">
        <f t="shared" si="1152"/>
        <v>0.56773908369857506</v>
      </c>
      <c r="DR103">
        <f t="shared" si="1152"/>
        <v>0.56978934626911593</v>
      </c>
      <c r="DS103">
        <f t="shared" si="1152"/>
        <v>0.57201299695245655</v>
      </c>
      <c r="DT103">
        <f t="shared" si="1152"/>
        <v>0.57441237869311246</v>
      </c>
      <c r="DU103">
        <f t="shared" si="1152"/>
        <v>0.5769899381794853</v>
      </c>
      <c r="DV103">
        <f t="shared" si="1152"/>
        <v>0.57974822877989329</v>
      </c>
      <c r="DW103">
        <f t="shared" si="1152"/>
        <v>0.58268991360734512</v>
      </c>
      <c r="DX103">
        <f t="shared" si="1152"/>
        <v>0.58581776871611724</v>
      </c>
      <c r="DY103">
        <f t="shared" si="1152"/>
        <v>0.58913468643327604</v>
      </c>
      <c r="DZ103">
        <f t="shared" si="1152"/>
        <v>0.59264367882837532</v>
      </c>
      <c r="EA103">
        <f t="shared" ref="EA103:GL103" si="1153">EA18/$B$120</f>
        <v>0.59634788132466532</v>
      </c>
      <c r="EB103">
        <f t="shared" si="1153"/>
        <v>0.60025055645526582</v>
      </c>
      <c r="EC103">
        <f t="shared" si="1153"/>
        <v>0.60435509776788476</v>
      </c>
      <c r="ED103">
        <f t="shared" si="1153"/>
        <v>0.60866503388180682</v>
      </c>
      <c r="EE103">
        <f t="shared" si="1153"/>
        <v>0.61318403270103194</v>
      </c>
      <c r="EF103">
        <f t="shared" si="1153"/>
        <v>0.61791025302269897</v>
      </c>
      <c r="EG103">
        <f t="shared" si="1153"/>
        <v>0.62284157813900387</v>
      </c>
      <c r="EH103">
        <f t="shared" si="1153"/>
        <v>0.62797585318999061</v>
      </c>
      <c r="EI103">
        <f t="shared" si="1153"/>
        <v>0.63331088680152159</v>
      </c>
      <c r="EJ103">
        <f t="shared" si="1153"/>
        <v>0.63884445271151502</v>
      </c>
      <c r="EK103">
        <f t="shared" si="1153"/>
        <v>0.64457429138313171</v>
      </c>
      <c r="EL103">
        <f t="shared" si="1153"/>
        <v>0.65049811160366822</v>
      </c>
      <c r="EM103">
        <f t="shared" si="1153"/>
        <v>0.65661359206799397</v>
      </c>
      <c r="EN103">
        <f t="shared" si="1153"/>
        <v>0.66291838294544359</v>
      </c>
      <c r="EO103">
        <f t="shared" si="1153"/>
        <v>0.6694101074291442</v>
      </c>
      <c r="EP103">
        <f t="shared" si="1153"/>
        <v>0.67608636326683191</v>
      </c>
      <c r="EQ103">
        <f t="shared" si="1153"/>
        <v>0.68294472427227426</v>
      </c>
      <c r="ER103">
        <f t="shared" si="1153"/>
        <v>0.68998274181648245</v>
      </c>
      <c r="ES103">
        <f t="shared" si="1153"/>
        <v>0.69719794629795906</v>
      </c>
      <c r="ET103">
        <f t="shared" si="1153"/>
        <v>0.70458784859128676</v>
      </c>
      <c r="EU103">
        <f t="shared" si="1153"/>
        <v>0.71214994147342092</v>
      </c>
      <c r="EV103">
        <f t="shared" si="1153"/>
        <v>0.71988170102710569</v>
      </c>
      <c r="EW103">
        <f t="shared" si="1153"/>
        <v>0.72778058802088652</v>
      </c>
      <c r="EX103">
        <f t="shared" si="1153"/>
        <v>0.73584404926524183</v>
      </c>
      <c r="EY103">
        <f t="shared" si="1153"/>
        <v>0.74406951894440854</v>
      </c>
      <c r="EZ103">
        <f t="shared" si="1153"/>
        <v>0.75245441992352113</v>
      </c>
      <c r="FA103">
        <f t="shared" si="1153"/>
        <v>0.76099616503072987</v>
      </c>
      <c r="FB103">
        <f t="shared" si="1153"/>
        <v>0.76948837963150862</v>
      </c>
      <c r="FC103">
        <f t="shared" si="1153"/>
        <v>0.7778744415497777</v>
      </c>
      <c r="FD103">
        <f t="shared" si="1153"/>
        <v>0.78615567769406847</v>
      </c>
      <c r="FE103">
        <f t="shared" si="1153"/>
        <v>0.79433339838655548</v>
      </c>
      <c r="FF103">
        <f t="shared" si="1153"/>
        <v>0.80240889757038647</v>
      </c>
      <c r="FG103">
        <f t="shared" si="1153"/>
        <v>0.81038345301441961</v>
      </c>
      <c r="FH103">
        <f t="shared" si="1153"/>
        <v>0.81825832651540231</v>
      </c>
      <c r="FI103">
        <f t="shared" si="1153"/>
        <v>0.82603476409762278</v>
      </c>
      <c r="FJ103">
        <f t="shared" si="1153"/>
        <v>0.83371399621006559</v>
      </c>
      <c r="FK103">
        <f t="shared" si="1153"/>
        <v>0.84129723792110267</v>
      </c>
      <c r="FL103">
        <f t="shared" si="1153"/>
        <v>0.84878568911075181</v>
      </c>
      <c r="FM103">
        <f t="shared" si="1153"/>
        <v>0.85618053466053035</v>
      </c>
      <c r="FN103">
        <f t="shared" si="1153"/>
        <v>0.86348294464093667</v>
      </c>
      <c r="FO103">
        <f t="shared" si="1153"/>
        <v>0.87069407449658787</v>
      </c>
      <c r="FP103">
        <f t="shared" si="1153"/>
        <v>0.8778150652290434</v>
      </c>
      <c r="FQ103">
        <f t="shared" si="1153"/>
        <v>0.88484704357734323</v>
      </c>
      <c r="FR103">
        <f t="shared" si="1153"/>
        <v>0.89179112219628953</v>
      </c>
      <c r="FS103">
        <f t="shared" si="1153"/>
        <v>0.89864839983249889</v>
      </c>
      <c r="FT103">
        <f t="shared" si="1153"/>
        <v>0.90541996149825565</v>
      </c>
      <c r="FU103">
        <f t="shared" si="1153"/>
        <v>0.91210687864319051</v>
      </c>
      <c r="FV103">
        <f t="shared" si="1153"/>
        <v>0.91871020932381364</v>
      </c>
      <c r="FW103">
        <f t="shared" si="1153"/>
        <v>0.92523099837092881</v>
      </c>
      <c r="FX103">
        <f t="shared" si="1153"/>
        <v>0.93167027755495513</v>
      </c>
      <c r="FY103">
        <f t="shared" si="1153"/>
        <v>0.93802906574918121</v>
      </c>
      <c r="FZ103">
        <f t="shared" si="1153"/>
        <v>0.94430836909097926</v>
      </c>
      <c r="GA103">
        <f t="shared" si="1153"/>
        <v>0.95050918114100502</v>
      </c>
      <c r="GB103">
        <f t="shared" si="1153"/>
        <v>0.95663248304040549</v>
      </c>
      <c r="GC103">
        <f t="shared" si="1153"/>
        <v>0.96267924366606328</v>
      </c>
      <c r="GD103">
        <f t="shared" si="1153"/>
        <v>0.96865041978390043</v>
      </c>
      <c r="GE103">
        <f t="shared" si="1153"/>
        <v>0.97454695620026466</v>
      </c>
      <c r="GF103">
        <f t="shared" si="1153"/>
        <v>0.98036978591142432</v>
      </c>
      <c r="GG103">
        <f t="shared" si="1153"/>
        <v>0.98611983025119454</v>
      </c>
      <c r="GH103">
        <f t="shared" si="1153"/>
        <v>0.9917979990367175</v>
      </c>
      <c r="GI103">
        <f t="shared" si="1153"/>
        <v>0.99740519071242151</v>
      </c>
      <c r="GJ103">
        <f t="shared" si="1153"/>
        <v>1.0029422924921791</v>
      </c>
      <c r="GK103">
        <f t="shared" si="1153"/>
        <v>1.0084101804996899</v>
      </c>
      <c r="GL103">
        <f t="shared" si="1153"/>
        <v>1.0138097199071068</v>
      </c>
      <c r="GM103">
        <f t="shared" ref="GM103:IV103" si="1154">GM18/$B$120</f>
        <v>1.0191417650719308</v>
      </c>
      <c r="GN103">
        <f t="shared" si="1154"/>
        <v>1.0244071596721946</v>
      </c>
      <c r="GO103">
        <f t="shared" si="1154"/>
        <v>1.0296067368399553</v>
      </c>
      <c r="GP103">
        <f t="shared" si="1154"/>
        <v>1.0347413192931187</v>
      </c>
      <c r="GQ103">
        <f t="shared" si="1154"/>
        <v>1.0398117194656178</v>
      </c>
      <c r="GR103">
        <f t="shared" si="1154"/>
        <v>1.0448187396359605</v>
      </c>
      <c r="GS103">
        <f t="shared" si="1154"/>
        <v>1.049763172054174</v>
      </c>
      <c r="GT103">
        <f t="shared" si="1154"/>
        <v>1.0546457990671598</v>
      </c>
      <c r="GU103">
        <f t="shared" si="1154"/>
        <v>1.0594673932424832</v>
      </c>
      <c r="GV103">
        <f t="shared" si="1154"/>
        <v>1.0642287174906151</v>
      </c>
      <c r="GW103">
        <f t="shared" si="1154"/>
        <v>1.0689305251856454</v>
      </c>
      <c r="GX103">
        <f t="shared" si="1154"/>
        <v>1.0735735602844878</v>
      </c>
      <c r="GY103">
        <f t="shared" si="1154"/>
        <v>1.0781585574445947</v>
      </c>
      <c r="GZ103">
        <f t="shared" si="1154"/>
        <v>1.0826862421402002</v>
      </c>
      <c r="HA103">
        <f t="shared" si="1154"/>
        <v>1.0871573307771107</v>
      </c>
      <c r="HB103">
        <f t="shared" si="1154"/>
        <v>1.0915725308060598</v>
      </c>
      <c r="HC103">
        <f t="shared" si="1154"/>
        <v>1.095932540834647</v>
      </c>
      <c r="HD103">
        <f t="shared" si="1154"/>
        <v>1.1002380507378768</v>
      </c>
      <c r="HE103">
        <f t="shared" si="1154"/>
        <v>1.1044897417673163</v>
      </c>
      <c r="HF103">
        <f t="shared" si="1154"/>
        <v>1.1086882866588879</v>
      </c>
      <c r="HG103">
        <f t="shared" si="1154"/>
        <v>1.1128343497393147</v>
      </c>
      <c r="HH103">
        <f t="shared" si="1154"/>
        <v>1.1169285870312362</v>
      </c>
      <c r="HI103">
        <f t="shared" si="1154"/>
        <v>1.1209716463570087</v>
      </c>
      <c r="HJ103">
        <f t="shared" si="1154"/>
        <v>1.124964167441209</v>
      </c>
      <c r="HK103">
        <f t="shared" si="1154"/>
        <v>1.1289067820118568</v>
      </c>
      <c r="HL103">
        <f t="shared" si="1154"/>
        <v>1.1328001139003716</v>
      </c>
      <c r="HM103">
        <f t="shared" si="1154"/>
        <v>1.1366447791402798</v>
      </c>
      <c r="HN103">
        <f t="shared" si="1154"/>
        <v>1.1404413860646894</v>
      </c>
      <c r="HO103">
        <f t="shared" si="1154"/>
        <v>1.1441905354025437</v>
      </c>
      <c r="HP103">
        <f t="shared" si="1154"/>
        <v>1.1478928203736749</v>
      </c>
      <c r="HQ103">
        <f t="shared" si="1154"/>
        <v>1.1515488267826668</v>
      </c>
      <c r="HR103">
        <f t="shared" si="1154"/>
        <v>1.1551591331115465</v>
      </c>
      <c r="HS103">
        <f t="shared" si="1154"/>
        <v>1.1587243106113152</v>
      </c>
      <c r="HT103">
        <f t="shared" si="1154"/>
        <v>1.1622449233923366</v>
      </c>
      <c r="HU103">
        <f t="shared" si="1154"/>
        <v>1.1657215285135953</v>
      </c>
      <c r="HV103">
        <f t="shared" si="1154"/>
        <v>1.1691546760708385</v>
      </c>
      <c r="HW103">
        <f t="shared" si="1154"/>
        <v>1.1725449092836158</v>
      </c>
      <c r="HX103">
        <f t="shared" si="1154"/>
        <v>1.1758927645812336</v>
      </c>
      <c r="HY103">
        <f t="shared" si="1154"/>
        <v>1.1791987716876311</v>
      </c>
      <c r="HZ103">
        <f t="shared" si="1154"/>
        <v>1.1824634537051988</v>
      </c>
      <c r="IA103">
        <f t="shared" si="1154"/>
        <v>1.1856873271975465</v>
      </c>
      <c r="IB103">
        <f t="shared" si="1154"/>
        <v>1.1888709022712403</v>
      </c>
      <c r="IC103">
        <f t="shared" si="1154"/>
        <v>1.1920146826565128</v>
      </c>
      <c r="ID103">
        <f t="shared" si="1154"/>
        <v>1.1951191657869693</v>
      </c>
      <c r="IE103">
        <f t="shared" si="1154"/>
        <v>1.1981848428782951</v>
      </c>
      <c r="IF103">
        <f t="shared" si="1154"/>
        <v>1.2012121990059794</v>
      </c>
      <c r="IG103">
        <f t="shared" si="1154"/>
        <v>1.2042017131820677</v>
      </c>
      <c r="IH103">
        <f t="shared" si="1154"/>
        <v>1.2071538584309547</v>
      </c>
      <c r="II103">
        <f t="shared" si="1154"/>
        <v>1.2100691018642307</v>
      </c>
      <c r="IJ103">
        <f t="shared" si="1154"/>
        <v>1.2129479047545908</v>
      </c>
      <c r="IK103">
        <f t="shared" si="1154"/>
        <v>1.2157907226088214</v>
      </c>
      <c r="IL103">
        <f t="shared" si="1154"/>
        <v>1.2185980052398742</v>
      </c>
      <c r="IM103">
        <f t="shared" si="1154"/>
        <v>1.2213701968380386</v>
      </c>
      <c r="IN103">
        <f t="shared" si="1154"/>
        <v>1.2241077360412262</v>
      </c>
      <c r="IO103">
        <f t="shared" si="1154"/>
        <v>1.2268110560043739</v>
      </c>
      <c r="IP103">
        <f t="shared" si="1154"/>
        <v>1.2294805844679821</v>
      </c>
      <c r="IQ103">
        <f t="shared" si="1154"/>
        <v>1.2321167438257954</v>
      </c>
      <c r="IR103">
        <f t="shared" si="1154"/>
        <v>1.2347199511916358</v>
      </c>
      <c r="IS103">
        <f t="shared" si="1154"/>
        <v>1.2372906184654033</v>
      </c>
      <c r="IT103">
        <f t="shared" si="1154"/>
        <v>1.2398291523982488</v>
      </c>
      <c r="IU103">
        <f t="shared" si="1154"/>
        <v>1.2423359546569337</v>
      </c>
      <c r="IV103">
        <f t="shared" si="1154"/>
        <v>1.2448114218873849</v>
      </c>
    </row>
    <row r="104" spans="1:256" x14ac:dyDescent="0.2">
      <c r="A104" t="s">
        <v>575</v>
      </c>
      <c r="B104">
        <v>0.51738662719726558</v>
      </c>
      <c r="C104">
        <f t="shared" ref="C104:BN104" si="1155">C19/$B$121</f>
        <v>0.99880944035020669</v>
      </c>
      <c r="D104">
        <f t="shared" si="1155"/>
        <v>0.99763376269603588</v>
      </c>
      <c r="E104">
        <f t="shared" si="1155"/>
        <v>0.99647278101254211</v>
      </c>
      <c r="F104">
        <f t="shared" si="1155"/>
        <v>0.99532631160009222</v>
      </c>
      <c r="G104">
        <f t="shared" si="1155"/>
        <v>0.99419417305529778</v>
      </c>
      <c r="H104">
        <f t="shared" si="1155"/>
        <v>0.99307618624231342</v>
      </c>
      <c r="I104">
        <f t="shared" si="1155"/>
        <v>0.99197217426449136</v>
      </c>
      <c r="J104">
        <f t="shared" si="1155"/>
        <v>0.99088196243639204</v>
      </c>
      <c r="K104">
        <f t="shared" si="1155"/>
        <v>1.0011148186063505</v>
      </c>
      <c r="L104">
        <f t="shared" si="1155"/>
        <v>1.0112197640741847</v>
      </c>
      <c r="M104">
        <f t="shared" si="1155"/>
        <v>1.0211983977236709</v>
      </c>
      <c r="N104">
        <f t="shared" si="1155"/>
        <v>1.0310522984525388</v>
      </c>
      <c r="O104">
        <f t="shared" si="1155"/>
        <v>1.0407830254222954</v>
      </c>
      <c r="P104">
        <f t="shared" si="1155"/>
        <v>1.0503921183049303</v>
      </c>
      <c r="Q104">
        <f t="shared" si="1155"/>
        <v>1.0598810975265323</v>
      </c>
      <c r="R104">
        <f t="shared" si="1155"/>
        <v>1.0692514645078639</v>
      </c>
      <c r="S104">
        <f t="shared" si="1155"/>
        <v>1.0583018094282919</v>
      </c>
      <c r="T104">
        <f t="shared" si="1155"/>
        <v>1.0474890250372144</v>
      </c>
      <c r="U104">
        <f t="shared" si="1155"/>
        <v>1.0368114004510254</v>
      </c>
      <c r="V104">
        <f t="shared" si="1155"/>
        <v>1.0262672461721638</v>
      </c>
      <c r="W104">
        <f t="shared" si="1155"/>
        <v>1.0158548938217877</v>
      </c>
      <c r="X104">
        <f t="shared" si="1155"/>
        <v>1.0055726958757913</v>
      </c>
      <c r="Y104">
        <f t="shared" si="1155"/>
        <v>0.99541902540412019</v>
      </c>
      <c r="Z104">
        <f t="shared" si="1155"/>
        <v>0.98539227581334488</v>
      </c>
      <c r="AA104">
        <f t="shared" si="1155"/>
        <v>0.9779068488192304</v>
      </c>
      <c r="AB104">
        <f t="shared" si="1155"/>
        <v>0.97051498966254224</v>
      </c>
      <c r="AC104">
        <f t="shared" si="1155"/>
        <v>0.96321552874531269</v>
      </c>
      <c r="AD104">
        <f t="shared" si="1155"/>
        <v>0.95600731108954851</v>
      </c>
      <c r="AE104">
        <f t="shared" si="1155"/>
        <v>0.94888919615448131</v>
      </c>
      <c r="AF104">
        <f t="shared" si="1155"/>
        <v>0.94186005765610259</v>
      </c>
      <c r="AG104">
        <f t="shared" si="1155"/>
        <v>0.93491878338895351</v>
      </c>
      <c r="AH104">
        <f t="shared" si="1155"/>
        <v>0.92806427505014377</v>
      </c>
      <c r="AI104">
        <f t="shared" si="1155"/>
        <v>0.92896347161201698</v>
      </c>
      <c r="AJ104">
        <f t="shared" si="1155"/>
        <v>0.92985142821686673</v>
      </c>
      <c r="AK104">
        <f t="shared" si="1155"/>
        <v>0.93072828536415586</v>
      </c>
      <c r="AL104">
        <f t="shared" si="1155"/>
        <v>0.93159418179710396</v>
      </c>
      <c r="AM104">
        <f t="shared" si="1155"/>
        <v>0.93244925452464011</v>
      </c>
      <c r="AN104">
        <f t="shared" si="1155"/>
        <v>0.93329363884308214</v>
      </c>
      <c r="AO104">
        <f t="shared" si="1155"/>
        <v>0.93412746835754357</v>
      </c>
      <c r="AP104">
        <f t="shared" si="1155"/>
        <v>0.93495087500307428</v>
      </c>
      <c r="AQ104">
        <f t="shared" si="1155"/>
        <v>0.94742387133329709</v>
      </c>
      <c r="AR104">
        <f t="shared" si="1155"/>
        <v>0.95974095520939207</v>
      </c>
      <c r="AS104">
        <f t="shared" si="1155"/>
        <v>0.97190407553703595</v>
      </c>
      <c r="AT104">
        <f t="shared" si="1155"/>
        <v>0.98391515686058417</v>
      </c>
      <c r="AU104">
        <f t="shared" si="1155"/>
        <v>0.99577609966758818</v>
      </c>
      <c r="AV104">
        <f t="shared" si="1155"/>
        <v>1.0074887806895045</v>
      </c>
      <c r="AW104">
        <f t="shared" si="1155"/>
        <v>1.0190550531986471</v>
      </c>
      <c r="AX104">
        <f t="shared" si="1155"/>
        <v>1.0304767473014251</v>
      </c>
      <c r="AY104">
        <f t="shared" si="1155"/>
        <v>1.0417556684096094</v>
      </c>
      <c r="AZ104">
        <f t="shared" si="1155"/>
        <v>1.0528936030039415</v>
      </c>
      <c r="BA104">
        <f t="shared" si="1155"/>
        <v>1.0638923134158442</v>
      </c>
      <c r="BB104">
        <f t="shared" si="1155"/>
        <v>1.0747535399475985</v>
      </c>
      <c r="BC104">
        <f t="shared" si="1155"/>
        <v>1.0854790011477053</v>
      </c>
      <c r="BD104">
        <f t="shared" si="1155"/>
        <v>1.0960703940828112</v>
      </c>
      <c r="BE104">
        <f t="shared" si="1155"/>
        <v>1.1065293946062282</v>
      </c>
      <c r="BF104">
        <f t="shared" si="1155"/>
        <v>1.1168576576231024</v>
      </c>
      <c r="BG104">
        <f t="shared" si="1155"/>
        <v>1.1270568173522657</v>
      </c>
      <c r="BH104">
        <f t="shared" si="1155"/>
        <v>1.1371284875848144</v>
      </c>
      <c r="BI104">
        <f t="shared" si="1155"/>
        <v>1.1470742619394563</v>
      </c>
      <c r="BJ104">
        <f t="shared" si="1155"/>
        <v>1.156895714114665</v>
      </c>
      <c r="BK104">
        <f t="shared" si="1155"/>
        <v>1.1665943981376838</v>
      </c>
      <c r="BL104">
        <f t="shared" si="1155"/>
        <v>1.1761718486104149</v>
      </c>
      <c r="BM104">
        <f t="shared" si="1155"/>
        <v>1.1856295809522368</v>
      </c>
      <c r="BN104">
        <f t="shared" si="1155"/>
        <v>1.1949690916397859</v>
      </c>
      <c r="BO104">
        <f t="shared" ref="BO104:DZ104" si="1156">BO19/$B$121</f>
        <v>1.2041918584437408</v>
      </c>
      <c r="BP104">
        <f t="shared" si="1156"/>
        <v>1.213299340662646</v>
      </c>
      <c r="BQ104">
        <f t="shared" si="1156"/>
        <v>1.2222929793538151</v>
      </c>
      <c r="BR104">
        <f t="shared" si="1156"/>
        <v>1.2311741975613444</v>
      </c>
      <c r="BS104">
        <f t="shared" si="1156"/>
        <v>1.2399444005412799</v>
      </c>
      <c r="BT104">
        <f t="shared" si="1156"/>
        <v>1.2486049759839659</v>
      </c>
      <c r="BU104">
        <f t="shared" si="1156"/>
        <v>1.2571572942336184</v>
      </c>
      <c r="BV104">
        <f t="shared" si="1156"/>
        <v>1.2656027085051502</v>
      </c>
      <c r="BW104">
        <f t="shared" si="1156"/>
        <v>1.2739425550982877</v>
      </c>
      <c r="BX104">
        <f t="shared" si="1156"/>
        <v>1.2821781536090111</v>
      </c>
      <c r="BY104">
        <f t="shared" si="1156"/>
        <v>1.2903108071383507</v>
      </c>
      <c r="BZ104">
        <f t="shared" si="1156"/>
        <v>1.2983418024985733</v>
      </c>
      <c r="CA104">
        <f t="shared" si="1156"/>
        <v>1.3062724104167933</v>
      </c>
      <c r="CB104">
        <f t="shared" si="1156"/>
        <v>1.3141038857360354</v>
      </c>
      <c r="CC104">
        <f t="shared" si="1156"/>
        <v>1.321837467613787</v>
      </c>
      <c r="CD104">
        <f t="shared" si="1156"/>
        <v>1.3294743797180668</v>
      </c>
      <c r="CE104">
        <f t="shared" si="1156"/>
        <v>1.3370158304210431</v>
      </c>
      <c r="CF104">
        <f t="shared" si="1156"/>
        <v>1.3444630129902322</v>
      </c>
      <c r="CG104">
        <f t="shared" si="1156"/>
        <v>1.3518171057773063</v>
      </c>
      <c r="CH104">
        <f t="shared" si="1156"/>
        <v>1.359079272404542</v>
      </c>
      <c r="CI104">
        <f t="shared" si="1156"/>
        <v>1.3662506619489372</v>
      </c>
      <c r="CJ104">
        <f t="shared" si="1156"/>
        <v>1.3733324091240275</v>
      </c>
      <c r="CK104">
        <f t="shared" si="1156"/>
        <v>1.3803256344594292</v>
      </c>
      <c r="CL104">
        <f t="shared" si="1156"/>
        <v>1.3872314444781386</v>
      </c>
      <c r="CM104">
        <f t="shared" si="1156"/>
        <v>1.3940509318716139</v>
      </c>
      <c r="CN104">
        <f t="shared" si="1156"/>
        <v>1.4007851756726708</v>
      </c>
      <c r="CO104">
        <f t="shared" si="1156"/>
        <v>1.4074352414262143</v>
      </c>
      <c r="CP104">
        <f t="shared" si="1156"/>
        <v>1.4140021813578389</v>
      </c>
      <c r="CQ104">
        <f t="shared" si="1156"/>
        <v>1.420487034540318</v>
      </c>
      <c r="CR104">
        <f t="shared" si="1156"/>
        <v>1.4268908270580161</v>
      </c>
      <c r="CS104">
        <f t="shared" si="1156"/>
        <v>1.4332145721692429</v>
      </c>
      <c r="CT104">
        <f t="shared" si="1156"/>
        <v>1.4394592704665794</v>
      </c>
      <c r="CU104">
        <f t="shared" si="1156"/>
        <v>1.4456259100351994</v>
      </c>
      <c r="CV104">
        <f t="shared" si="1156"/>
        <v>1.4517154666092114</v>
      </c>
      <c r="CW104">
        <f t="shared" si="1156"/>
        <v>1.4577289037260481</v>
      </c>
      <c r="CX104">
        <f t="shared" si="1156"/>
        <v>1.4636671728789248</v>
      </c>
      <c r="CY104">
        <f t="shared" si="1156"/>
        <v>1.4695312136673901</v>
      </c>
      <c r="CZ104">
        <f t="shared" si="1156"/>
        <v>1.4753219539459999</v>
      </c>
      <c r="DA104">
        <f t="shared" si="1156"/>
        <v>1.4810403099711269</v>
      </c>
      <c r="DB104">
        <f t="shared" si="1156"/>
        <v>1.4866871865459399</v>
      </c>
      <c r="DC104">
        <f t="shared" si="1156"/>
        <v>1.4922634771635677</v>
      </c>
      <c r="DD104">
        <f t="shared" si="1156"/>
        <v>1.4977700641484752</v>
      </c>
      <c r="DE104">
        <f t="shared" si="1156"/>
        <v>1.5032078187960713</v>
      </c>
      <c r="DF104">
        <f t="shared" si="1156"/>
        <v>1.5085776015105723</v>
      </c>
      <c r="DG104">
        <f t="shared" si="1156"/>
        <v>1.5138802619411422</v>
      </c>
      <c r="DH104">
        <f t="shared" si="1156"/>
        <v>1.51911663911633</v>
      </c>
      <c r="DI104">
        <f t="shared" si="1156"/>
        <v>1.5242875615768281</v>
      </c>
      <c r="DJ104">
        <f t="shared" si="1156"/>
        <v>1.5293938475065698</v>
      </c>
      <c r="DK104">
        <f t="shared" si="1156"/>
        <v>1.5344363048621898</v>
      </c>
      <c r="DL104">
        <f t="shared" si="1156"/>
        <v>1.5394157315008643</v>
      </c>
      <c r="DM104">
        <f t="shared" si="1156"/>
        <v>1.5443329153065557</v>
      </c>
      <c r="DN104">
        <f t="shared" si="1156"/>
        <v>1.5491886343146759</v>
      </c>
      <c r="DO104">
        <f t="shared" si="1156"/>
        <v>1.5539836568351943</v>
      </c>
      <c r="DP104">
        <f t="shared" si="1156"/>
        <v>1.5587187415742065</v>
      </c>
      <c r="DQ104">
        <f t="shared" si="1156"/>
        <v>1.5633946377539811</v>
      </c>
      <c r="DR104">
        <f t="shared" si="1156"/>
        <v>1.5680120852315083</v>
      </c>
      <c r="DS104">
        <f t="shared" si="1156"/>
        <v>1.5725718146155665</v>
      </c>
      <c r="DT104">
        <f t="shared" si="1156"/>
        <v>1.577074547382324</v>
      </c>
      <c r="DU104">
        <f t="shared" si="1156"/>
        <v>1.5815209959894971</v>
      </c>
      <c r="DV104">
        <f t="shared" si="1156"/>
        <v>1.5859118639890804</v>
      </c>
      <c r="DW104">
        <f t="shared" si="1156"/>
        <v>1.5902478461386691</v>
      </c>
      <c r="DX104">
        <f t="shared" si="1156"/>
        <v>1.5945296285113877</v>
      </c>
      <c r="DY104">
        <f t="shared" si="1156"/>
        <v>1.5987578886044473</v>
      </c>
      <c r="DZ104">
        <f t="shared" si="1156"/>
        <v>1.6029332954463438</v>
      </c>
      <c r="EA104">
        <f t="shared" ref="EA104:GL104" si="1157">EA19/$B$121</f>
        <v>1.6070565097027165</v>
      </c>
      <c r="EB104">
        <f t="shared" si="1157"/>
        <v>1.6111281837808846</v>
      </c>
      <c r="EC104">
        <f t="shared" si="1157"/>
        <v>1.6151489619330757</v>
      </c>
      <c r="ED104">
        <f t="shared" si="1157"/>
        <v>1.6191194803583644</v>
      </c>
      <c r="EE104">
        <f t="shared" si="1157"/>
        <v>1.6230403673033369</v>
      </c>
      <c r="EF104">
        <f t="shared" si="1157"/>
        <v>1.6269122431614971</v>
      </c>
      <c r="EG104">
        <f t="shared" si="1157"/>
        <v>1.6307357205714306</v>
      </c>
      <c r="EH104">
        <f t="shared" si="1157"/>
        <v>1.6345114045137397</v>
      </c>
      <c r="EI104">
        <f t="shared" si="1157"/>
        <v>1.6382398924067698</v>
      </c>
      <c r="EJ104">
        <f t="shared" si="1157"/>
        <v>1.6419217742011374</v>
      </c>
      <c r="EK104">
        <f t="shared" si="1157"/>
        <v>1.6455576324730752</v>
      </c>
      <c r="EL104">
        <f t="shared" si="1157"/>
        <v>1.6491480425166138</v>
      </c>
      <c r="EM104">
        <f t="shared" si="1157"/>
        <v>1.6526935724346081</v>
      </c>
      <c r="EN104">
        <f t="shared" si="1157"/>
        <v>1.6561947832286277</v>
      </c>
      <c r="EO104">
        <f t="shared" si="1157"/>
        <v>1.659652228887722</v>
      </c>
      <c r="EP104">
        <f t="shared" si="1157"/>
        <v>1.6630664564760778</v>
      </c>
      <c r="EQ104">
        <f t="shared" si="1157"/>
        <v>1.6664380062195787</v>
      </c>
      <c r="ER104">
        <f t="shared" si="1157"/>
        <v>1.6697674115912862</v>
      </c>
      <c r="ES104">
        <f t="shared" si="1157"/>
        <v>1.6730551993958471</v>
      </c>
      <c r="ET104">
        <f t="shared" si="1157"/>
        <v>1.6763018898528512</v>
      </c>
      <c r="EU104">
        <f t="shared" si="1157"/>
        <v>1.6795079966791426</v>
      </c>
      <c r="EV104">
        <f t="shared" si="1157"/>
        <v>1.6826740271701055</v>
      </c>
      <c r="EW104">
        <f t="shared" si="1157"/>
        <v>1.6858004822799311</v>
      </c>
      <c r="EX104">
        <f t="shared" si="1157"/>
        <v>1.6888878567008843</v>
      </c>
      <c r="EY104">
        <f t="shared" si="1157"/>
        <v>1.6919366389415753</v>
      </c>
      <c r="EZ104">
        <f t="shared" si="1157"/>
        <v>1.6949473114042577</v>
      </c>
      <c r="FA104">
        <f t="shared" si="1157"/>
        <v>1.6979203504611566</v>
      </c>
      <c r="FB104">
        <f t="shared" si="1157"/>
        <v>1.7008562265298444</v>
      </c>
      <c r="FC104">
        <f t="shared" si="1157"/>
        <v>1.7037554041476732</v>
      </c>
      <c r="FD104">
        <f t="shared" si="1157"/>
        <v>1.7066183420452794</v>
      </c>
      <c r="FE104">
        <f t="shared" si="1157"/>
        <v>1.7094454932191656</v>
      </c>
      <c r="FF104">
        <f t="shared" si="1157"/>
        <v>1.7122373050033781</v>
      </c>
      <c r="FG104">
        <f t="shared" si="1157"/>
        <v>1.714994219140288</v>
      </c>
      <c r="FH104">
        <f t="shared" si="1157"/>
        <v>1.7177166718504864</v>
      </c>
      <c r="FI104">
        <f t="shared" si="1157"/>
        <v>1.7204050939018074</v>
      </c>
      <c r="FJ104">
        <f t="shared" si="1157"/>
        <v>1.7230599106774869</v>
      </c>
      <c r="FK104">
        <f t="shared" si="1157"/>
        <v>1.7256815422434704</v>
      </c>
      <c r="FL104">
        <f t="shared" si="1157"/>
        <v>1.728270403414879</v>
      </c>
      <c r="FM104">
        <f t="shared" si="1157"/>
        <v>1.7308269038216453</v>
      </c>
      <c r="FN104">
        <f t="shared" si="1157"/>
        <v>1.7333514479733267</v>
      </c>
      <c r="FO104">
        <f t="shared" si="1157"/>
        <v>1.7358444353231122</v>
      </c>
      <c r="FP104">
        <f t="shared" si="1157"/>
        <v>1.7383062603310255</v>
      </c>
      <c r="FQ104">
        <f t="shared" si="1157"/>
        <v>1.7407373125263397</v>
      </c>
      <c r="FR104">
        <f t="shared" si="1157"/>
        <v>1.7431379765692125</v>
      </c>
      <c r="FS104">
        <f t="shared" si="1157"/>
        <v>1.7455086323115494</v>
      </c>
      <c r="FT104">
        <f t="shared" si="1157"/>
        <v>1.7478496548571072</v>
      </c>
      <c r="FU104">
        <f t="shared" si="1157"/>
        <v>1.7501614146208455</v>
      </c>
      <c r="FV104">
        <f t="shared" si="1157"/>
        <v>1.7524442773875368</v>
      </c>
      <c r="FW104">
        <f t="shared" si="1157"/>
        <v>1.7546986043696449</v>
      </c>
      <c r="FX104">
        <f t="shared" si="1157"/>
        <v>1.7569247522644764</v>
      </c>
      <c r="FY104">
        <f t="shared" si="1157"/>
        <v>1.7591230733106225</v>
      </c>
      <c r="FZ104">
        <f t="shared" si="1157"/>
        <v>1.761293915343692</v>
      </c>
      <c r="GA104">
        <f t="shared" si="1157"/>
        <v>1.7634376218513479</v>
      </c>
      <c r="GB104">
        <f t="shared" si="1157"/>
        <v>1.7655545320276582</v>
      </c>
      <c r="GC104">
        <f t="shared" si="1157"/>
        <v>1.7676449808267645</v>
      </c>
      <c r="GD104">
        <f t="shared" si="1157"/>
        <v>1.7697092990158818</v>
      </c>
      <c r="GE104">
        <f t="shared" si="1157"/>
        <v>1.7717478132276354</v>
      </c>
      <c r="GF104">
        <f t="shared" si="1157"/>
        <v>1.773760846011742</v>
      </c>
      <c r="GG104">
        <f t="shared" si="1157"/>
        <v>1.7757487158860472</v>
      </c>
      <c r="GH104">
        <f t="shared" si="1157"/>
        <v>1.7777117373869238</v>
      </c>
      <c r="GI104">
        <f t="shared" si="1157"/>
        <v>1.7796502211190393</v>
      </c>
      <c r="GJ104">
        <f t="shared" si="1157"/>
        <v>1.7815644738045033</v>
      </c>
      <c r="GK104">
        <f t="shared" si="1157"/>
        <v>1.7834547983313991</v>
      </c>
      <c r="GL104">
        <f t="shared" si="1157"/>
        <v>1.7853214938017086</v>
      </c>
      <c r="GM104">
        <f t="shared" ref="GM104:IV104" si="1158">GM19/$B$121</f>
        <v>1.7871648555786392</v>
      </c>
      <c r="GN104">
        <f t="shared" si="1158"/>
        <v>1.7889851753333583</v>
      </c>
      <c r="GO104">
        <f t="shared" si="1158"/>
        <v>1.7907827410911437</v>
      </c>
      <c r="GP104">
        <f t="shared" si="1158"/>
        <v>1.7925578372769564</v>
      </c>
      <c r="GQ104">
        <f t="shared" si="1158"/>
        <v>1.7943107447604465</v>
      </c>
      <c r="GR104">
        <f t="shared" si="1158"/>
        <v>1.796041740900393</v>
      </c>
      <c r="GS104">
        <f t="shared" si="1158"/>
        <v>1.7977510995885901</v>
      </c>
      <c r="GT104">
        <f t="shared" si="1158"/>
        <v>1.799439091293185</v>
      </c>
      <c r="GU104">
        <f t="shared" si="1158"/>
        <v>1.8011059831014724</v>
      </c>
      <c r="GV104">
        <f t="shared" si="1158"/>
        <v>1.8027520387621561</v>
      </c>
      <c r="GW104">
        <f t="shared" si="1158"/>
        <v>1.8043775187270812</v>
      </c>
      <c r="GX104">
        <f t="shared" si="1158"/>
        <v>1.8059826801924448</v>
      </c>
      <c r="GY104">
        <f t="shared" si="1158"/>
        <v>1.8075677771394913</v>
      </c>
      <c r="GZ104">
        <f t="shared" si="1158"/>
        <v>1.8091330603746998</v>
      </c>
      <c r="HA104">
        <f t="shared" si="1158"/>
        <v>1.8106787775694682</v>
      </c>
      <c r="HB104">
        <f t="shared" si="1158"/>
        <v>1.8122051732993019</v>
      </c>
      <c r="HC104">
        <f t="shared" si="1158"/>
        <v>1.8137124890825129</v>
      </c>
      <c r="HD104">
        <f t="shared" si="1158"/>
        <v>1.8152009634184334</v>
      </c>
      <c r="HE104">
        <f t="shared" si="1158"/>
        <v>1.8166708318251552</v>
      </c>
      <c r="HF104">
        <f t="shared" si="1158"/>
        <v>1.8181223268767928</v>
      </c>
      <c r="HG104">
        <f t="shared" si="1158"/>
        <v>1.8195556782402849</v>
      </c>
      <c r="HH104">
        <f t="shared" si="1158"/>
        <v>1.8209711127117334</v>
      </c>
      <c r="HI104">
        <f t="shared" si="1158"/>
        <v>1.8223688542522889</v>
      </c>
      <c r="HJ104">
        <f t="shared" si="1158"/>
        <v>1.8237491240235872</v>
      </c>
      <c r="HK104">
        <f t="shared" si="1158"/>
        <v>1.8251121404227444</v>
      </c>
      <c r="HL104">
        <f t="shared" si="1158"/>
        <v>1.8264581191169122</v>
      </c>
      <c r="HM104">
        <f t="shared" si="1158"/>
        <v>1.827787273077403</v>
      </c>
      <c r="HN104">
        <f t="shared" si="1158"/>
        <v>1.8290998126133875</v>
      </c>
      <c r="HO104">
        <f t="shared" si="1158"/>
        <v>1.8303959454051721</v>
      </c>
      <c r="HP104">
        <f t="shared" si="1158"/>
        <v>1.8316758765370595</v>
      </c>
      <c r="HQ104">
        <f t="shared" si="1158"/>
        <v>1.8329398085297985</v>
      </c>
      <c r="HR104">
        <f t="shared" si="1158"/>
        <v>1.8341879413726281</v>
      </c>
      <c r="HS104">
        <f t="shared" si="1158"/>
        <v>1.8354204725549221</v>
      </c>
      <c r="HT104">
        <f t="shared" si="1158"/>
        <v>1.8366375970974378</v>
      </c>
      <c r="HU104">
        <f t="shared" si="1158"/>
        <v>1.8378395075831717</v>
      </c>
      <c r="HV104">
        <f t="shared" si="1158"/>
        <v>1.8390263941878342</v>
      </c>
      <c r="HW104">
        <f t="shared" si="1158"/>
        <v>1.8401984447099384</v>
      </c>
      <c r="HX104">
        <f t="shared" si="1158"/>
        <v>1.8413558446005163</v>
      </c>
      <c r="HY104">
        <f t="shared" si="1158"/>
        <v>1.8424987769924619</v>
      </c>
      <c r="HZ104">
        <f t="shared" si="1158"/>
        <v>1.8436274227295082</v>
      </c>
      <c r="IA104">
        <f t="shared" si="1158"/>
        <v>1.8447419603948414</v>
      </c>
      <c r="IB104">
        <f t="shared" si="1158"/>
        <v>1.8458425663393581</v>
      </c>
      <c r="IC104">
        <f t="shared" si="1158"/>
        <v>1.8469294147095681</v>
      </c>
      <c r="ID104">
        <f t="shared" si="1158"/>
        <v>1.8480026774751506</v>
      </c>
      <c r="IE104">
        <f t="shared" si="1158"/>
        <v>1.8490625244561631</v>
      </c>
      <c r="IF104">
        <f t="shared" si="1158"/>
        <v>1.8501091233499134</v>
      </c>
      <c r="IG104">
        <f t="shared" si="1158"/>
        <v>1.8511426397574915</v>
      </c>
      <c r="IH104">
        <f t="shared" si="1158"/>
        <v>1.852163237209975</v>
      </c>
      <c r="II104">
        <f t="shared" si="1158"/>
        <v>1.8531710771943024</v>
      </c>
      <c r="IJ104">
        <f t="shared" si="1158"/>
        <v>1.8541663191788256</v>
      </c>
      <c r="IK104">
        <f t="shared" si="1158"/>
        <v>1.8551491206385424</v>
      </c>
      <c r="IL104">
        <f t="shared" si="1158"/>
        <v>1.8561196370800126</v>
      </c>
      <c r="IM104">
        <f t="shared" si="1158"/>
        <v>1.8570780220659646</v>
      </c>
      <c r="IN104">
        <f t="shared" si="1158"/>
        <v>1.858024427239592</v>
      </c>
      <c r="IO104">
        <f t="shared" si="1158"/>
        <v>1.8589590023485492</v>
      </c>
      <c r="IP104">
        <f t="shared" si="1158"/>
        <v>1.8598818952686444</v>
      </c>
      <c r="IQ104">
        <f t="shared" si="1158"/>
        <v>1.8607932520272386</v>
      </c>
      <c r="IR104">
        <f t="shared" si="1158"/>
        <v>1.8616932168263503</v>
      </c>
      <c r="IS104">
        <f t="shared" si="1158"/>
        <v>1.8625819320654728</v>
      </c>
      <c r="IT104">
        <f t="shared" si="1158"/>
        <v>1.8634595383641064</v>
      </c>
      <c r="IU104">
        <f t="shared" si="1158"/>
        <v>1.8643261745840072</v>
      </c>
      <c r="IV104">
        <f t="shared" si="1158"/>
        <v>1.8651819778511591</v>
      </c>
    </row>
    <row r="105" spans="1:256" x14ac:dyDescent="0.2">
      <c r="A105" t="s">
        <v>576</v>
      </c>
      <c r="B105">
        <v>0.93385078430175783</v>
      </c>
    </row>
    <row r="106" spans="1:256" x14ac:dyDescent="0.2">
      <c r="A106" t="s">
        <v>577</v>
      </c>
      <c r="B106">
        <v>0.36852024078369139</v>
      </c>
    </row>
    <row r="107" spans="1:256" x14ac:dyDescent="0.2">
      <c r="A107" t="s">
        <v>578</v>
      </c>
      <c r="B107">
        <v>0.55213714599609376</v>
      </c>
    </row>
    <row r="108" spans="1:256" x14ac:dyDescent="0.2">
      <c r="A108" t="s">
        <v>579</v>
      </c>
      <c r="B108">
        <v>0.65300369262695313</v>
      </c>
    </row>
    <row r="109" spans="1:256" x14ac:dyDescent="0.2">
      <c r="A109" t="s">
        <v>580</v>
      </c>
      <c r="B109">
        <v>0.33300739288330078</v>
      </c>
    </row>
    <row r="110" spans="1:256" x14ac:dyDescent="0.2">
      <c r="A110" t="s">
        <v>581</v>
      </c>
      <c r="B110">
        <v>0.7371634674072266</v>
      </c>
    </row>
    <row r="111" spans="1:256" x14ac:dyDescent="0.2">
      <c r="A111" t="s">
        <v>582</v>
      </c>
      <c r="B111">
        <v>0.53973793029785155</v>
      </c>
    </row>
    <row r="112" spans="1:256" x14ac:dyDescent="0.2">
      <c r="A112" t="s">
        <v>583</v>
      </c>
      <c r="B112">
        <v>0.68254425048828127</v>
      </c>
    </row>
    <row r="113" spans="1:7" x14ac:dyDescent="0.2">
      <c r="A113" t="s">
        <v>584</v>
      </c>
      <c r="B113">
        <v>0.33077934265136721</v>
      </c>
    </row>
    <row r="114" spans="1:7" x14ac:dyDescent="0.2">
      <c r="A114" t="s">
        <v>585</v>
      </c>
      <c r="B114">
        <v>0.72533958435058599</v>
      </c>
    </row>
    <row r="115" spans="1:7" x14ac:dyDescent="0.2">
      <c r="A115" t="s">
        <v>586</v>
      </c>
      <c r="B115">
        <v>0.34302524566650389</v>
      </c>
    </row>
    <row r="116" spans="1:7" x14ac:dyDescent="0.2">
      <c r="A116" t="s">
        <v>587</v>
      </c>
      <c r="B116">
        <v>0.81556205749511723</v>
      </c>
    </row>
    <row r="117" spans="1:7" x14ac:dyDescent="0.2">
      <c r="A117" t="s">
        <v>588</v>
      </c>
      <c r="B117">
        <v>0.74665122985839849</v>
      </c>
    </row>
    <row r="118" spans="1:7" x14ac:dyDescent="0.2">
      <c r="A118" t="s">
        <v>589</v>
      </c>
      <c r="B118">
        <v>0.42901557922363281</v>
      </c>
    </row>
    <row r="119" spans="1:7" x14ac:dyDescent="0.2">
      <c r="A119" t="s">
        <v>590</v>
      </c>
      <c r="B119">
        <v>0.46971038818359373</v>
      </c>
    </row>
    <row r="120" spans="1:7" x14ac:dyDescent="0.2">
      <c r="A120" t="s">
        <v>591</v>
      </c>
      <c r="B120">
        <v>0.69426445007324222</v>
      </c>
    </row>
    <row r="121" spans="1:7" x14ac:dyDescent="0.2">
      <c r="A121" t="s">
        <v>592</v>
      </c>
      <c r="B121">
        <v>0.51738662719726558</v>
      </c>
    </row>
    <row r="122" spans="1:7" x14ac:dyDescent="0.2">
      <c r="A122" t="s">
        <v>525</v>
      </c>
      <c r="B122">
        <v>10</v>
      </c>
      <c r="C122">
        <v>10</v>
      </c>
      <c r="D122">
        <v>10</v>
      </c>
      <c r="E122">
        <v>10</v>
      </c>
      <c r="F122">
        <v>10</v>
      </c>
      <c r="G122">
        <v>10</v>
      </c>
    </row>
    <row r="123" spans="1:7" x14ac:dyDescent="0.2">
      <c r="A123" t="s">
        <v>526</v>
      </c>
      <c r="B123">
        <v>10</v>
      </c>
      <c r="C123">
        <v>10</v>
      </c>
      <c r="D123">
        <v>10</v>
      </c>
      <c r="E123">
        <v>10</v>
      </c>
      <c r="F123">
        <v>10</v>
      </c>
      <c r="G123">
        <v>10</v>
      </c>
    </row>
    <row r="124" spans="1:7" x14ac:dyDescent="0.2">
      <c r="A124" t="s">
        <v>527</v>
      </c>
      <c r="B124">
        <v>10</v>
      </c>
      <c r="C124">
        <v>10</v>
      </c>
      <c r="D124">
        <v>10</v>
      </c>
      <c r="E124">
        <v>10</v>
      </c>
      <c r="F124">
        <v>10</v>
      </c>
      <c r="G124">
        <v>10</v>
      </c>
    </row>
    <row r="125" spans="1:7" x14ac:dyDescent="0.2">
      <c r="A125" t="s">
        <v>528</v>
      </c>
      <c r="B125">
        <v>10</v>
      </c>
      <c r="C125">
        <v>10</v>
      </c>
      <c r="D125">
        <v>10</v>
      </c>
      <c r="E125">
        <v>10</v>
      </c>
      <c r="F125">
        <v>10</v>
      </c>
      <c r="G125">
        <v>10</v>
      </c>
    </row>
    <row r="126" spans="1:7" x14ac:dyDescent="0.2">
      <c r="A126" t="s">
        <v>529</v>
      </c>
      <c r="B126">
        <v>10</v>
      </c>
      <c r="C126">
        <v>10</v>
      </c>
      <c r="D126">
        <v>10</v>
      </c>
      <c r="E126">
        <v>10</v>
      </c>
      <c r="F126">
        <v>10</v>
      </c>
      <c r="G126">
        <v>10</v>
      </c>
    </row>
    <row r="127" spans="1:7" x14ac:dyDescent="0.2">
      <c r="A127" t="s">
        <v>530</v>
      </c>
      <c r="B127">
        <v>10</v>
      </c>
      <c r="C127">
        <v>10</v>
      </c>
      <c r="D127">
        <v>10</v>
      </c>
      <c r="E127">
        <v>10</v>
      </c>
      <c r="F127">
        <v>10</v>
      </c>
      <c r="G127">
        <v>10</v>
      </c>
    </row>
    <row r="128" spans="1:7" x14ac:dyDescent="0.2">
      <c r="A128" t="s">
        <v>531</v>
      </c>
      <c r="B128">
        <v>10</v>
      </c>
      <c r="C128">
        <v>10</v>
      </c>
      <c r="D128">
        <v>10</v>
      </c>
      <c r="E128">
        <v>10</v>
      </c>
      <c r="F128">
        <v>10</v>
      </c>
      <c r="G128">
        <v>10</v>
      </c>
    </row>
    <row r="129" spans="1:30" x14ac:dyDescent="0.2">
      <c r="A129" t="s">
        <v>532</v>
      </c>
      <c r="B129">
        <v>10</v>
      </c>
      <c r="C129">
        <v>10</v>
      </c>
      <c r="D129">
        <v>10</v>
      </c>
      <c r="E129">
        <v>10</v>
      </c>
      <c r="F129">
        <v>10</v>
      </c>
      <c r="G129">
        <v>10</v>
      </c>
    </row>
    <row r="130" spans="1:30" x14ac:dyDescent="0.2">
      <c r="A130" t="s">
        <v>533</v>
      </c>
      <c r="B130">
        <v>10</v>
      </c>
      <c r="C130">
        <v>10</v>
      </c>
      <c r="D130">
        <v>10</v>
      </c>
      <c r="E130">
        <v>10</v>
      </c>
      <c r="F130">
        <v>10</v>
      </c>
      <c r="G130">
        <v>10</v>
      </c>
    </row>
    <row r="131" spans="1:30" x14ac:dyDescent="0.2">
      <c r="A131" t="s">
        <v>534</v>
      </c>
      <c r="B131">
        <v>10</v>
      </c>
      <c r="C131">
        <v>10</v>
      </c>
      <c r="D131">
        <v>10</v>
      </c>
      <c r="E131">
        <v>10</v>
      </c>
      <c r="F131">
        <v>10</v>
      </c>
      <c r="G131">
        <v>10</v>
      </c>
    </row>
    <row r="132" spans="1:30" x14ac:dyDescent="0.2">
      <c r="A132" t="s">
        <v>535</v>
      </c>
      <c r="B132">
        <v>10</v>
      </c>
      <c r="C132">
        <v>10</v>
      </c>
      <c r="D132">
        <v>10</v>
      </c>
      <c r="E132">
        <v>10</v>
      </c>
      <c r="F132">
        <v>10</v>
      </c>
      <c r="G132">
        <v>10</v>
      </c>
    </row>
    <row r="133" spans="1:30" x14ac:dyDescent="0.2">
      <c r="A133" t="s">
        <v>536</v>
      </c>
      <c r="B133">
        <v>10</v>
      </c>
      <c r="C133">
        <v>10</v>
      </c>
      <c r="D133">
        <v>10</v>
      </c>
      <c r="E133">
        <v>10</v>
      </c>
      <c r="F133">
        <v>10</v>
      </c>
      <c r="G133">
        <v>10</v>
      </c>
    </row>
    <row r="134" spans="1:30" x14ac:dyDescent="0.2">
      <c r="A134" t="s">
        <v>537</v>
      </c>
      <c r="B134">
        <v>10</v>
      </c>
      <c r="C134">
        <v>10</v>
      </c>
      <c r="D134">
        <v>10</v>
      </c>
      <c r="E134">
        <v>10</v>
      </c>
      <c r="F134">
        <v>10</v>
      </c>
      <c r="G134">
        <v>10</v>
      </c>
    </row>
    <row r="135" spans="1:30" x14ac:dyDescent="0.2">
      <c r="A135" t="s">
        <v>538</v>
      </c>
      <c r="B135">
        <v>10</v>
      </c>
      <c r="C135">
        <v>10</v>
      </c>
      <c r="D135">
        <v>10</v>
      </c>
      <c r="E135">
        <v>10</v>
      </c>
      <c r="F135">
        <v>10</v>
      </c>
      <c r="G135">
        <v>10</v>
      </c>
    </row>
    <row r="136" spans="1:30" x14ac:dyDescent="0.2">
      <c r="A136" t="s">
        <v>539</v>
      </c>
      <c r="B136">
        <v>10</v>
      </c>
      <c r="C136">
        <v>10</v>
      </c>
      <c r="D136">
        <v>10</v>
      </c>
      <c r="E136">
        <v>10</v>
      </c>
      <c r="F136">
        <v>10</v>
      </c>
      <c r="G136">
        <v>10</v>
      </c>
      <c r="S136" t="s">
        <v>593</v>
      </c>
      <c r="T136">
        <v>10</v>
      </c>
      <c r="U136">
        <v>1</v>
      </c>
      <c r="V136">
        <v>2</v>
      </c>
      <c r="W136">
        <v>3</v>
      </c>
      <c r="X136">
        <v>4</v>
      </c>
      <c r="Y136">
        <v>5</v>
      </c>
      <c r="Z136">
        <v>6</v>
      </c>
      <c r="AA136">
        <v>7</v>
      </c>
      <c r="AB136">
        <v>8</v>
      </c>
      <c r="AC136">
        <v>9</v>
      </c>
      <c r="AD136">
        <v>10</v>
      </c>
    </row>
    <row r="137" spans="1:30" x14ac:dyDescent="0.2">
      <c r="A137" t="s">
        <v>540</v>
      </c>
      <c r="B137">
        <v>10</v>
      </c>
      <c r="C137">
        <v>10</v>
      </c>
      <c r="D137">
        <v>10</v>
      </c>
      <c r="E137">
        <v>10</v>
      </c>
      <c r="F137">
        <v>10</v>
      </c>
      <c r="G137">
        <v>10</v>
      </c>
      <c r="S137" t="s">
        <v>594</v>
      </c>
      <c r="T137">
        <v>0.53012843993527503</v>
      </c>
      <c r="U137">
        <v>0.47812048752268377</v>
      </c>
      <c r="V137">
        <v>0.52270232032183161</v>
      </c>
      <c r="W137">
        <v>0.52270232032183161</v>
      </c>
      <c r="X137">
        <v>0.52943958394183599</v>
      </c>
      <c r="Y137">
        <v>0.53012843993527503</v>
      </c>
      <c r="Z137">
        <v>0.53012843993527503</v>
      </c>
      <c r="AA137">
        <v>0.53012843993527503</v>
      </c>
      <c r="AB137">
        <v>0.53012843993527503</v>
      </c>
      <c r="AC137">
        <v>0.53012843993527503</v>
      </c>
      <c r="AD137">
        <v>0.53012843993527503</v>
      </c>
    </row>
    <row r="138" spans="1:30" x14ac:dyDescent="0.2">
      <c r="A138" t="s">
        <v>541</v>
      </c>
      <c r="B138">
        <v>10</v>
      </c>
      <c r="C138">
        <v>10</v>
      </c>
      <c r="D138">
        <v>10</v>
      </c>
      <c r="E138">
        <v>10</v>
      </c>
      <c r="F138">
        <v>10</v>
      </c>
      <c r="G138">
        <v>10</v>
      </c>
      <c r="H138" t="s">
        <v>595</v>
      </c>
      <c r="I138" t="s">
        <v>596</v>
      </c>
      <c r="J138" s="33" t="s">
        <v>597</v>
      </c>
      <c r="K138" t="s">
        <v>598</v>
      </c>
      <c r="L138" t="s">
        <v>599</v>
      </c>
      <c r="M138" t="s">
        <v>593</v>
      </c>
      <c r="N138" t="s">
        <v>600</v>
      </c>
      <c r="P138" t="s">
        <v>473</v>
      </c>
      <c r="Q138" s="21">
        <f t="shared" ref="Q138:Q154" si="1159">I139-1</f>
        <v>-0.44776199995822652</v>
      </c>
      <c r="R138" s="21" t="e">
        <f t="shared" ref="R138:R154" si="1160">Q138/K$139</f>
        <v>#DIV/0!</v>
      </c>
      <c r="T138">
        <v>9.7656260855671945E-11</v>
      </c>
      <c r="U138">
        <v>1.7188222622976984E-7</v>
      </c>
      <c r="V138">
        <v>4.576251108057142E-7</v>
      </c>
      <c r="W138">
        <v>4.576251108057142E-7</v>
      </c>
      <c r="X138">
        <v>3.0536828709333185E-9</v>
      </c>
      <c r="Y138">
        <v>1.9531252171134397E-10</v>
      </c>
      <c r="Z138">
        <v>1.6276043475945338E-10</v>
      </c>
      <c r="AA138">
        <v>1.3950894407953138E-10</v>
      </c>
      <c r="AB138">
        <v>1.2207032606958995E-10</v>
      </c>
      <c r="AC138">
        <v>1.0850695650630218E-10</v>
      </c>
      <c r="AD138">
        <v>9.7656260855671945E-11</v>
      </c>
    </row>
    <row r="139" spans="1:30" x14ac:dyDescent="0.2">
      <c r="A139" t="s">
        <v>601</v>
      </c>
      <c r="B139">
        <v>1.0673875529533474</v>
      </c>
      <c r="C139">
        <v>0.93385078430175783</v>
      </c>
      <c r="D139">
        <v>0.93385078430175783</v>
      </c>
      <c r="E139">
        <v>0.10000000000000003</v>
      </c>
      <c r="F139">
        <v>0.93385078430175783</v>
      </c>
      <c r="G139">
        <v>0.93385078430175783</v>
      </c>
      <c r="H139">
        <f>MIN(2,I139*G139)</f>
        <v>0.51570788946024437</v>
      </c>
      <c r="I139" s="22">
        <v>0.55223800004177348</v>
      </c>
      <c r="J139" s="22">
        <f>AVERAGE(B156:B172)</f>
        <v>0.68944543646736201</v>
      </c>
      <c r="K139">
        <f>SUM(I139:I155)-17</f>
        <v>0</v>
      </c>
      <c r="L139">
        <v>0</v>
      </c>
      <c r="M139">
        <v>0</v>
      </c>
      <c r="N139">
        <v>0.72472586878777068</v>
      </c>
      <c r="P139" t="s">
        <v>474</v>
      </c>
      <c r="Q139" s="21">
        <f t="shared" si="1159"/>
        <v>0.1593505104172277</v>
      </c>
      <c r="R139" s="21" t="e">
        <f t="shared" si="1160"/>
        <v>#DIV/0!</v>
      </c>
      <c r="T139">
        <v>1.5137701374258411E-3</v>
      </c>
      <c r="U139">
        <v>0.20886017960837408</v>
      </c>
      <c r="V139">
        <v>3.8569182227476891E-4</v>
      </c>
      <c r="W139">
        <v>3.8569182227476891E-4</v>
      </c>
      <c r="X139">
        <v>8.7227730187859186E-4</v>
      </c>
      <c r="Y139">
        <v>3.0275402748516831E-3</v>
      </c>
      <c r="Z139">
        <v>2.5229502290430705E-3</v>
      </c>
      <c r="AA139">
        <v>2.162528767751202E-3</v>
      </c>
      <c r="AB139">
        <v>1.8922126717823015E-3</v>
      </c>
      <c r="AC139">
        <v>1.6819668193620457E-3</v>
      </c>
      <c r="AD139">
        <v>1.5137701374258411E-3</v>
      </c>
    </row>
    <row r="140" spans="1:30" x14ac:dyDescent="0.2">
      <c r="A140" t="s">
        <v>602</v>
      </c>
      <c r="B140">
        <v>0.65156536753638106</v>
      </c>
      <c r="C140">
        <v>0.85235775314179441</v>
      </c>
      <c r="D140">
        <v>0.82536560906436585</v>
      </c>
      <c r="E140">
        <v>1.5964915543789506</v>
      </c>
      <c r="F140">
        <v>0.36852024078369139</v>
      </c>
      <c r="G140">
        <v>0.73704048156738278</v>
      </c>
      <c r="H140">
        <f t="shared" ref="H140:H155" si="1161">MIN(2,I140*G140)</f>
        <v>0.85448825850330457</v>
      </c>
      <c r="I140" s="22">
        <v>1.1593505104172277</v>
      </c>
      <c r="M140">
        <v>2</v>
      </c>
      <c r="N140">
        <v>0.78310971760414372</v>
      </c>
      <c r="P140" t="s">
        <v>475</v>
      </c>
      <c r="Q140" s="21">
        <f t="shared" si="1159"/>
        <v>-0.27381221206383932</v>
      </c>
      <c r="R140" s="21" t="e">
        <f t="shared" si="1160"/>
        <v>#DIV/0!</v>
      </c>
      <c r="T140">
        <v>9.7656260855671945E-11</v>
      </c>
      <c r="U140">
        <v>2.4509794949168025E-7</v>
      </c>
      <c r="V140">
        <v>4.576251108057142E-7</v>
      </c>
      <c r="W140">
        <v>4.576251108057142E-7</v>
      </c>
      <c r="X140">
        <v>3.6975831392287623E-9</v>
      </c>
      <c r="Y140">
        <v>1.9531252171134397E-10</v>
      </c>
      <c r="Z140">
        <v>1.6276043475945338E-10</v>
      </c>
      <c r="AA140">
        <v>1.3950894407953138E-10</v>
      </c>
      <c r="AB140">
        <v>1.2207032606958995E-10</v>
      </c>
      <c r="AC140">
        <v>1.0850695650630218E-10</v>
      </c>
      <c r="AD140">
        <v>9.7656260855671945E-11</v>
      </c>
    </row>
    <row r="141" spans="1:30" x14ac:dyDescent="0.2">
      <c r="A141" t="s">
        <v>603</v>
      </c>
      <c r="B141">
        <v>1.0638187134491128</v>
      </c>
      <c r="C141">
        <v>0.47543063501986632</v>
      </c>
      <c r="D141">
        <v>0.21489134857731723</v>
      </c>
      <c r="E141">
        <v>0.42978269715463446</v>
      </c>
      <c r="F141">
        <v>0.55213714599609376</v>
      </c>
      <c r="G141">
        <v>0.69839349954030705</v>
      </c>
      <c r="H141">
        <f t="shared" si="1161"/>
        <v>0.50716483054016959</v>
      </c>
      <c r="I141" s="22">
        <v>0.72618778793616068</v>
      </c>
      <c r="M141">
        <v>4</v>
      </c>
      <c r="N141">
        <v>0.79900997179480893</v>
      </c>
      <c r="P141" t="s">
        <v>476</v>
      </c>
      <c r="Q141" s="21">
        <f t="shared" si="1159"/>
        <v>-0.46273482774705332</v>
      </c>
      <c r="R141" s="21" t="e">
        <f t="shared" si="1160"/>
        <v>#DIV/0!</v>
      </c>
      <c r="T141">
        <v>9.7656260855671945E-11</v>
      </c>
      <c r="U141">
        <v>1.917473502199847E-7</v>
      </c>
      <c r="V141">
        <v>4.576251108057142E-7</v>
      </c>
      <c r="W141">
        <v>4.576251108057142E-7</v>
      </c>
      <c r="X141">
        <v>3.4601309139946577E-9</v>
      </c>
      <c r="Y141">
        <v>1.9531252171134397E-10</v>
      </c>
      <c r="Z141">
        <v>1.6276043475945338E-10</v>
      </c>
      <c r="AA141">
        <v>1.3950894407953138E-10</v>
      </c>
      <c r="AB141">
        <v>1.2207032606958995E-10</v>
      </c>
      <c r="AC141">
        <v>1.0850695650630218E-10</v>
      </c>
      <c r="AD141">
        <v>9.7656260855671945E-11</v>
      </c>
    </row>
    <row r="142" spans="1:30" x14ac:dyDescent="0.2">
      <c r="A142" t="s">
        <v>604</v>
      </c>
      <c r="B142">
        <v>0.62411544673630581</v>
      </c>
      <c r="C142">
        <v>1.0973155493275268</v>
      </c>
      <c r="D142">
        <v>1.448122768254247</v>
      </c>
      <c r="E142">
        <v>1.7316711714938484</v>
      </c>
      <c r="F142">
        <v>0.65300369262695313</v>
      </c>
      <c r="G142">
        <v>1.0064042532361166</v>
      </c>
      <c r="H142">
        <f t="shared" si="1161"/>
        <v>0.54070595447100034</v>
      </c>
      <c r="I142" s="22">
        <v>0.53726517225294668</v>
      </c>
      <c r="M142">
        <v>6</v>
      </c>
      <c r="N142">
        <v>0.81111004692342026</v>
      </c>
      <c r="P142" t="s">
        <v>477</v>
      </c>
      <c r="Q142" s="21">
        <f t="shared" si="1159"/>
        <v>-0.24676915719877612</v>
      </c>
      <c r="R142" s="21" t="e">
        <f t="shared" si="1160"/>
        <v>#DIV/0!</v>
      </c>
      <c r="T142">
        <v>2.9328634650855677E-3</v>
      </c>
      <c r="U142">
        <v>0.17919001910808194</v>
      </c>
      <c r="V142">
        <v>3.4652317811821369E-2</v>
      </c>
      <c r="W142">
        <v>3.4652317811821369E-2</v>
      </c>
      <c r="X142">
        <v>9.9930138516834896E-3</v>
      </c>
      <c r="Y142">
        <v>5.865726930171138E-3</v>
      </c>
      <c r="Z142">
        <v>4.888105775142617E-3</v>
      </c>
      <c r="AA142">
        <v>4.1898049501222405E-3</v>
      </c>
      <c r="AB142">
        <v>3.6660793313569601E-3</v>
      </c>
      <c r="AC142">
        <v>3.2587371834284086E-3</v>
      </c>
      <c r="AD142">
        <v>2.9328634650855677E-3</v>
      </c>
    </row>
    <row r="143" spans="1:30" x14ac:dyDescent="0.2">
      <c r="A143" t="s">
        <v>605</v>
      </c>
      <c r="B143">
        <v>0.72884620619838836</v>
      </c>
      <c r="C143">
        <v>0.1</v>
      </c>
      <c r="D143">
        <v>0.1</v>
      </c>
      <c r="E143">
        <v>0.19999999999999998</v>
      </c>
      <c r="F143">
        <v>0.33300739288330078</v>
      </c>
      <c r="G143">
        <v>0.66601478576660156</v>
      </c>
      <c r="H143">
        <f t="shared" si="1161"/>
        <v>0.50166287840105384</v>
      </c>
      <c r="I143" s="22">
        <v>0.75323084280122388</v>
      </c>
      <c r="M143">
        <v>8</v>
      </c>
      <c r="N143">
        <v>0.82241473368299589</v>
      </c>
      <c r="P143" t="s">
        <v>478</v>
      </c>
      <c r="Q143" s="21">
        <f t="shared" si="1159"/>
        <v>0.47248607995546466</v>
      </c>
      <c r="R143" s="21" t="e">
        <f t="shared" si="1160"/>
        <v>#DIV/0!</v>
      </c>
      <c r="T143">
        <v>0.15380092346965465</v>
      </c>
      <c r="U143">
        <v>2.0761391739121467E-7</v>
      </c>
      <c r="V143">
        <v>0.13250360081016732</v>
      </c>
      <c r="W143">
        <v>0.13250360081016732</v>
      </c>
      <c r="X143">
        <v>6.3189652299552826E-2</v>
      </c>
      <c r="Y143">
        <v>9.9015079671480405E-2</v>
      </c>
      <c r="Z143">
        <v>0.11727702760420514</v>
      </c>
      <c r="AA143">
        <v>0.13032127612757988</v>
      </c>
      <c r="AB143">
        <v>0.14010446252011105</v>
      </c>
      <c r="AC143">
        <v>0.14771360749207971</v>
      </c>
      <c r="AD143">
        <v>0.15380092346965465</v>
      </c>
    </row>
    <row r="144" spans="1:30" x14ac:dyDescent="0.2">
      <c r="A144" t="s">
        <v>606</v>
      </c>
      <c r="B144">
        <v>0.36953818600830807</v>
      </c>
      <c r="C144">
        <v>0.10000000000000003</v>
      </c>
      <c r="D144">
        <v>0.1</v>
      </c>
      <c r="E144">
        <v>0.2</v>
      </c>
      <c r="F144">
        <v>0.7371634674072266</v>
      </c>
      <c r="G144">
        <v>0.67912355014497228</v>
      </c>
      <c r="H144">
        <f t="shared" si="1161"/>
        <v>0.99999997415840869</v>
      </c>
      <c r="I144" s="22">
        <v>1.4724860799554647</v>
      </c>
      <c r="M144">
        <v>10</v>
      </c>
      <c r="N144">
        <v>0.83344231464090146</v>
      </c>
      <c r="P144" t="s">
        <v>479</v>
      </c>
      <c r="Q144" s="21">
        <f t="shared" si="1159"/>
        <v>0.38287782592152175</v>
      </c>
      <c r="R144" s="21" t="e">
        <f t="shared" si="1160"/>
        <v>#DIV/0!</v>
      </c>
      <c r="T144">
        <v>9.6264751725527762E-11</v>
      </c>
      <c r="U144">
        <v>1.6426920201873033E-7</v>
      </c>
      <c r="V144">
        <v>2.5000000003494407E-7</v>
      </c>
      <c r="W144">
        <v>2.5000000003494407E-7</v>
      </c>
      <c r="X144">
        <v>2.987650968574614E-9</v>
      </c>
      <c r="Y144">
        <v>1.925295034510556E-10</v>
      </c>
      <c r="Z144">
        <v>1.6044125287587975E-10</v>
      </c>
      <c r="AA144">
        <v>1.3752107389361113E-10</v>
      </c>
      <c r="AB144">
        <v>1.2033093965690972E-10</v>
      </c>
      <c r="AC144">
        <v>1.0696083525058641E-10</v>
      </c>
      <c r="AD144">
        <v>9.6264751725527762E-11</v>
      </c>
    </row>
    <row r="145" spans="1:30" x14ac:dyDescent="0.2">
      <c r="A145" t="s">
        <v>607</v>
      </c>
      <c r="B145">
        <v>0.52466606797154081</v>
      </c>
      <c r="C145">
        <v>1.0421916999644356</v>
      </c>
      <c r="D145">
        <v>1.0794165490996503</v>
      </c>
      <c r="E145">
        <v>1.1158147439486272</v>
      </c>
      <c r="F145">
        <v>0.53973793029785155</v>
      </c>
      <c r="G145">
        <v>0.72312862184131388</v>
      </c>
      <c r="H145">
        <f t="shared" si="1161"/>
        <v>0.99999853643354242</v>
      </c>
      <c r="I145" s="22">
        <v>1.3828778259215218</v>
      </c>
      <c r="M145">
        <v>12</v>
      </c>
      <c r="N145">
        <v>0.84179953993523915</v>
      </c>
      <c r="P145" t="s">
        <v>480</v>
      </c>
      <c r="Q145" s="21">
        <f t="shared" si="1159"/>
        <v>-0.38155742083848099</v>
      </c>
      <c r="R145" s="21" t="e">
        <f t="shared" si="1160"/>
        <v>#DIV/0!</v>
      </c>
      <c r="T145">
        <v>5.7487140458085582E-2</v>
      </c>
      <c r="U145">
        <v>0.34089080552695228</v>
      </c>
      <c r="V145">
        <v>0.32392503381613258</v>
      </c>
      <c r="W145">
        <v>0.32392503381613258</v>
      </c>
      <c r="X145">
        <v>0.15324070034565529</v>
      </c>
      <c r="Y145">
        <v>0.11497428091617121</v>
      </c>
      <c r="Z145">
        <v>9.5811900763476052E-2</v>
      </c>
      <c r="AA145">
        <v>8.2124486368693697E-2</v>
      </c>
      <c r="AB145">
        <v>7.185892557260698E-2</v>
      </c>
      <c r="AC145">
        <v>6.3874600508983984E-2</v>
      </c>
      <c r="AD145">
        <v>5.7487140458085582E-2</v>
      </c>
    </row>
    <row r="146" spans="1:30" x14ac:dyDescent="0.2">
      <c r="A146" t="s">
        <v>608</v>
      </c>
      <c r="B146">
        <v>0.10000000000000003</v>
      </c>
      <c r="C146">
        <v>0.20000000000000007</v>
      </c>
      <c r="D146">
        <v>0.40000000000000013</v>
      </c>
      <c r="E146">
        <v>0.80000000000000027</v>
      </c>
      <c r="F146">
        <v>0.68254425048828127</v>
      </c>
      <c r="G146">
        <v>0.84305928235395045</v>
      </c>
      <c r="H146">
        <f t="shared" si="1161"/>
        <v>0.52138375696503636</v>
      </c>
      <c r="I146" s="22">
        <v>0.61844257916151901</v>
      </c>
      <c r="M146">
        <v>14</v>
      </c>
      <c r="N146">
        <v>0.84959764176271957</v>
      </c>
      <c r="P146" t="s">
        <v>481</v>
      </c>
      <c r="Q146" s="21">
        <f t="shared" si="1159"/>
        <v>0.76368029878742161</v>
      </c>
      <c r="R146" s="21" t="e">
        <f t="shared" si="1160"/>
        <v>#DIV/0!</v>
      </c>
      <c r="T146">
        <v>1.4710161386807169E-2</v>
      </c>
      <c r="U146">
        <v>1.6422195892040806E-7</v>
      </c>
      <c r="V146">
        <v>3.554839679412241E-2</v>
      </c>
      <c r="W146">
        <v>3.554839679412241E-2</v>
      </c>
      <c r="X146">
        <v>3.6461461656235157E-2</v>
      </c>
      <c r="Y146">
        <v>2.9420322773614348E-2</v>
      </c>
      <c r="Z146">
        <v>2.4516935644678634E-2</v>
      </c>
      <c r="AA146">
        <v>2.1014516266867386E-2</v>
      </c>
      <c r="AB146">
        <v>1.8387701733508961E-2</v>
      </c>
      <c r="AC146">
        <v>1.6344623763119077E-2</v>
      </c>
      <c r="AD146">
        <v>1.4710161386807169E-2</v>
      </c>
    </row>
    <row r="147" spans="1:30" x14ac:dyDescent="0.2">
      <c r="A147" t="s">
        <v>609</v>
      </c>
      <c r="B147">
        <v>0.29745932165920519</v>
      </c>
      <c r="C147">
        <v>0.1</v>
      </c>
      <c r="D147">
        <v>0.2</v>
      </c>
      <c r="E147">
        <v>0.4</v>
      </c>
      <c r="F147">
        <v>0.33077934265136721</v>
      </c>
      <c r="G147">
        <v>0.66155868530273443</v>
      </c>
      <c r="H147">
        <f t="shared" si="1161"/>
        <v>1.1667780197601405</v>
      </c>
      <c r="I147" s="22">
        <v>1.7636802987874216</v>
      </c>
      <c r="M147">
        <v>16</v>
      </c>
      <c r="N147">
        <v>0.8578202386315299</v>
      </c>
      <c r="P147" t="s">
        <v>482</v>
      </c>
      <c r="Q147" s="21">
        <f t="shared" si="1159"/>
        <v>0</v>
      </c>
      <c r="R147" s="21" t="e">
        <f t="shared" si="1160"/>
        <v>#DIV/0!</v>
      </c>
      <c r="T147">
        <v>9.6264751725527762E-11</v>
      </c>
      <c r="U147">
        <v>1.6453610007793942E-7</v>
      </c>
      <c r="V147">
        <v>4.576251108057142E-7</v>
      </c>
      <c r="W147">
        <v>4.576251108057142E-7</v>
      </c>
      <c r="X147">
        <v>2.987650968574614E-9</v>
      </c>
      <c r="Y147">
        <v>1.925295034510556E-10</v>
      </c>
      <c r="Z147">
        <v>1.6044125287587975E-10</v>
      </c>
      <c r="AA147">
        <v>1.3752107389361113E-10</v>
      </c>
      <c r="AB147">
        <v>1.2033093965690972E-10</v>
      </c>
      <c r="AC147">
        <v>1.0696083525058641E-10</v>
      </c>
      <c r="AD147">
        <v>9.6264751725527762E-11</v>
      </c>
    </row>
    <row r="148" spans="1:30" x14ac:dyDescent="0.2">
      <c r="A148" t="s">
        <v>610</v>
      </c>
      <c r="B148">
        <v>0.1</v>
      </c>
      <c r="C148">
        <v>0.1</v>
      </c>
      <c r="D148">
        <v>9.9999999999999978E-2</v>
      </c>
      <c r="E148">
        <v>0.1</v>
      </c>
      <c r="F148">
        <v>0.72533958435058599</v>
      </c>
      <c r="G148">
        <v>9.9999999999999978E-2</v>
      </c>
      <c r="H148">
        <f t="shared" si="1161"/>
        <v>9.9999999999999978E-2</v>
      </c>
      <c r="I148" s="22">
        <v>1</v>
      </c>
      <c r="M148">
        <v>18</v>
      </c>
      <c r="N148">
        <v>0.86134657863003294</v>
      </c>
      <c r="P148" t="s">
        <v>483</v>
      </c>
      <c r="Q148" s="21">
        <f t="shared" si="1159"/>
        <v>0.66836256539969141</v>
      </c>
      <c r="R148" s="21" t="e">
        <f t="shared" si="1160"/>
        <v>#DIV/0!</v>
      </c>
      <c r="T148">
        <v>0.67133734039411352</v>
      </c>
      <c r="U148">
        <v>7.5252263710731834E-2</v>
      </c>
      <c r="V148">
        <v>0.16520978058479777</v>
      </c>
      <c r="W148">
        <v>0.16520978058479777</v>
      </c>
      <c r="X148">
        <v>0.48722682501934444</v>
      </c>
      <c r="Y148">
        <v>0.55126144805605592</v>
      </c>
      <c r="Z148">
        <v>0.59128674550207516</v>
      </c>
      <c r="AA148">
        <v>0.61987624367780303</v>
      </c>
      <c r="AB148">
        <v>0.64131836730959912</v>
      </c>
      <c r="AC148">
        <v>0.65799557457877378</v>
      </c>
      <c r="AD148">
        <v>0.67133734039411352</v>
      </c>
    </row>
    <row r="149" spans="1:30" x14ac:dyDescent="0.2">
      <c r="A149" t="s">
        <v>611</v>
      </c>
      <c r="B149">
        <v>2</v>
      </c>
      <c r="C149">
        <v>1.137117170176368</v>
      </c>
      <c r="D149">
        <v>0.93304314732114801</v>
      </c>
      <c r="E149">
        <v>1.0790451750426937</v>
      </c>
      <c r="F149">
        <v>0.34302524566650389</v>
      </c>
      <c r="G149">
        <v>0.42284570497649782</v>
      </c>
      <c r="H149">
        <f t="shared" si="1161"/>
        <v>0.70545994512283094</v>
      </c>
      <c r="I149" s="22">
        <v>1.6683625653996914</v>
      </c>
      <c r="M149">
        <v>19.924113425188423</v>
      </c>
      <c r="N149">
        <v>0.86154787381778453</v>
      </c>
      <c r="P149" t="s">
        <v>484</v>
      </c>
      <c r="Q149" s="21">
        <f t="shared" si="1159"/>
        <v>-0.93869258686019807</v>
      </c>
      <c r="R149" s="21" t="e">
        <f t="shared" si="1160"/>
        <v>#DIV/0!</v>
      </c>
      <c r="T149">
        <v>9.6264751725527762E-11</v>
      </c>
      <c r="U149">
        <v>1.6422195892040806E-7</v>
      </c>
      <c r="V149">
        <v>4.576251108057142E-7</v>
      </c>
      <c r="W149">
        <v>4.576251108057142E-7</v>
      </c>
      <c r="X149">
        <v>2.987650968574614E-9</v>
      </c>
      <c r="Y149">
        <v>1.925295034510556E-10</v>
      </c>
      <c r="Z149">
        <v>1.6044125287587975E-10</v>
      </c>
      <c r="AA149">
        <v>1.3752107389361113E-10</v>
      </c>
      <c r="AB149">
        <v>1.2033093965690972E-10</v>
      </c>
      <c r="AC149">
        <v>1.0696083525058641E-10</v>
      </c>
      <c r="AD149">
        <v>9.6264751725527762E-11</v>
      </c>
    </row>
    <row r="150" spans="1:30" x14ac:dyDescent="0.2">
      <c r="A150" t="s">
        <v>612</v>
      </c>
      <c r="B150">
        <v>0.81619886646087059</v>
      </c>
      <c r="C150">
        <v>1.2271575238622272</v>
      </c>
      <c r="D150">
        <v>1.3839474219373173</v>
      </c>
      <c r="E150">
        <v>2</v>
      </c>
      <c r="F150">
        <v>0.81556205749511723</v>
      </c>
      <c r="G150">
        <v>1.6311241149902345</v>
      </c>
      <c r="H150">
        <f t="shared" si="1161"/>
        <v>0.10000000000000005</v>
      </c>
      <c r="I150" s="22">
        <v>6.1307413139801897E-2</v>
      </c>
      <c r="P150" t="s">
        <v>485</v>
      </c>
      <c r="Q150" s="21">
        <f t="shared" si="1159"/>
        <v>0.16707350079563765</v>
      </c>
      <c r="R150" s="21" t="e">
        <f t="shared" si="1160"/>
        <v>#DIV/0!</v>
      </c>
      <c r="T150">
        <v>9.6264751725527762E-11</v>
      </c>
      <c r="U150">
        <v>1.6422195892040806E-7</v>
      </c>
      <c r="V150">
        <v>4.576251108057142E-7</v>
      </c>
      <c r="W150">
        <v>4.576251108057142E-7</v>
      </c>
      <c r="X150">
        <v>2.987650968574614E-9</v>
      </c>
      <c r="Y150">
        <v>1.925295034510556E-10</v>
      </c>
      <c r="Z150">
        <v>1.6044125287587975E-10</v>
      </c>
      <c r="AA150">
        <v>1.3752107389361113E-10</v>
      </c>
      <c r="AB150">
        <v>1.2033093965690972E-10</v>
      </c>
      <c r="AC150">
        <v>1.0696083525058641E-10</v>
      </c>
      <c r="AD150">
        <v>9.6264751725527762E-11</v>
      </c>
    </row>
    <row r="151" spans="1:30" x14ac:dyDescent="0.2">
      <c r="A151" t="s">
        <v>613</v>
      </c>
      <c r="B151">
        <v>2</v>
      </c>
      <c r="C151">
        <v>1.2588886721164863</v>
      </c>
      <c r="D151">
        <v>1.7014752369813673</v>
      </c>
      <c r="E151">
        <v>1.0819012967522843</v>
      </c>
      <c r="F151">
        <v>0.74665122985839849</v>
      </c>
      <c r="G151">
        <v>1.0244287247794079</v>
      </c>
      <c r="H151">
        <f t="shared" si="1161"/>
        <v>1.1955836181439143</v>
      </c>
      <c r="I151" s="22">
        <v>1.1670735007956377</v>
      </c>
      <c r="P151" t="s">
        <v>486</v>
      </c>
      <c r="Q151" s="21">
        <f t="shared" si="1159"/>
        <v>0.16545756306104642</v>
      </c>
      <c r="R151" s="21" t="e">
        <f t="shared" si="1160"/>
        <v>#DIV/0!</v>
      </c>
      <c r="T151">
        <v>3.9814494858443496E-2</v>
      </c>
      <c r="U151">
        <v>0.19580452456101741</v>
      </c>
      <c r="V151">
        <v>0.1625663419377858</v>
      </c>
      <c r="W151">
        <v>0.1625663419377858</v>
      </c>
      <c r="X151">
        <v>0.1010675488247207</v>
      </c>
      <c r="Y151">
        <v>7.9628989716887019E-2</v>
      </c>
      <c r="Z151">
        <v>6.6357491430739213E-2</v>
      </c>
      <c r="AA151">
        <v>5.6877849797776436E-2</v>
      </c>
      <c r="AB151">
        <v>4.9768118573054375E-2</v>
      </c>
      <c r="AC151">
        <v>4.4238327620492776E-2</v>
      </c>
      <c r="AD151">
        <v>3.9814494858443496E-2</v>
      </c>
    </row>
    <row r="152" spans="1:30" x14ac:dyDescent="0.2">
      <c r="A152" t="s">
        <v>614</v>
      </c>
      <c r="B152">
        <v>1.3866254213376783</v>
      </c>
      <c r="C152">
        <v>0.78378221304046125</v>
      </c>
      <c r="D152">
        <v>1.0862396960066762</v>
      </c>
      <c r="E152">
        <v>1.0062650038175254</v>
      </c>
      <c r="F152">
        <v>0.42901557922363281</v>
      </c>
      <c r="G152">
        <v>0.85803115844726563</v>
      </c>
      <c r="H152">
        <f t="shared" si="1161"/>
        <v>0.99999890295439675</v>
      </c>
      <c r="I152" s="22">
        <v>1.1654575630610464</v>
      </c>
      <c r="P152" t="s">
        <v>487</v>
      </c>
      <c r="Q152" s="21">
        <f t="shared" si="1159"/>
        <v>0</v>
      </c>
      <c r="R152" s="21" t="e">
        <f t="shared" si="1160"/>
        <v>#DIV/0!</v>
      </c>
      <c r="T152">
        <v>7.2111250304374181E-11</v>
      </c>
      <c r="U152">
        <v>2.4122830355466447E-7</v>
      </c>
      <c r="V152">
        <v>2.5000000003494407E-7</v>
      </c>
      <c r="W152">
        <v>2.5000000003494407E-7</v>
      </c>
      <c r="X152">
        <v>3.2816548462216702E-9</v>
      </c>
      <c r="Y152">
        <v>1.4422250060874841E-10</v>
      </c>
      <c r="Z152">
        <v>1.2018541717395708E-10</v>
      </c>
      <c r="AA152">
        <v>1.0301607186339169E-10</v>
      </c>
      <c r="AB152">
        <v>9.013906288046773E-11</v>
      </c>
      <c r="AC152">
        <v>8.0123611449304644E-11</v>
      </c>
      <c r="AD152">
        <v>7.2111250304374181E-11</v>
      </c>
    </row>
    <row r="153" spans="1:30" x14ac:dyDescent="0.2">
      <c r="A153" t="s">
        <v>615</v>
      </c>
      <c r="B153">
        <v>0.37530305113551871</v>
      </c>
      <c r="C153">
        <v>0.75060610227103752</v>
      </c>
      <c r="D153">
        <v>0.64659921769035633</v>
      </c>
      <c r="E153">
        <v>0.53978941844687023</v>
      </c>
      <c r="F153">
        <v>0.46971038818359373</v>
      </c>
      <c r="G153">
        <v>0.1</v>
      </c>
      <c r="H153">
        <f t="shared" si="1161"/>
        <v>0.1</v>
      </c>
      <c r="I153" s="22">
        <v>1</v>
      </c>
      <c r="P153" t="s">
        <v>488</v>
      </c>
      <c r="Q153" s="21">
        <f t="shared" si="1159"/>
        <v>0</v>
      </c>
      <c r="R153" s="21" t="e">
        <f t="shared" si="1160"/>
        <v>#DIV/0!</v>
      </c>
      <c r="T153">
        <v>9.6264751725527762E-11</v>
      </c>
      <c r="U153">
        <v>1.6422195892040806E-7</v>
      </c>
      <c r="V153">
        <v>4.576251108057142E-7</v>
      </c>
      <c r="W153">
        <v>4.576251108057142E-7</v>
      </c>
      <c r="X153">
        <v>2.987650968574614E-9</v>
      </c>
      <c r="Y153">
        <v>1.925295034510556E-10</v>
      </c>
      <c r="Z153">
        <v>1.6044125287587975E-10</v>
      </c>
      <c r="AA153">
        <v>1.3752107389361113E-10</v>
      </c>
      <c r="AB153">
        <v>1.2033093965690972E-10</v>
      </c>
      <c r="AC153">
        <v>1.0696083525058641E-10</v>
      </c>
      <c r="AD153">
        <v>9.6264751725527762E-11</v>
      </c>
    </row>
    <row r="154" spans="1:30" x14ac:dyDescent="0.2">
      <c r="A154" t="s">
        <v>616</v>
      </c>
      <c r="B154">
        <v>1.2716975662866161</v>
      </c>
      <c r="C154">
        <v>0.12716975662866162</v>
      </c>
      <c r="D154">
        <v>0.17552498705675243</v>
      </c>
      <c r="E154">
        <v>0.35104997411350491</v>
      </c>
      <c r="F154">
        <v>0.69426445007324222</v>
      </c>
      <c r="G154">
        <v>0.1</v>
      </c>
      <c r="H154">
        <f t="shared" si="1161"/>
        <v>0.1</v>
      </c>
      <c r="I154" s="22">
        <v>1</v>
      </c>
      <c r="P154" t="s">
        <v>489</v>
      </c>
      <c r="Q154" s="21">
        <f t="shared" si="1159"/>
        <v>-2.7960139671438067E-2</v>
      </c>
      <c r="R154" s="21" t="e">
        <f t="shared" si="1160"/>
        <v>#DIV/0!</v>
      </c>
      <c r="T154">
        <v>5.8403304983980629E-2</v>
      </c>
      <c r="U154">
        <v>1.6422195892040806E-7</v>
      </c>
      <c r="V154">
        <v>0.14520513304711977</v>
      </c>
      <c r="W154">
        <v>0.14520513304711977</v>
      </c>
      <c r="X154">
        <v>0.14794849226962231</v>
      </c>
      <c r="Y154">
        <v>0.1168066099679613</v>
      </c>
      <c r="Z154">
        <v>9.7338841639967796E-2</v>
      </c>
      <c r="AA154">
        <v>8.3433292834258058E-2</v>
      </c>
      <c r="AB154">
        <v>7.3004131229975788E-2</v>
      </c>
      <c r="AC154">
        <v>6.4892561093311818E-2</v>
      </c>
      <c r="AD154">
        <v>5.8403304983980629E-2</v>
      </c>
    </row>
    <row r="155" spans="1:30" x14ac:dyDescent="0.2">
      <c r="A155" t="s">
        <v>617</v>
      </c>
      <c r="B155">
        <v>0.4681082558625711</v>
      </c>
      <c r="C155">
        <v>0.9362165117251422</v>
      </c>
      <c r="D155">
        <v>9.9999999999999978E-2</v>
      </c>
      <c r="E155">
        <v>0.19999999999999996</v>
      </c>
      <c r="F155">
        <v>0.51738662719726558</v>
      </c>
      <c r="G155">
        <v>1.0287643187805906</v>
      </c>
      <c r="H155">
        <f t="shared" si="1161"/>
        <v>0.99999992473849342</v>
      </c>
      <c r="I155" s="22">
        <v>0.97203986032856193</v>
      </c>
    </row>
    <row r="156" spans="1:30" x14ac:dyDescent="0.2">
      <c r="A156" s="33" t="s">
        <v>896</v>
      </c>
      <c r="B156" s="22">
        <f>DB3</f>
        <v>0.93128634993022708</v>
      </c>
      <c r="C156">
        <f t="shared" ref="C156:H156" si="1162">C139/B139</f>
        <v>0.8748938300038186</v>
      </c>
      <c r="D156">
        <f t="shared" si="1162"/>
        <v>1</v>
      </c>
      <c r="E156">
        <f t="shared" si="1162"/>
        <v>0.10708348879823476</v>
      </c>
      <c r="F156">
        <f t="shared" si="1162"/>
        <v>9.3385078430175756</v>
      </c>
      <c r="G156">
        <f t="shared" si="1162"/>
        <v>1</v>
      </c>
      <c r="H156">
        <f t="shared" si="1162"/>
        <v>0.55223800004177348</v>
      </c>
      <c r="J156" s="22">
        <v>0.94528776578096585</v>
      </c>
      <c r="K156" s="23">
        <f t="shared" ref="K156:K172" si="1163">B156-J156</f>
        <v>-1.4001415850738774E-2</v>
      </c>
      <c r="M156" s="22">
        <f>I139</f>
        <v>0.55223800004177348</v>
      </c>
      <c r="N156" s="22">
        <f>M156/17</f>
        <v>3.2484588237751383E-2</v>
      </c>
    </row>
    <row r="157" spans="1:30" x14ac:dyDescent="0.2">
      <c r="A157" s="33" t="s">
        <v>897</v>
      </c>
      <c r="B157" s="22">
        <f t="shared" ref="B157:B172" si="1164">DB4</f>
        <v>0.72142682809355962</v>
      </c>
      <c r="C157">
        <f t="shared" ref="C157:H157" si="1165">C140/B140</f>
        <v>1.3081692115783023</v>
      </c>
      <c r="D157">
        <f t="shared" si="1165"/>
        <v>0.9683323768946368</v>
      </c>
      <c r="E157">
        <f t="shared" si="1165"/>
        <v>1.934284075863947</v>
      </c>
      <c r="F157">
        <f t="shared" si="1165"/>
        <v>0.2308313124318713</v>
      </c>
      <c r="G157">
        <f t="shared" si="1165"/>
        <v>2</v>
      </c>
      <c r="H157">
        <f t="shared" si="1165"/>
        <v>1.1593505104172277</v>
      </c>
      <c r="J157" s="22">
        <v>0.58296735692516721</v>
      </c>
      <c r="K157" s="23">
        <f t="shared" si="1163"/>
        <v>0.13845947116839241</v>
      </c>
      <c r="M157" s="22">
        <f t="shared" ref="M157:M172" si="1166">I140</f>
        <v>1.1593505104172277</v>
      </c>
      <c r="N157" s="22">
        <f t="shared" ref="N157:N172" si="1167">M157/17</f>
        <v>6.8197088848072213E-2</v>
      </c>
    </row>
    <row r="158" spans="1:30" x14ac:dyDescent="0.2">
      <c r="A158" s="33" t="s">
        <v>898</v>
      </c>
      <c r="B158" s="22">
        <f t="shared" si="1164"/>
        <v>0.80699565228164472</v>
      </c>
      <c r="C158">
        <f t="shared" ref="C158:H158" si="1168">C141/B141</f>
        <v>0.44690944895904794</v>
      </c>
      <c r="D158">
        <f t="shared" si="1168"/>
        <v>0.45199306218106411</v>
      </c>
      <c r="E158">
        <f t="shared" si="1168"/>
        <v>2</v>
      </c>
      <c r="F158">
        <f t="shared" si="1168"/>
        <v>1.2846890990528559</v>
      </c>
      <c r="G158">
        <f t="shared" si="1168"/>
        <v>1.2648913491961433</v>
      </c>
      <c r="H158">
        <f t="shared" si="1168"/>
        <v>0.72618778793616057</v>
      </c>
      <c r="J158" s="22">
        <v>0.81618929901945425</v>
      </c>
      <c r="K158" s="23">
        <f t="shared" si="1163"/>
        <v>-9.1936467378095355E-3</v>
      </c>
      <c r="M158" s="22">
        <f t="shared" si="1166"/>
        <v>0.72618778793616068</v>
      </c>
      <c r="N158" s="22">
        <f t="shared" si="1167"/>
        <v>4.2716928702127101E-2</v>
      </c>
    </row>
    <row r="159" spans="1:30" x14ac:dyDescent="0.2">
      <c r="A159" s="33" t="s">
        <v>899</v>
      </c>
      <c r="B159" s="22">
        <f t="shared" si="1164"/>
        <v>0.85775498772324565</v>
      </c>
      <c r="C159">
        <f t="shared" ref="C159:H159" si="1169">C142/B142</f>
        <v>1.7581932238109661</v>
      </c>
      <c r="D159">
        <f t="shared" si="1169"/>
        <v>1.31969584240532</v>
      </c>
      <c r="E159">
        <f t="shared" si="1169"/>
        <v>1.1958041192746571</v>
      </c>
      <c r="F159">
        <f t="shared" si="1169"/>
        <v>0.37709451042234021</v>
      </c>
      <c r="G159">
        <f t="shared" si="1169"/>
        <v>1.5411922851270208</v>
      </c>
      <c r="H159">
        <f t="shared" si="1169"/>
        <v>0.53726517225294668</v>
      </c>
      <c r="J159" s="22">
        <v>0.87809024959065962</v>
      </c>
      <c r="K159" s="23">
        <f t="shared" si="1163"/>
        <v>-2.0335261867413967E-2</v>
      </c>
      <c r="M159" s="22">
        <f t="shared" si="1166"/>
        <v>0.53726517225294668</v>
      </c>
      <c r="N159" s="22">
        <f t="shared" si="1167"/>
        <v>3.1603833661938037E-2</v>
      </c>
    </row>
    <row r="160" spans="1:30" x14ac:dyDescent="0.2">
      <c r="A160" s="33" t="s">
        <v>900</v>
      </c>
      <c r="B160" s="22">
        <f t="shared" si="1164"/>
        <v>0.65596640513124571</v>
      </c>
      <c r="C160">
        <f t="shared" ref="C160:H160" si="1170">C143/B143</f>
        <v>0.13720315637175792</v>
      </c>
      <c r="D160">
        <f t="shared" si="1170"/>
        <v>1</v>
      </c>
      <c r="E160">
        <f t="shared" si="1170"/>
        <v>1.9999999999999998</v>
      </c>
      <c r="F160">
        <f t="shared" si="1170"/>
        <v>1.665036964416504</v>
      </c>
      <c r="G160">
        <f t="shared" si="1170"/>
        <v>2</v>
      </c>
      <c r="H160">
        <f t="shared" si="1170"/>
        <v>0.75323084280122388</v>
      </c>
      <c r="J160" s="22">
        <v>0.68097893913074559</v>
      </c>
      <c r="K160" s="23">
        <f t="shared" si="1163"/>
        <v>-2.5012533999499875E-2</v>
      </c>
      <c r="M160" s="22">
        <f t="shared" si="1166"/>
        <v>0.75323084280122388</v>
      </c>
      <c r="N160" s="22">
        <f t="shared" si="1167"/>
        <v>4.4307696635366108E-2</v>
      </c>
    </row>
    <row r="161" spans="1:32" x14ac:dyDescent="0.2">
      <c r="A161" s="33" t="s">
        <v>901</v>
      </c>
      <c r="B161" s="22">
        <f t="shared" si="1164"/>
        <v>0.79353456815479895</v>
      </c>
      <c r="C161">
        <f t="shared" ref="C161:H161" si="1171">C144/B144</f>
        <v>0.27060802857800415</v>
      </c>
      <c r="D161">
        <f t="shared" si="1171"/>
        <v>0.99999999999999978</v>
      </c>
      <c r="E161">
        <f t="shared" si="1171"/>
        <v>2</v>
      </c>
      <c r="F161">
        <f t="shared" si="1171"/>
        <v>3.6858173370361329</v>
      </c>
      <c r="G161">
        <f t="shared" si="1171"/>
        <v>0.92126587951191607</v>
      </c>
      <c r="H161">
        <f t="shared" si="1171"/>
        <v>1.4724860799554647</v>
      </c>
      <c r="J161" s="22">
        <v>0.63129922119843407</v>
      </c>
      <c r="K161" s="23">
        <f t="shared" si="1163"/>
        <v>0.16223534695636488</v>
      </c>
      <c r="M161" s="22">
        <f t="shared" si="1166"/>
        <v>1.4724860799554647</v>
      </c>
      <c r="N161" s="22">
        <f t="shared" si="1167"/>
        <v>8.6616828232674387E-2</v>
      </c>
    </row>
    <row r="162" spans="1:32" x14ac:dyDescent="0.2">
      <c r="A162" s="33" t="s">
        <v>902</v>
      </c>
      <c r="B162" s="22">
        <f t="shared" si="1164"/>
        <v>0.82918099839822468</v>
      </c>
      <c r="C162">
        <f t="shared" ref="C162:H162" si="1172">C145/B145</f>
        <v>1.9863905131005475</v>
      </c>
      <c r="D162">
        <f t="shared" si="1172"/>
        <v>1.0357178522305301</v>
      </c>
      <c r="E162">
        <f t="shared" si="1172"/>
        <v>1.0337202490357749</v>
      </c>
      <c r="F162">
        <f t="shared" si="1172"/>
        <v>0.48371643521023538</v>
      </c>
      <c r="G162">
        <f t="shared" si="1172"/>
        <v>1.3397772905125624</v>
      </c>
      <c r="H162">
        <f t="shared" si="1172"/>
        <v>1.3828778259215218</v>
      </c>
      <c r="J162" s="22">
        <v>0.68919537373367101</v>
      </c>
      <c r="K162" s="23">
        <f t="shared" si="1163"/>
        <v>0.13998562466455367</v>
      </c>
      <c r="M162" s="22">
        <f t="shared" si="1166"/>
        <v>1.3828778259215218</v>
      </c>
      <c r="N162" s="22">
        <f t="shared" si="1167"/>
        <v>8.1345754465971865E-2</v>
      </c>
    </row>
    <row r="163" spans="1:32" x14ac:dyDescent="0.2">
      <c r="A163" s="33" t="s">
        <v>903</v>
      </c>
      <c r="B163" s="22">
        <f t="shared" si="1164"/>
        <v>0.81817183197813559</v>
      </c>
      <c r="C163">
        <f t="shared" ref="C163:H163" si="1173">C146/B146</f>
        <v>2</v>
      </c>
      <c r="D163">
        <f t="shared" si="1173"/>
        <v>2</v>
      </c>
      <c r="E163">
        <f t="shared" si="1173"/>
        <v>2</v>
      </c>
      <c r="F163">
        <f t="shared" si="1173"/>
        <v>0.85318031311035125</v>
      </c>
      <c r="G163">
        <f t="shared" si="1173"/>
        <v>1.2351716123179401</v>
      </c>
      <c r="H163">
        <f t="shared" si="1173"/>
        <v>0.6184425791615189</v>
      </c>
      <c r="J163" s="22">
        <v>0.83391707404883009</v>
      </c>
      <c r="K163" s="23">
        <f t="shared" si="1163"/>
        <v>-1.5745242070694498E-2</v>
      </c>
      <c r="M163" s="22">
        <f t="shared" si="1166"/>
        <v>0.61844257916151901</v>
      </c>
      <c r="N163" s="22">
        <f t="shared" si="1167"/>
        <v>3.6378975244795234E-2</v>
      </c>
    </row>
    <row r="164" spans="1:32" x14ac:dyDescent="0.2">
      <c r="A164" s="33" t="s">
        <v>904</v>
      </c>
      <c r="B164" s="22">
        <f t="shared" si="1164"/>
        <v>0.66471241216487476</v>
      </c>
      <c r="C164">
        <f t="shared" ref="C164:H164" si="1174">C147/B147</f>
        <v>0.3361804210478519</v>
      </c>
      <c r="D164">
        <f t="shared" si="1174"/>
        <v>2</v>
      </c>
      <c r="E164">
        <f t="shared" si="1174"/>
        <v>2</v>
      </c>
      <c r="F164">
        <f t="shared" si="1174"/>
        <v>0.82694835662841804</v>
      </c>
      <c r="G164">
        <f t="shared" si="1174"/>
        <v>2</v>
      </c>
      <c r="H164">
        <f t="shared" si="1174"/>
        <v>1.7636802987874216</v>
      </c>
      <c r="J164" s="22">
        <v>0.45862658078141055</v>
      </c>
      <c r="K164" s="23">
        <f t="shared" si="1163"/>
        <v>0.2060858313834642</v>
      </c>
      <c r="M164" s="22">
        <f t="shared" si="1166"/>
        <v>1.7636802987874216</v>
      </c>
      <c r="N164" s="22">
        <f t="shared" si="1167"/>
        <v>0.10374589992867186</v>
      </c>
    </row>
    <row r="165" spans="1:32" x14ac:dyDescent="0.2">
      <c r="A165" s="33" t="s">
        <v>905</v>
      </c>
      <c r="B165" s="22">
        <f t="shared" si="1164"/>
        <v>0.42692042277062686</v>
      </c>
      <c r="C165">
        <f t="shared" ref="C165:H165" si="1175">C148/B148</f>
        <v>1</v>
      </c>
      <c r="D165">
        <f t="shared" si="1175"/>
        <v>0.99999999999999978</v>
      </c>
      <c r="E165">
        <f t="shared" si="1175"/>
        <v>1.0000000000000002</v>
      </c>
      <c r="F165">
        <f t="shared" si="1175"/>
        <v>7.2533958435058592</v>
      </c>
      <c r="G165">
        <f t="shared" si="1175"/>
        <v>0.13786645890770236</v>
      </c>
      <c r="H165">
        <f t="shared" si="1175"/>
        <v>1</v>
      </c>
      <c r="J165" s="22">
        <v>0.35432742712796844</v>
      </c>
      <c r="K165" s="23">
        <f t="shared" si="1163"/>
        <v>7.259299564265842E-2</v>
      </c>
      <c r="M165" s="22">
        <f t="shared" si="1166"/>
        <v>1</v>
      </c>
      <c r="N165" s="22">
        <f t="shared" si="1167"/>
        <v>5.8823529411764705E-2</v>
      </c>
    </row>
    <row r="166" spans="1:32" x14ac:dyDescent="0.2">
      <c r="A166" s="33" t="s">
        <v>906</v>
      </c>
      <c r="B166" s="22">
        <f t="shared" si="1164"/>
        <v>0.6912721158361218</v>
      </c>
      <c r="C166">
        <f t="shared" ref="C166:H166" si="1176">C149/B149</f>
        <v>0.56855858508818402</v>
      </c>
      <c r="D166">
        <f t="shared" si="1176"/>
        <v>0.82053386563183461</v>
      </c>
      <c r="E166">
        <f t="shared" si="1176"/>
        <v>1.1564793955571411</v>
      </c>
      <c r="F166">
        <f t="shared" si="1176"/>
        <v>0.31789702006955517</v>
      </c>
      <c r="G166">
        <f t="shared" si="1176"/>
        <v>1.2326955823758727</v>
      </c>
      <c r="H166">
        <f t="shared" si="1176"/>
        <v>1.6683625653996914</v>
      </c>
      <c r="J166" s="22">
        <v>0.48191870553826238</v>
      </c>
      <c r="K166" s="23">
        <f t="shared" si="1163"/>
        <v>0.20935341029785942</v>
      </c>
      <c r="M166" s="22">
        <f t="shared" si="1166"/>
        <v>1.6683625653996914</v>
      </c>
      <c r="N166" s="22">
        <f t="shared" si="1167"/>
        <v>9.8138974435275972E-2</v>
      </c>
    </row>
    <row r="167" spans="1:32" x14ac:dyDescent="0.2">
      <c r="A167" s="33" t="s">
        <v>907</v>
      </c>
      <c r="B167" s="22">
        <f t="shared" si="1164"/>
        <v>0.41929000384905724</v>
      </c>
      <c r="C167">
        <f t="shared" ref="C167:H167" si="1177">C150/B150</f>
        <v>1.5035030974538341</v>
      </c>
      <c r="D167">
        <f t="shared" si="1177"/>
        <v>1.127766725156544</v>
      </c>
      <c r="E167">
        <f t="shared" si="1177"/>
        <v>1.4451416060303086</v>
      </c>
      <c r="F167">
        <f t="shared" si="1177"/>
        <v>0.40778102874755862</v>
      </c>
      <c r="G167">
        <f t="shared" si="1177"/>
        <v>2</v>
      </c>
      <c r="H167">
        <f t="shared" si="1177"/>
        <v>6.1307413139801904E-2</v>
      </c>
      <c r="J167" s="22">
        <v>0.64789529981252592</v>
      </c>
      <c r="K167" s="23">
        <f t="shared" si="1163"/>
        <v>-0.22860529596346868</v>
      </c>
      <c r="M167" s="22">
        <f t="shared" si="1166"/>
        <v>6.1307413139801897E-2</v>
      </c>
      <c r="N167" s="22">
        <f t="shared" si="1167"/>
        <v>3.6063184199883469E-3</v>
      </c>
    </row>
    <row r="168" spans="1:32" x14ac:dyDescent="0.2">
      <c r="A168" s="33" t="s">
        <v>908</v>
      </c>
      <c r="B168" s="22">
        <f t="shared" si="1164"/>
        <v>0.86048421189098434</v>
      </c>
      <c r="C168">
        <f t="shared" ref="C168:H168" si="1178">C151/B151</f>
        <v>0.62944433605824313</v>
      </c>
      <c r="D168">
        <f t="shared" si="1178"/>
        <v>1.351569264755389</v>
      </c>
      <c r="E168">
        <f t="shared" si="1178"/>
        <v>0.6358607361642914</v>
      </c>
      <c r="F168">
        <f t="shared" si="1178"/>
        <v>0.69012878725604687</v>
      </c>
      <c r="G168">
        <f t="shared" si="1178"/>
        <v>1.3720311221796146</v>
      </c>
      <c r="H168">
        <f t="shared" si="1178"/>
        <v>1.1670735007956377</v>
      </c>
      <c r="J168" s="22">
        <v>0.8063195640203118</v>
      </c>
      <c r="K168" s="23">
        <f t="shared" si="1163"/>
        <v>5.4164647870672544E-2</v>
      </c>
      <c r="M168" s="22">
        <f t="shared" si="1166"/>
        <v>1.1670735007956377</v>
      </c>
      <c r="N168" s="22">
        <f t="shared" si="1167"/>
        <v>6.8651382399743388E-2</v>
      </c>
    </row>
    <row r="169" spans="1:32" x14ac:dyDescent="0.2">
      <c r="A169" s="33" t="s">
        <v>909</v>
      </c>
      <c r="B169" s="22">
        <f t="shared" si="1164"/>
        <v>0.80765823124317149</v>
      </c>
      <c r="C169">
        <f t="shared" ref="C169:H169" si="1179">C152/B152</f>
        <v>0.56524437023832008</v>
      </c>
      <c r="D169">
        <f t="shared" si="1179"/>
        <v>1.3858948033445628</v>
      </c>
      <c r="E169">
        <f t="shared" si="1179"/>
        <v>0.92637472881615313</v>
      </c>
      <c r="F169">
        <f t="shared" si="1179"/>
        <v>0.42634452912110804</v>
      </c>
      <c r="G169">
        <f t="shared" si="1179"/>
        <v>2</v>
      </c>
      <c r="H169">
        <f t="shared" si="1179"/>
        <v>1.1654575630610464</v>
      </c>
      <c r="J169" s="22">
        <v>0.73587923919805187</v>
      </c>
      <c r="K169" s="23">
        <f t="shared" si="1163"/>
        <v>7.1778992045119616E-2</v>
      </c>
      <c r="M169" s="22">
        <f t="shared" si="1166"/>
        <v>1.1654575630610464</v>
      </c>
      <c r="N169" s="22">
        <f t="shared" si="1167"/>
        <v>6.8556327238885079E-2</v>
      </c>
    </row>
    <row r="170" spans="1:32" x14ac:dyDescent="0.2">
      <c r="A170" s="33" t="s">
        <v>910</v>
      </c>
      <c r="B170" s="22">
        <f t="shared" si="1164"/>
        <v>0.28037655056128358</v>
      </c>
      <c r="C170">
        <f t="shared" ref="C170:H170" si="1180">C153/B153</f>
        <v>2.0000000000000004</v>
      </c>
      <c r="D170">
        <f t="shared" si="1180"/>
        <v>0.86143613239221284</v>
      </c>
      <c r="E170">
        <f t="shared" si="1180"/>
        <v>0.8348129779293435</v>
      </c>
      <c r="F170">
        <f t="shared" si="1180"/>
        <v>0.8701733900880938</v>
      </c>
      <c r="G170">
        <f t="shared" si="1180"/>
        <v>0.21289714367763446</v>
      </c>
      <c r="H170">
        <f t="shared" si="1180"/>
        <v>1</v>
      </c>
      <c r="J170" s="22">
        <v>0.28037655056128358</v>
      </c>
      <c r="K170" s="23">
        <f t="shared" si="1163"/>
        <v>0</v>
      </c>
      <c r="M170" s="22">
        <f t="shared" si="1166"/>
        <v>1</v>
      </c>
      <c r="N170" s="22">
        <f t="shared" si="1167"/>
        <v>5.8823529411764705E-2</v>
      </c>
    </row>
    <row r="171" spans="1:32" x14ac:dyDescent="0.2">
      <c r="A171" s="33" t="s">
        <v>911</v>
      </c>
      <c r="B171" s="22">
        <f t="shared" si="1164"/>
        <v>0.38634878079355528</v>
      </c>
      <c r="C171">
        <f t="shared" ref="C171:H171" si="1181">C154/B154</f>
        <v>0.1</v>
      </c>
      <c r="D171">
        <f t="shared" si="1181"/>
        <v>1.3802415897459732</v>
      </c>
      <c r="E171">
        <f t="shared" si="1181"/>
        <v>2.0000000000000004</v>
      </c>
      <c r="F171">
        <f t="shared" si="1181"/>
        <v>1.9776798213030657</v>
      </c>
      <c r="G171">
        <f t="shared" si="1181"/>
        <v>0.14403733330930366</v>
      </c>
      <c r="H171">
        <f t="shared" si="1181"/>
        <v>1</v>
      </c>
      <c r="J171" s="22">
        <v>0.36594198952696738</v>
      </c>
      <c r="K171" s="23">
        <f t="shared" si="1163"/>
        <v>2.0406791266587898E-2</v>
      </c>
      <c r="M171" s="22">
        <f t="shared" si="1166"/>
        <v>1</v>
      </c>
      <c r="N171" s="22">
        <f t="shared" si="1167"/>
        <v>5.8823529411764705E-2</v>
      </c>
    </row>
    <row r="172" spans="1:32" x14ac:dyDescent="0.2">
      <c r="A172" s="33" t="s">
        <v>912</v>
      </c>
      <c r="B172" s="22">
        <f t="shared" si="1164"/>
        <v>0.76919206914439586</v>
      </c>
      <c r="C172">
        <f t="shared" ref="C172:H172" si="1182">C155/B155</f>
        <v>2</v>
      </c>
      <c r="D172">
        <f t="shared" si="1182"/>
        <v>0.10681289931079355</v>
      </c>
      <c r="E172">
        <f t="shared" si="1182"/>
        <v>2</v>
      </c>
      <c r="F172">
        <f t="shared" si="1182"/>
        <v>2.5869331359863286</v>
      </c>
      <c r="G172">
        <f t="shared" si="1182"/>
        <v>1.9883859858410111</v>
      </c>
      <c r="H172">
        <f t="shared" si="1182"/>
        <v>0.97203986032856193</v>
      </c>
      <c r="J172" s="22">
        <v>0.76919210719666686</v>
      </c>
      <c r="K172" s="23">
        <f t="shared" si="1163"/>
        <v>-3.8052271000843518E-8</v>
      </c>
      <c r="M172" s="22">
        <f t="shared" si="1166"/>
        <v>0.97203986032856193</v>
      </c>
      <c r="N172" s="22">
        <f t="shared" si="1167"/>
        <v>5.717881531344482E-2</v>
      </c>
    </row>
    <row r="173" spans="1:32" x14ac:dyDescent="0.2">
      <c r="A173" t="s">
        <v>470</v>
      </c>
      <c r="B173">
        <f>B1</f>
        <v>2017</v>
      </c>
      <c r="C173">
        <f>J1</f>
        <v>2018</v>
      </c>
      <c r="D173">
        <f>R1</f>
        <v>2019</v>
      </c>
      <c r="E173">
        <f>Z1</f>
        <v>2020</v>
      </c>
      <c r="F173">
        <f>AH1</f>
        <v>2021</v>
      </c>
      <c r="G173">
        <f>AP1</f>
        <v>2022</v>
      </c>
      <c r="H173">
        <f>AX1</f>
        <v>2023</v>
      </c>
      <c r="I173">
        <f>BF1</f>
        <v>2024</v>
      </c>
      <c r="J173">
        <f>BN1</f>
        <v>2025</v>
      </c>
      <c r="K173">
        <f>BV1</f>
        <v>2026</v>
      </c>
      <c r="L173">
        <f>CD1</f>
        <v>2027</v>
      </c>
      <c r="M173">
        <f>CL1</f>
        <v>2028</v>
      </c>
      <c r="N173">
        <f>CT1</f>
        <v>2029</v>
      </c>
      <c r="O173">
        <f>DB1</f>
        <v>2030</v>
      </c>
      <c r="P173">
        <f>DJ1</f>
        <v>2031</v>
      </c>
      <c r="Q173">
        <f>DR1</f>
        <v>2032</v>
      </c>
      <c r="R173">
        <f>DZ1</f>
        <v>2033</v>
      </c>
      <c r="S173">
        <f>EH1</f>
        <v>2034</v>
      </c>
      <c r="T173">
        <f>EP1</f>
        <v>2035</v>
      </c>
      <c r="U173">
        <f>EX1</f>
        <v>2036</v>
      </c>
      <c r="V173">
        <f>FF1</f>
        <v>2037</v>
      </c>
      <c r="W173">
        <f>FN1</f>
        <v>2038</v>
      </c>
      <c r="X173">
        <f>FV1</f>
        <v>2039</v>
      </c>
      <c r="Y173">
        <f>GD1</f>
        <v>2040</v>
      </c>
      <c r="Z173">
        <f>GL1</f>
        <v>2041</v>
      </c>
      <c r="AA173">
        <f>GT1</f>
        <v>2042</v>
      </c>
      <c r="AB173">
        <f>HB1</f>
        <v>2043</v>
      </c>
      <c r="AC173">
        <f>HJ1</f>
        <v>2044</v>
      </c>
      <c r="AD173">
        <f>HR1</f>
        <v>2045</v>
      </c>
      <c r="AE173">
        <f>HZ1</f>
        <v>2046</v>
      </c>
      <c r="AF173">
        <f>IH1</f>
        <v>2047</v>
      </c>
    </row>
    <row r="174" spans="1:32" x14ac:dyDescent="0.2">
      <c r="A174" t="s">
        <v>930</v>
      </c>
      <c r="B174">
        <v>93.385078430175781</v>
      </c>
      <c r="C174">
        <v>96.310296211576627</v>
      </c>
      <c r="D174">
        <v>71.406456444408789</v>
      </c>
      <c r="E174">
        <v>74.522999999999996</v>
      </c>
      <c r="F174">
        <v>59.576500000000003</v>
      </c>
      <c r="G174">
        <v>61.27</v>
      </c>
      <c r="H174">
        <v>86.233500000000006</v>
      </c>
    </row>
    <row r="175" spans="1:32" x14ac:dyDescent="0.2">
      <c r="A175" t="s">
        <v>913</v>
      </c>
      <c r="B175">
        <f>B3*100</f>
        <v>93.385078430175781</v>
      </c>
      <c r="C175">
        <f>J3*100</f>
        <v>92.898310604136412</v>
      </c>
      <c r="D175">
        <f>R3*100</f>
        <v>93.578174383828255</v>
      </c>
      <c r="E175">
        <f>Z3*100</f>
        <v>94.192952979816326</v>
      </c>
      <c r="F175">
        <f>AH3*100</f>
        <v>86.466412336519866</v>
      </c>
      <c r="G175">
        <f>AP3*100</f>
        <v>87.762018994147496</v>
      </c>
      <c r="H175">
        <f>AX3*100</f>
        <v>88.933593750329024</v>
      </c>
      <c r="I175">
        <f>BF3*100</f>
        <v>88.046113550600495</v>
      </c>
      <c r="J175">
        <f>BN3*100</f>
        <v>88.635277206702398</v>
      </c>
      <c r="K175">
        <f>BV3*100</f>
        <v>89.723252611245101</v>
      </c>
      <c r="L175">
        <f>CD3*100</f>
        <v>90.707073211273965</v>
      </c>
      <c r="M175">
        <f>CL3*100</f>
        <v>91.596710025672337</v>
      </c>
      <c r="N175">
        <f>CV3*100</f>
        <v>92.589962717210454</v>
      </c>
      <c r="O175">
        <f>DB3*100</f>
        <v>93.1286349930227</v>
      </c>
      <c r="P175">
        <f>DJ3*100</f>
        <v>93.786449201006334</v>
      </c>
      <c r="Q175">
        <f>DR3*100</f>
        <v>94.381289089944829</v>
      </c>
      <c r="R175">
        <f>DZ3*100</f>
        <v>94.919183360360364</v>
      </c>
      <c r="S175">
        <f>EH3*100</f>
        <v>95.405583569099235</v>
      </c>
      <c r="T175">
        <f>EP3*100</f>
        <v>95.84541938084422</v>
      </c>
      <c r="U175">
        <f>EX3*100</f>
        <v>96.243148530251815</v>
      </c>
      <c r="V175">
        <f>FF3*100</f>
        <v>96.602802001079695</v>
      </c>
      <c r="W175">
        <f>FN3*100</f>
        <v>96.928024880195295</v>
      </c>
      <c r="X175">
        <f>FV3*100</f>
        <v>97.22211330052049</v>
      </c>
      <c r="Y175">
        <f>GD3*100</f>
        <v>97.488047847329014</v>
      </c>
      <c r="Z175">
        <f>GL3*100</f>
        <v>97.728523766469422</v>
      </c>
      <c r="AA175">
        <f>GT3*100</f>
        <v>97.945978280673856</v>
      </c>
      <c r="AB175">
        <f>HB3*100</f>
        <v>98.142615290803249</v>
      </c>
      <c r="AC175">
        <f>HJ3*100</f>
        <v>98.320427712376059</v>
      </c>
      <c r="AD175">
        <f>HR3*100</f>
        <v>98.481217673761122</v>
      </c>
      <c r="AE175">
        <f>HZ3*100</f>
        <v>98.626614780743481</v>
      </c>
      <c r="AF175">
        <f>IH3*100</f>
        <v>98.758092632574119</v>
      </c>
    </row>
    <row r="176" spans="1:32" x14ac:dyDescent="0.2">
      <c r="A176" t="s">
        <v>618</v>
      </c>
      <c r="B176">
        <f t="shared" ref="B176:H176" si="1183">(B174-B175)^2</f>
        <v>0</v>
      </c>
      <c r="C176">
        <f t="shared" si="1183"/>
        <v>11.641645785379174</v>
      </c>
      <c r="D176">
        <f t="shared" si="1183"/>
        <v>491.58507638517494</v>
      </c>
      <c r="E176">
        <f t="shared" si="1183"/>
        <v>386.90705022818531</v>
      </c>
      <c r="F176">
        <f t="shared" si="1183"/>
        <v>723.06738546572319</v>
      </c>
      <c r="G176">
        <f t="shared" si="1183"/>
        <v>701.82707038627154</v>
      </c>
      <c r="H176">
        <f t="shared" si="1183"/>
        <v>7.2905062605658184</v>
      </c>
    </row>
    <row r="177" spans="1:32" x14ac:dyDescent="0.2">
      <c r="A177" t="s">
        <v>619</v>
      </c>
      <c r="B177">
        <f>SUM(B176:J176)</f>
        <v>2322.3187345113001</v>
      </c>
    </row>
    <row r="178" spans="1:32" x14ac:dyDescent="0.2">
      <c r="A178" t="s">
        <v>470</v>
      </c>
      <c r="B178">
        <f>B1</f>
        <v>2017</v>
      </c>
      <c r="C178">
        <f>J1</f>
        <v>2018</v>
      </c>
      <c r="D178">
        <f>R1</f>
        <v>2019</v>
      </c>
      <c r="E178">
        <f>Z1</f>
        <v>2020</v>
      </c>
      <c r="F178">
        <f>AH1</f>
        <v>2021</v>
      </c>
      <c r="G178">
        <f>AP1</f>
        <v>2022</v>
      </c>
      <c r="H178">
        <f>AX1</f>
        <v>2023</v>
      </c>
      <c r="I178">
        <f>BF1</f>
        <v>2024</v>
      </c>
      <c r="J178">
        <f>BN1</f>
        <v>2025</v>
      </c>
      <c r="K178">
        <f>BV1</f>
        <v>2026</v>
      </c>
      <c r="L178">
        <f>CD1</f>
        <v>2027</v>
      </c>
      <c r="M178">
        <f>CL1</f>
        <v>2028</v>
      </c>
      <c r="N178">
        <f>CT1</f>
        <v>2029</v>
      </c>
      <c r="O178">
        <f>DB1</f>
        <v>2030</v>
      </c>
      <c r="P178">
        <f>DJ1</f>
        <v>2031</v>
      </c>
      <c r="Q178">
        <f>DR1</f>
        <v>2032</v>
      </c>
      <c r="R178">
        <f>DZ1</f>
        <v>2033</v>
      </c>
      <c r="S178">
        <f>EH1</f>
        <v>2034</v>
      </c>
      <c r="T178">
        <f>EP1</f>
        <v>2035</v>
      </c>
      <c r="U178">
        <f>EX1</f>
        <v>2036</v>
      </c>
      <c r="V178">
        <f>FF1</f>
        <v>2037</v>
      </c>
      <c r="W178">
        <f>FN1</f>
        <v>2038</v>
      </c>
      <c r="X178">
        <f>FV1</f>
        <v>2039</v>
      </c>
      <c r="Y178">
        <f>GD1</f>
        <v>2040</v>
      </c>
      <c r="Z178">
        <f>GL1</f>
        <v>2041</v>
      </c>
      <c r="AA178">
        <f>GT1</f>
        <v>2042</v>
      </c>
      <c r="AB178">
        <f>HB1</f>
        <v>2043</v>
      </c>
      <c r="AC178">
        <f>HJ1</f>
        <v>2044</v>
      </c>
      <c r="AD178">
        <f>HR1</f>
        <v>2045</v>
      </c>
      <c r="AE178">
        <f>HZ1</f>
        <v>2046</v>
      </c>
      <c r="AF178">
        <f>IH1</f>
        <v>2047</v>
      </c>
    </row>
    <row r="179" spans="1:32" x14ac:dyDescent="0.2">
      <c r="A179" t="s">
        <v>931</v>
      </c>
      <c r="B179">
        <v>36.852024078369141</v>
      </c>
      <c r="C179">
        <v>39.561089214845182</v>
      </c>
      <c r="D179">
        <v>42.567653143490233</v>
      </c>
      <c r="E179">
        <v>44.254857142857148</v>
      </c>
      <c r="F179">
        <v>52.439124999999997</v>
      </c>
      <c r="G179">
        <v>52.044125000000001</v>
      </c>
      <c r="H179">
        <v>54.391750000000002</v>
      </c>
    </row>
    <row r="180" spans="1:32" x14ac:dyDescent="0.2">
      <c r="A180" t="s">
        <v>914</v>
      </c>
      <c r="B180">
        <f>B4*100</f>
        <v>36.852024078369141</v>
      </c>
      <c r="C180">
        <f>J4*100</f>
        <v>39.34375011155759</v>
      </c>
      <c r="D180">
        <f>R4*100</f>
        <v>42.987581711995126</v>
      </c>
      <c r="E180">
        <f>Z4*100</f>
        <v>45.329897479545963</v>
      </c>
      <c r="F180">
        <f>AH4*100</f>
        <v>50.563613073661493</v>
      </c>
      <c r="G180">
        <f>AP4*100</f>
        <v>48.318779452848169</v>
      </c>
      <c r="H180">
        <f>AX4*100</f>
        <v>49.116481704097389</v>
      </c>
      <c r="I180">
        <f>BF4*100</f>
        <v>51.23461539023679</v>
      </c>
      <c r="J180">
        <f>BN4*100</f>
        <v>54.314426768848008</v>
      </c>
      <c r="K180">
        <f>BV4*100</f>
        <v>58.336864450371586</v>
      </c>
      <c r="L180">
        <f>CD4*100</f>
        <v>62.325388198690113</v>
      </c>
      <c r="M180">
        <f>CL4*100</f>
        <v>65.932079867376743</v>
      </c>
      <c r="N180">
        <f>CV4*100</f>
        <v>69.958842417545782</v>
      </c>
      <c r="O180">
        <f>DB4*100</f>
        <v>72.142682809355961</v>
      </c>
      <c r="P180">
        <f>DJ4*100</f>
        <v>74.809538525171561</v>
      </c>
      <c r="Q180">
        <f>DR4*100</f>
        <v>77.221088988140792</v>
      </c>
      <c r="R180">
        <f>DZ4*100</f>
        <v>79.401775255102407</v>
      </c>
      <c r="S180">
        <f>EH4*100</f>
        <v>81.373698574948648</v>
      </c>
      <c r="T180">
        <f>EP4*100</f>
        <v>83.15684438471763</v>
      </c>
      <c r="U180">
        <f>EX4*100</f>
        <v>84.769284861938914</v>
      </c>
      <c r="V180">
        <f>FF4*100</f>
        <v>86.227362086099561</v>
      </c>
      <c r="W180">
        <f>FN4*100</f>
        <v>87.545853665571528</v>
      </c>
      <c r="X180">
        <f>FV4*100</f>
        <v>88.738122508628976</v>
      </c>
      <c r="Y180">
        <f>GD4*100</f>
        <v>89.816252256484418</v>
      </c>
      <c r="Z180">
        <f>GL4*100</f>
        <v>90.79116975095657</v>
      </c>
      <c r="AA180">
        <f>GT4*100</f>
        <v>91.672755777980186</v>
      </c>
      <c r="AB180">
        <f>HB4*100</f>
        <v>92.46994520934237</v>
      </c>
      <c r="AC180">
        <f>HJ4*100</f>
        <v>93.190817557581795</v>
      </c>
      <c r="AD180">
        <f>HR4*100</f>
        <v>93.842678861824439</v>
      </c>
      <c r="AE180">
        <f>HZ4*100</f>
        <v>94.432135734468673</v>
      </c>
      <c r="AF180">
        <f>IH4*100</f>
        <v>94.965162319182454</v>
      </c>
    </row>
    <row r="181" spans="1:32" x14ac:dyDescent="0.2">
      <c r="A181" t="s">
        <v>620</v>
      </c>
      <c r="B181">
        <f t="shared" ref="B181:H181" si="1184">(B179-B180)^2</f>
        <v>0</v>
      </c>
      <c r="C181">
        <f t="shared" si="1184"/>
        <v>4.7236285817854863E-2</v>
      </c>
      <c r="D181">
        <f t="shared" si="1184"/>
        <v>0.17634000264656899</v>
      </c>
      <c r="E181">
        <f t="shared" si="1184"/>
        <v>1.1557117255080007</v>
      </c>
      <c r="F181">
        <f t="shared" si="1184"/>
        <v>3.5175449858379664</v>
      </c>
      <c r="G181">
        <f t="shared" si="1184"/>
        <v>13.878199445683984</v>
      </c>
      <c r="H181">
        <f t="shared" si="1184"/>
        <v>27.828455593755262</v>
      </c>
    </row>
    <row r="182" spans="1:32" x14ac:dyDescent="0.2">
      <c r="A182" t="s">
        <v>621</v>
      </c>
      <c r="B182">
        <f>SUM(B181:J181)</f>
        <v>46.60348803924964</v>
      </c>
    </row>
    <row r="183" spans="1:32" x14ac:dyDescent="0.2">
      <c r="A183" t="s">
        <v>470</v>
      </c>
      <c r="B183">
        <f>B1</f>
        <v>2017</v>
      </c>
      <c r="C183">
        <f>J1</f>
        <v>2018</v>
      </c>
      <c r="D183">
        <f>R1</f>
        <v>2019</v>
      </c>
      <c r="E183">
        <f>Z1</f>
        <v>2020</v>
      </c>
      <c r="F183">
        <f>AH1</f>
        <v>2021</v>
      </c>
      <c r="G183">
        <f>AP1</f>
        <v>2022</v>
      </c>
      <c r="H183">
        <f>AX1</f>
        <v>2023</v>
      </c>
      <c r="I183">
        <f>BF1</f>
        <v>2024</v>
      </c>
      <c r="J183">
        <f>BN1</f>
        <v>2025</v>
      </c>
      <c r="K183">
        <f>BV1</f>
        <v>2026</v>
      </c>
      <c r="L183">
        <f>CD1</f>
        <v>2027</v>
      </c>
      <c r="M183">
        <f>CL1</f>
        <v>2028</v>
      </c>
      <c r="N183">
        <f>CT1</f>
        <v>2029</v>
      </c>
      <c r="O183">
        <f>DB1</f>
        <v>2030</v>
      </c>
      <c r="P183">
        <f>DJ1</f>
        <v>2031</v>
      </c>
      <c r="Q183">
        <f>DR1</f>
        <v>2032</v>
      </c>
      <c r="R183">
        <f>DZ1</f>
        <v>2033</v>
      </c>
      <c r="S183">
        <f>EH1</f>
        <v>2034</v>
      </c>
      <c r="T183">
        <f>EP1</f>
        <v>2035</v>
      </c>
      <c r="U183">
        <f>EX1</f>
        <v>2036</v>
      </c>
      <c r="V183">
        <f>FF1</f>
        <v>2037</v>
      </c>
      <c r="W183">
        <f>FN1</f>
        <v>2038</v>
      </c>
      <c r="X183">
        <f>FV1</f>
        <v>2039</v>
      </c>
      <c r="Y183">
        <f>GD1</f>
        <v>2040</v>
      </c>
      <c r="Z183">
        <f>GL1</f>
        <v>2041</v>
      </c>
      <c r="AA183">
        <f>GT1</f>
        <v>2042</v>
      </c>
      <c r="AB183">
        <f>HB1</f>
        <v>2043</v>
      </c>
      <c r="AC183">
        <f>HJ1</f>
        <v>2044</v>
      </c>
      <c r="AD183">
        <f>HR1</f>
        <v>2045</v>
      </c>
      <c r="AE183">
        <f>HZ1</f>
        <v>2046</v>
      </c>
      <c r="AF183">
        <f>IH1</f>
        <v>2047</v>
      </c>
    </row>
    <row r="184" spans="1:32" x14ac:dyDescent="0.2">
      <c r="A184" t="s">
        <v>932</v>
      </c>
      <c r="B184">
        <v>55.213714599609375</v>
      </c>
      <c r="C184">
        <v>58.851014263127233</v>
      </c>
      <c r="D184">
        <v>58.758006013518653</v>
      </c>
      <c r="E184">
        <v>55.851076923076917</v>
      </c>
      <c r="F184">
        <v>57.9704615384615</v>
      </c>
      <c r="G184">
        <v>62.275142857142903</v>
      </c>
      <c r="H184">
        <v>64.791642857142904</v>
      </c>
    </row>
    <row r="185" spans="1:32" x14ac:dyDescent="0.2">
      <c r="A185" t="s">
        <v>915</v>
      </c>
      <c r="B185">
        <f>B5*100</f>
        <v>55.213714599609375</v>
      </c>
      <c r="C185">
        <f>J5*100</f>
        <v>58.495717150725866</v>
      </c>
      <c r="D185">
        <f>R5*100</f>
        <v>58.660199744134758</v>
      </c>
      <c r="E185">
        <f>Z5*100</f>
        <v>55.842165404730537</v>
      </c>
      <c r="F185">
        <f>AH5*100</f>
        <v>56.393921996174711</v>
      </c>
      <c r="G185">
        <f>AP5*100</f>
        <v>58.885395572279755</v>
      </c>
      <c r="H185">
        <f>AX5*100</f>
        <v>62.821406964589556</v>
      </c>
      <c r="I185">
        <f>BF5*100</f>
        <v>64.789236751403678</v>
      </c>
      <c r="J185">
        <f>BN5*100</f>
        <v>68.078527228679135</v>
      </c>
      <c r="K185">
        <f>BV5*100</f>
        <v>71.134455462358432</v>
      </c>
      <c r="L185">
        <f>CD5*100</f>
        <v>73.897831487175097</v>
      </c>
      <c r="M185">
        <f>CL5*100</f>
        <v>76.396662111000822</v>
      </c>
      <c r="N185">
        <f>CV5*100</f>
        <v>79.186531193128701</v>
      </c>
      <c r="O185">
        <f>DB5*100</f>
        <v>80.699565228164474</v>
      </c>
      <c r="P185">
        <f>DJ5*100</f>
        <v>82.547247631920214</v>
      </c>
      <c r="Q185">
        <f>DR5*100</f>
        <v>84.218046441834318</v>
      </c>
      <c r="R185">
        <f>DZ5*100</f>
        <v>85.728895198923738</v>
      </c>
      <c r="S185">
        <f>EH5*100</f>
        <v>87.0951063508912</v>
      </c>
      <c r="T185">
        <f>EP5*100</f>
        <v>88.330526443737668</v>
      </c>
      <c r="U185">
        <f>EX5*100</f>
        <v>89.44767645646499</v>
      </c>
      <c r="V185">
        <f>FF5*100</f>
        <v>90.457878701161505</v>
      </c>
      <c r="W185">
        <f>FN5*100</f>
        <v>91.371371574601568</v>
      </c>
      <c r="X185">
        <f>FV5*100</f>
        <v>92.19741332436675</v>
      </c>
      <c r="Y185">
        <f>GD5*100</f>
        <v>92.944375881157683</v>
      </c>
      <c r="Z185">
        <f>GL5*100</f>
        <v>93.619829708287185</v>
      </c>
      <c r="AA185">
        <f>GT5*100</f>
        <v>94.230620528303604</v>
      </c>
      <c r="AB185">
        <f>HB5*100</f>
        <v>94.782938704368675</v>
      </c>
      <c r="AC185">
        <f>HJ5*100</f>
        <v>95.282381979569905</v>
      </c>
      <c r="AD185">
        <f>HR5*100</f>
        <v>95.734012210030286</v>
      </c>
      <c r="AE185">
        <f>HZ5*100</f>
        <v>96.142406666805229</v>
      </c>
      <c r="AF185">
        <f>IH5*100</f>
        <v>96.511704426511159</v>
      </c>
    </row>
    <row r="186" spans="1:32" x14ac:dyDescent="0.2">
      <c r="A186" t="s">
        <v>622</v>
      </c>
      <c r="B186">
        <f t="shared" ref="B186:H186" si="1185">(B184-B185)^2</f>
        <v>0</v>
      </c>
      <c r="C186">
        <f t="shared" si="1185"/>
        <v>0.12623603808074935</v>
      </c>
      <c r="D186">
        <f t="shared" si="1185"/>
        <v>9.5660663307950422E-3</v>
      </c>
      <c r="E186">
        <f t="shared" si="1185"/>
        <v>7.9415159237874037E-5</v>
      </c>
      <c r="F186">
        <f t="shared" si="1185"/>
        <v>2.4854769283938358</v>
      </c>
      <c r="G186">
        <f t="shared" si="1185"/>
        <v>11.490386655237083</v>
      </c>
      <c r="H186">
        <f t="shared" si="1185"/>
        <v>3.8818294723054856</v>
      </c>
    </row>
    <row r="187" spans="1:32" x14ac:dyDescent="0.2">
      <c r="A187" t="s">
        <v>623</v>
      </c>
      <c r="B187">
        <f>SUM(B186:J186)</f>
        <v>17.993574575507189</v>
      </c>
    </row>
    <row r="188" spans="1:32" x14ac:dyDescent="0.2">
      <c r="A188" t="s">
        <v>470</v>
      </c>
      <c r="B188">
        <f>B1</f>
        <v>2017</v>
      </c>
      <c r="C188">
        <f>J1</f>
        <v>2018</v>
      </c>
      <c r="D188">
        <f>R1</f>
        <v>2019</v>
      </c>
      <c r="E188">
        <f>Z1</f>
        <v>2020</v>
      </c>
      <c r="F188">
        <f>AH1</f>
        <v>2021</v>
      </c>
      <c r="G188">
        <f>AP1</f>
        <v>2022</v>
      </c>
      <c r="H188">
        <f>AX1</f>
        <v>2023</v>
      </c>
      <c r="I188">
        <f>BF1</f>
        <v>2024</v>
      </c>
      <c r="J188">
        <f>BN1</f>
        <v>2025</v>
      </c>
      <c r="K188">
        <f>BV1</f>
        <v>2026</v>
      </c>
      <c r="L188">
        <f>CD1</f>
        <v>2027</v>
      </c>
      <c r="M188">
        <f>CL1</f>
        <v>2028</v>
      </c>
      <c r="N188">
        <f>CT1</f>
        <v>2029</v>
      </c>
      <c r="O188">
        <f>DB1</f>
        <v>2030</v>
      </c>
      <c r="P188">
        <f>DJ1</f>
        <v>2031</v>
      </c>
      <c r="Q188">
        <f>DR1</f>
        <v>2032</v>
      </c>
      <c r="R188">
        <f>DZ1</f>
        <v>2033</v>
      </c>
      <c r="S188">
        <f>EH1</f>
        <v>2034</v>
      </c>
      <c r="T188">
        <f>EP1</f>
        <v>2035</v>
      </c>
      <c r="U188">
        <f>EX1</f>
        <v>2036</v>
      </c>
      <c r="V188">
        <f>FF1</f>
        <v>2037</v>
      </c>
      <c r="W188">
        <f>FN1</f>
        <v>2038</v>
      </c>
      <c r="X188">
        <f>FV1</f>
        <v>2039</v>
      </c>
      <c r="Y188">
        <f>GD1</f>
        <v>2040</v>
      </c>
      <c r="Z188">
        <f>GL1</f>
        <v>2041</v>
      </c>
      <c r="AA188">
        <f>GT1</f>
        <v>2042</v>
      </c>
      <c r="AB188">
        <f>HB1</f>
        <v>2043</v>
      </c>
      <c r="AC188">
        <f>HJ1</f>
        <v>2044</v>
      </c>
      <c r="AD188">
        <f>HR1</f>
        <v>2045</v>
      </c>
      <c r="AE188">
        <f>HZ1</f>
        <v>2046</v>
      </c>
      <c r="AF188">
        <f>IH1</f>
        <v>2047</v>
      </c>
    </row>
    <row r="189" spans="1:32" x14ac:dyDescent="0.2">
      <c r="A189" t="s">
        <v>933</v>
      </c>
      <c r="B189">
        <v>65.300369262695313</v>
      </c>
      <c r="C189">
        <v>64.757870957102995</v>
      </c>
      <c r="D189">
        <v>80.242410615475947</v>
      </c>
      <c r="E189">
        <v>83.24466666666666</v>
      </c>
      <c r="F189">
        <v>86.477333333333306</v>
      </c>
      <c r="G189">
        <v>82.913499999999999</v>
      </c>
      <c r="H189">
        <v>89.292249999999996</v>
      </c>
    </row>
    <row r="190" spans="1:32" x14ac:dyDescent="0.2">
      <c r="A190" t="s">
        <v>916</v>
      </c>
      <c r="B190">
        <f>B6*100</f>
        <v>65.300369262695313</v>
      </c>
      <c r="C190">
        <f>J6*100</f>
        <v>64.755549575108006</v>
      </c>
      <c r="D190">
        <f>R6*100</f>
        <v>68.129595375109503</v>
      </c>
      <c r="E190">
        <f>Z6*100</f>
        <v>71.180634718115215</v>
      </c>
      <c r="F190">
        <f>AH6*100</f>
        <v>73.939589878879403</v>
      </c>
      <c r="G190">
        <f>AP6*100</f>
        <v>72.731341879314058</v>
      </c>
      <c r="H190">
        <f>AX6*100</f>
        <v>75.341843682990842</v>
      </c>
      <c r="I190">
        <f>BF6*100</f>
        <v>75.014653324135878</v>
      </c>
      <c r="J190">
        <f>BN6*100</f>
        <v>76.473740929014397</v>
      </c>
      <c r="K190">
        <f>BV6*100</f>
        <v>78.725972830810292</v>
      </c>
      <c r="L190">
        <f>CD6*100</f>
        <v>80.762592529911259</v>
      </c>
      <c r="M190">
        <f>CL6*100</f>
        <v>82.604241160968598</v>
      </c>
      <c r="N190">
        <f>CV6*100</f>
        <v>84.660386354220492</v>
      </c>
      <c r="O190">
        <f>DB6*100</f>
        <v>85.775498772324568</v>
      </c>
      <c r="P190">
        <f>DJ6*100</f>
        <v>87.13724843917305</v>
      </c>
      <c r="Q190">
        <f>DR6*100</f>
        <v>88.368634156841082</v>
      </c>
      <c r="R190">
        <f>DZ6*100</f>
        <v>89.482136015950047</v>
      </c>
      <c r="S190">
        <f>EH6*100</f>
        <v>90.489039354562109</v>
      </c>
      <c r="T190">
        <f>EP6*100</f>
        <v>91.399549135048133</v>
      </c>
      <c r="U190">
        <f>EX6*100</f>
        <v>92.222893371351361</v>
      </c>
      <c r="V190">
        <f>FF6*100</f>
        <v>92.967416654881518</v>
      </c>
      <c r="W190">
        <f>FN6*100</f>
        <v>93.640664726924058</v>
      </c>
      <c r="X190">
        <f>FV6*100</f>
        <v>94.249460954706038</v>
      </c>
      <c r="Y190">
        <f>GD6*100</f>
        <v>94.799975486202754</v>
      </c>
      <c r="Z190">
        <f>GL6*100</f>
        <v>95.297787784569337</v>
      </c>
      <c r="AA190">
        <f>GT6*100</f>
        <v>95.747943175983366</v>
      </c>
      <c r="AB190">
        <f>HB6*100</f>
        <v>96.155003984010861</v>
      </c>
      <c r="AC190">
        <f>HJ6*100</f>
        <v>96.52309576874211</v>
      </c>
      <c r="AD190">
        <f>HR6*100</f>
        <v>96.85594913933113</v>
      </c>
      <c r="AE190">
        <f>HZ6*100</f>
        <v>97.156937563708397</v>
      </c>
      <c r="AF190">
        <f>IH6*100</f>
        <v>97.429111558668353</v>
      </c>
    </row>
    <row r="191" spans="1:32" x14ac:dyDescent="0.2">
      <c r="A191" t="s">
        <v>624</v>
      </c>
      <c r="B191">
        <f t="shared" ref="B191:H191" si="1186">(B189-B190)^2</f>
        <v>0</v>
      </c>
      <c r="C191">
        <f t="shared" si="1186"/>
        <v>5.3888143666580385E-6</v>
      </c>
      <c r="D191">
        <f t="shared" si="1186"/>
        <v>146.72029304725359</v>
      </c>
      <c r="E191">
        <f t="shared" si="1186"/>
        <v>145.54086685566998</v>
      </c>
      <c r="F191">
        <f t="shared" si="1186"/>
        <v>157.19501092970168</v>
      </c>
      <c r="G191">
        <f t="shared" si="1186"/>
        <v>103.67634399465065</v>
      </c>
      <c r="H191">
        <f t="shared" si="1186"/>
        <v>194.61383640964891</v>
      </c>
    </row>
    <row r="192" spans="1:32" x14ac:dyDescent="0.2">
      <c r="A192" t="s">
        <v>625</v>
      </c>
      <c r="B192">
        <f>SUM(B191:J191)</f>
        <v>747.74635662573917</v>
      </c>
    </row>
    <row r="193" spans="1:32" x14ac:dyDescent="0.2">
      <c r="A193" t="s">
        <v>470</v>
      </c>
      <c r="B193">
        <f>B1</f>
        <v>2017</v>
      </c>
      <c r="C193">
        <f>J1</f>
        <v>2018</v>
      </c>
      <c r="D193">
        <f>R1</f>
        <v>2019</v>
      </c>
      <c r="E193">
        <f>Z1</f>
        <v>2020</v>
      </c>
      <c r="F193">
        <f>AH1</f>
        <v>2021</v>
      </c>
      <c r="G193">
        <f>AP1</f>
        <v>2022</v>
      </c>
      <c r="H193">
        <f>AX1</f>
        <v>2023</v>
      </c>
      <c r="I193">
        <f>BF1</f>
        <v>2024</v>
      </c>
      <c r="J193">
        <f>BN1</f>
        <v>2025</v>
      </c>
      <c r="K193">
        <f>BV1</f>
        <v>2026</v>
      </c>
      <c r="L193">
        <f>CD1</f>
        <v>2027</v>
      </c>
      <c r="M193">
        <f>CL1</f>
        <v>2028</v>
      </c>
      <c r="N193">
        <f>CT1</f>
        <v>2029</v>
      </c>
      <c r="O193">
        <f>DB1</f>
        <v>2030</v>
      </c>
      <c r="P193">
        <f>DJ1</f>
        <v>2031</v>
      </c>
      <c r="Q193">
        <f>DR1</f>
        <v>2032</v>
      </c>
      <c r="R193">
        <f>DZ1</f>
        <v>2033</v>
      </c>
      <c r="S193">
        <f>EH1</f>
        <v>2034</v>
      </c>
      <c r="T193">
        <f>EP1</f>
        <v>2035</v>
      </c>
      <c r="U193">
        <f>EX1</f>
        <v>2036</v>
      </c>
      <c r="V193">
        <f>FF1</f>
        <v>2037</v>
      </c>
      <c r="W193">
        <f>FN1</f>
        <v>2038</v>
      </c>
      <c r="X193">
        <f>FV1</f>
        <v>2039</v>
      </c>
      <c r="Y193">
        <f>GD1</f>
        <v>2040</v>
      </c>
      <c r="Z193">
        <f>GL1</f>
        <v>2041</v>
      </c>
      <c r="AA193">
        <f>GT1</f>
        <v>2042</v>
      </c>
      <c r="AB193">
        <f>HB1</f>
        <v>2043</v>
      </c>
      <c r="AC193">
        <f>HJ1</f>
        <v>2044</v>
      </c>
      <c r="AD193">
        <f>HR1</f>
        <v>2045</v>
      </c>
      <c r="AE193">
        <f>HZ1</f>
        <v>2046</v>
      </c>
      <c r="AF193">
        <f>IH1</f>
        <v>2047</v>
      </c>
    </row>
    <row r="194" spans="1:32" x14ac:dyDescent="0.2">
      <c r="A194" t="s">
        <v>934</v>
      </c>
      <c r="B194">
        <v>33.300739288330078</v>
      </c>
      <c r="C194">
        <v>36.394326942063515</v>
      </c>
      <c r="D194">
        <v>33.187863457581493</v>
      </c>
      <c r="E194">
        <v>31.111000000000001</v>
      </c>
      <c r="F194">
        <v>34.082250000000002</v>
      </c>
      <c r="G194">
        <v>33.89425</v>
      </c>
      <c r="H194">
        <v>46.253999999999998</v>
      </c>
    </row>
    <row r="195" spans="1:32" x14ac:dyDescent="0.2">
      <c r="A195" t="s">
        <v>917</v>
      </c>
      <c r="B195">
        <f>B7*100</f>
        <v>33.300739288330078</v>
      </c>
      <c r="C195">
        <f>J7*100</f>
        <v>36.39475330928439</v>
      </c>
      <c r="D195">
        <f>R7*100</f>
        <v>33.960101259644674</v>
      </c>
      <c r="E195">
        <f>Z7*100</f>
        <v>31.781060751957206</v>
      </c>
      <c r="F195">
        <f>AH7*100</f>
        <v>30.850600593781241</v>
      </c>
      <c r="G195">
        <f>AP7*100</f>
        <v>31.463964780017477</v>
      </c>
      <c r="H195">
        <f>AX7*100</f>
        <v>36.206636214995704</v>
      </c>
      <c r="I195">
        <f>BF7*100</f>
        <v>39.391715387372557</v>
      </c>
      <c r="J195">
        <f>BN7*100</f>
        <v>43.398579071717123</v>
      </c>
      <c r="K195">
        <f>BV7*100</f>
        <v>48.546666577581263</v>
      </c>
      <c r="L195">
        <f>CD7*100</f>
        <v>53.472432235353473</v>
      </c>
      <c r="M195">
        <f>CL7*100</f>
        <v>57.926641130882651</v>
      </c>
      <c r="N195">
        <f>CV7*100</f>
        <v>62.899631122477388</v>
      </c>
      <c r="O195">
        <f>DB7*100</f>
        <v>65.596640513124569</v>
      </c>
      <c r="P195">
        <f>DJ7*100</f>
        <v>68.890166420983562</v>
      </c>
      <c r="Q195">
        <f>DR7*100</f>
        <v>71.868394257156382</v>
      </c>
      <c r="R195">
        <f>DZ7*100</f>
        <v>74.561508351989943</v>
      </c>
      <c r="S195">
        <f>EH7*100</f>
        <v>76.996803408902565</v>
      </c>
      <c r="T195">
        <f>EP7*100</f>
        <v>79.198961136122648</v>
      </c>
      <c r="U195">
        <f>EX7*100</f>
        <v>81.190300395728883</v>
      </c>
      <c r="V195">
        <f>FF7*100</f>
        <v>82.991003405251703</v>
      </c>
      <c r="W195">
        <f>FN7*100</f>
        <v>84.619320284388465</v>
      </c>
      <c r="X195">
        <f>FV7*100</f>
        <v>86.091754019912827</v>
      </c>
      <c r="Y195">
        <f>GD7*100</f>
        <v>87.423227723397147</v>
      </c>
      <c r="Z195">
        <f>GL7*100</f>
        <v>88.627235876904251</v>
      </c>
      <c r="AA195">
        <f>GT7*100</f>
        <v>89.715981099523404</v>
      </c>
      <c r="AB195">
        <f>HB7*100</f>
        <v>90.700497820878851</v>
      </c>
      <c r="AC195">
        <f>HJ7*100</f>
        <v>91.590764115041509</v>
      </c>
      <c r="AD195">
        <f>HR7*100</f>
        <v>92.395802828280381</v>
      </c>
      <c r="AE195">
        <f>HZ7*100</f>
        <v>93.123773025582793</v>
      </c>
      <c r="AF195">
        <f>IH7*100</f>
        <v>93.782052682754099</v>
      </c>
    </row>
    <row r="196" spans="1:32" x14ac:dyDescent="0.2">
      <c r="A196" t="s">
        <v>626</v>
      </c>
      <c r="B196">
        <f t="shared" ref="B196:H196" si="1187">(B194-B195)^2</f>
        <v>0</v>
      </c>
      <c r="C196">
        <f t="shared" si="1187"/>
        <v>1.8178900703673845E-7</v>
      </c>
      <c r="D196">
        <f t="shared" si="1187"/>
        <v>0.59635122293537246</v>
      </c>
      <c r="E196">
        <f t="shared" si="1187"/>
        <v>0.44898141131345537</v>
      </c>
      <c r="F196">
        <f t="shared" si="1187"/>
        <v>10.443557884714069</v>
      </c>
      <c r="G196">
        <f t="shared" si="1187"/>
        <v>5.9062862504654978</v>
      </c>
      <c r="H196">
        <f t="shared" si="1187"/>
        <v>100.9495190282158</v>
      </c>
    </row>
    <row r="197" spans="1:32" x14ac:dyDescent="0.2">
      <c r="A197" t="s">
        <v>627</v>
      </c>
      <c r="B197">
        <f>SUM(B196:J196)</f>
        <v>118.3446959794332</v>
      </c>
    </row>
    <row r="198" spans="1:32" x14ac:dyDescent="0.2">
      <c r="A198" t="s">
        <v>470</v>
      </c>
      <c r="B198">
        <f>B1</f>
        <v>2017</v>
      </c>
      <c r="C198">
        <f>J1</f>
        <v>2018</v>
      </c>
      <c r="D198">
        <f>R1</f>
        <v>2019</v>
      </c>
      <c r="E198">
        <f>Z1</f>
        <v>2020</v>
      </c>
      <c r="F198">
        <f>AH1</f>
        <v>2021</v>
      </c>
      <c r="G198">
        <f>AP1</f>
        <v>2022</v>
      </c>
      <c r="H198">
        <f>AX1</f>
        <v>2023</v>
      </c>
      <c r="I198">
        <f>BF1</f>
        <v>2024</v>
      </c>
      <c r="J198">
        <f>BN1</f>
        <v>2025</v>
      </c>
      <c r="K198">
        <f>BV1</f>
        <v>2026</v>
      </c>
      <c r="L198">
        <f>CD1</f>
        <v>2027</v>
      </c>
      <c r="M198">
        <f>CL1</f>
        <v>2028</v>
      </c>
      <c r="N198">
        <f>CT1</f>
        <v>2029</v>
      </c>
      <c r="O198">
        <f>DB1</f>
        <v>2030</v>
      </c>
      <c r="P198">
        <f>DJ1</f>
        <v>2031</v>
      </c>
      <c r="Q198">
        <f>DR1</f>
        <v>2032</v>
      </c>
      <c r="R198">
        <f>DZ1</f>
        <v>2033</v>
      </c>
      <c r="S198">
        <f>EH1</f>
        <v>2034</v>
      </c>
      <c r="T198">
        <f>EP1</f>
        <v>2035</v>
      </c>
      <c r="U198">
        <f>EX1</f>
        <v>2036</v>
      </c>
      <c r="V198">
        <f>FF1</f>
        <v>2037</v>
      </c>
      <c r="W198">
        <f>FN1</f>
        <v>2038</v>
      </c>
      <c r="X198">
        <f>FV1</f>
        <v>2039</v>
      </c>
      <c r="Y198">
        <f>GD1</f>
        <v>2040</v>
      </c>
      <c r="Z198">
        <f>GL1</f>
        <v>2041</v>
      </c>
      <c r="AA198">
        <f>GT1</f>
        <v>2042</v>
      </c>
      <c r="AB198">
        <f>HB1</f>
        <v>2043</v>
      </c>
      <c r="AC198">
        <f>HJ1</f>
        <v>2044</v>
      </c>
      <c r="AD198">
        <f>HR1</f>
        <v>2045</v>
      </c>
      <c r="AE198">
        <f>HZ1</f>
        <v>2046</v>
      </c>
      <c r="AF198">
        <f>IH1</f>
        <v>2047</v>
      </c>
    </row>
    <row r="199" spans="1:32" x14ac:dyDescent="0.2">
      <c r="A199" t="s">
        <v>935</v>
      </c>
      <c r="B199">
        <v>73.716346740722656</v>
      </c>
      <c r="C199">
        <v>70.191410488293883</v>
      </c>
      <c r="D199">
        <v>56.582692499487734</v>
      </c>
      <c r="E199">
        <v>56.130600000000001</v>
      </c>
      <c r="F199">
        <v>56.130600000000001</v>
      </c>
      <c r="G199">
        <v>58.575000000000003</v>
      </c>
      <c r="H199">
        <v>58.125399999999999</v>
      </c>
    </row>
    <row r="200" spans="1:32" x14ac:dyDescent="0.2">
      <c r="A200" t="s">
        <v>918</v>
      </c>
      <c r="B200">
        <f>B8*100</f>
        <v>73.716346740722656</v>
      </c>
      <c r="C200">
        <f>J8*100</f>
        <v>70.196971288063168</v>
      </c>
      <c r="D200">
        <f>R8*100</f>
        <v>64.434153718240822</v>
      </c>
      <c r="E200">
        <f>Z8*100</f>
        <v>59.223026136011555</v>
      </c>
      <c r="F200">
        <f>AH8*100</f>
        <v>55.468100608669779</v>
      </c>
      <c r="G200">
        <f>AP8*100</f>
        <v>57.215054170918023</v>
      </c>
      <c r="H200">
        <f>AX8*100</f>
        <v>58.239135481521721</v>
      </c>
      <c r="I200">
        <f>BF8*100</f>
        <v>62.237014838846505</v>
      </c>
      <c r="J200">
        <f>BN8*100</f>
        <v>65.85216647898811</v>
      </c>
      <c r="K200">
        <f>BV8*100</f>
        <v>69.121229953170598</v>
      </c>
      <c r="L200">
        <f>CD8*100</f>
        <v>72.077337210075427</v>
      </c>
      <c r="M200">
        <f>CL8*100</f>
        <v>74.750448388043822</v>
      </c>
      <c r="N200">
        <f>CV8*100</f>
        <v>77.734896456431386</v>
      </c>
      <c r="O200">
        <f>DB8*100</f>
        <v>79.353456815479888</v>
      </c>
      <c r="P200">
        <f>DJ8*100</f>
        <v>81.330005541801015</v>
      </c>
      <c r="Q200">
        <f>DR8*100</f>
        <v>83.1173339554731</v>
      </c>
      <c r="R200">
        <f>DZ8*100</f>
        <v>84.733556624703922</v>
      </c>
      <c r="S200">
        <f>EH8*100</f>
        <v>86.195053961485428</v>
      </c>
      <c r="T200">
        <f>EP8*100</f>
        <v>87.516638237020885</v>
      </c>
      <c r="U200">
        <f>EX8*100</f>
        <v>88.711703704049981</v>
      </c>
      <c r="V200">
        <f>FF8*100</f>
        <v>89.792362347560911</v>
      </c>
      <c r="W200">
        <f>FN8*100</f>
        <v>90.769566639722427</v>
      </c>
      <c r="X200">
        <f>FV8*100</f>
        <v>91.653220543157119</v>
      </c>
      <c r="Y200">
        <f>GD8*100</f>
        <v>92.452279887573454</v>
      </c>
      <c r="Z200">
        <f>GL8*100</f>
        <v>93.174843137073367</v>
      </c>
      <c r="AA200">
        <f>GT8*100</f>
        <v>93.828233468062152</v>
      </c>
      <c r="AB200">
        <f>HB8*100</f>
        <v>94.419072989619735</v>
      </c>
      <c r="AC200">
        <f>HJ8*100</f>
        <v>94.953349858556749</v>
      </c>
      <c r="AD200">
        <f>HR8*100</f>
        <v>95.436478969366107</v>
      </c>
      <c r="AE200">
        <f>HZ8*100</f>
        <v>95.873356834162763</v>
      </c>
      <c r="AF200">
        <f>IH8*100</f>
        <v>96.268411208819501</v>
      </c>
    </row>
    <row r="201" spans="1:32" x14ac:dyDescent="0.2">
      <c r="A201" t="s">
        <v>628</v>
      </c>
      <c r="B201">
        <f t="shared" ref="B201:H201" si="1188">(B199-B200)^2</f>
        <v>0</v>
      </c>
      <c r="C201">
        <f t="shared" si="1188"/>
        <v>3.0922494074075502E-5</v>
      </c>
      <c r="D201">
        <f t="shared" si="1188"/>
        <v>61.645443269583716</v>
      </c>
      <c r="E201">
        <f t="shared" si="1188"/>
        <v>9.563099406687348</v>
      </c>
      <c r="F201">
        <f t="shared" si="1188"/>
        <v>0.43890544351291455</v>
      </c>
      <c r="G201">
        <f t="shared" si="1188"/>
        <v>1.8494526580374731</v>
      </c>
      <c r="H201">
        <f t="shared" si="1188"/>
        <v>1.293575975697801E-2</v>
      </c>
    </row>
    <row r="202" spans="1:32" x14ac:dyDescent="0.2">
      <c r="A202" t="s">
        <v>629</v>
      </c>
      <c r="B202">
        <f>SUM(B201:J201)</f>
        <v>73.509867460072513</v>
      </c>
    </row>
    <row r="203" spans="1:32" x14ac:dyDescent="0.2">
      <c r="A203" t="s">
        <v>470</v>
      </c>
      <c r="B203">
        <f>B1</f>
        <v>2017</v>
      </c>
      <c r="C203">
        <f>J1</f>
        <v>2018</v>
      </c>
      <c r="D203">
        <f>R1</f>
        <v>2019</v>
      </c>
      <c r="E203">
        <f>Z1</f>
        <v>2020</v>
      </c>
      <c r="F203">
        <f>AH1</f>
        <v>2021</v>
      </c>
      <c r="G203">
        <f>AP1</f>
        <v>2022</v>
      </c>
      <c r="H203">
        <f>AX1</f>
        <v>2023</v>
      </c>
      <c r="I203">
        <f>BF1</f>
        <v>2024</v>
      </c>
      <c r="J203">
        <f>BN1</f>
        <v>2025</v>
      </c>
      <c r="K203">
        <f>BV1</f>
        <v>2026</v>
      </c>
      <c r="L203">
        <f>CD1</f>
        <v>2027</v>
      </c>
      <c r="M203">
        <f>CL1</f>
        <v>2028</v>
      </c>
      <c r="N203">
        <f>CT1</f>
        <v>2029</v>
      </c>
      <c r="O203">
        <f>DB1</f>
        <v>2030</v>
      </c>
      <c r="P203">
        <f>DJ1</f>
        <v>2031</v>
      </c>
      <c r="Q203">
        <f>DR1</f>
        <v>2032</v>
      </c>
      <c r="R203">
        <f>DZ1</f>
        <v>2033</v>
      </c>
      <c r="S203">
        <f>EH1</f>
        <v>2034</v>
      </c>
      <c r="T203">
        <f>EP1</f>
        <v>2035</v>
      </c>
      <c r="U203">
        <f>EX1</f>
        <v>2036</v>
      </c>
      <c r="V203">
        <f>FF1</f>
        <v>2037</v>
      </c>
      <c r="W203">
        <f>FN1</f>
        <v>2038</v>
      </c>
      <c r="X203">
        <f>FV1</f>
        <v>2039</v>
      </c>
      <c r="Y203">
        <f>GD1</f>
        <v>2040</v>
      </c>
      <c r="Z203">
        <f>GL1</f>
        <v>2041</v>
      </c>
      <c r="AA203">
        <f>GT1</f>
        <v>2042</v>
      </c>
      <c r="AB203">
        <f>HB1</f>
        <v>2043</v>
      </c>
      <c r="AC203">
        <f>HJ1</f>
        <v>2044</v>
      </c>
      <c r="AD203">
        <f>HR1</f>
        <v>2045</v>
      </c>
      <c r="AE203">
        <f>HZ1</f>
        <v>2046</v>
      </c>
      <c r="AF203">
        <f>IH1</f>
        <v>2047</v>
      </c>
    </row>
    <row r="204" spans="1:32" x14ac:dyDescent="0.2">
      <c r="A204" t="s">
        <v>936</v>
      </c>
      <c r="B204">
        <v>53.973793029785156</v>
      </c>
      <c r="C204">
        <v>53.971200086429228</v>
      </c>
      <c r="D204">
        <v>65.380015427828894</v>
      </c>
      <c r="E204">
        <v>68.74733333333333</v>
      </c>
      <c r="F204">
        <v>69.938666666666705</v>
      </c>
      <c r="G204">
        <v>68.736249999999998</v>
      </c>
      <c r="H204">
        <v>66.208500000000001</v>
      </c>
    </row>
    <row r="205" spans="1:32" x14ac:dyDescent="0.2">
      <c r="A205" t="s">
        <v>919</v>
      </c>
      <c r="B205">
        <f>B9*100</f>
        <v>53.973793029785156</v>
      </c>
      <c r="C205">
        <f>J9*100</f>
        <v>53.829506047956166</v>
      </c>
      <c r="D205">
        <f>R9*100</f>
        <v>58.249531309376188</v>
      </c>
      <c r="E205">
        <f>Z9*100</f>
        <v>62.246415693596923</v>
      </c>
      <c r="F205">
        <f>AH9*100</f>
        <v>65.860667612079268</v>
      </c>
      <c r="G205">
        <f>AP9*100</f>
        <v>64.722705215843192</v>
      </c>
      <c r="H205">
        <f>AX9*100</f>
        <v>65.44933130680127</v>
      </c>
      <c r="I205">
        <f>BF9*100</f>
        <v>68.75694550909769</v>
      </c>
      <c r="J205">
        <f>BN9*100</f>
        <v>71.747912929482538</v>
      </c>
      <c r="K205">
        <f>BV9*100</f>
        <v>74.452547013951204</v>
      </c>
      <c r="L205">
        <f>CD9*100</f>
        <v>76.898259220983064</v>
      </c>
      <c r="M205">
        <f>CL9*100</f>
        <v>79.109836836592279</v>
      </c>
      <c r="N205">
        <f>CV9*100</f>
        <v>81.578996592233437</v>
      </c>
      <c r="O205">
        <f>DB9*100</f>
        <v>82.918099839822474</v>
      </c>
      <c r="P205">
        <f>DJ9*100</f>
        <v>84.553381961763591</v>
      </c>
      <c r="Q205">
        <f>DR9*100</f>
        <v>86.032114138710938</v>
      </c>
      <c r="R205">
        <f>DZ9*100</f>
        <v>87.369283316922093</v>
      </c>
      <c r="S205">
        <f>EH9*100</f>
        <v>88.578441702079473</v>
      </c>
      <c r="T205">
        <f>EP9*100</f>
        <v>89.671844110854963</v>
      </c>
      <c r="U205">
        <f>EX9*100</f>
        <v>90.660572173440769</v>
      </c>
      <c r="V205">
        <f>FF9*100</f>
        <v>91.554646645838787</v>
      </c>
      <c r="W205">
        <f>FN9*100</f>
        <v>92.363128970193188</v>
      </c>
      <c r="X205">
        <f>FV9*100</f>
        <v>93.094213112479864</v>
      </c>
      <c r="Y205">
        <f>GD9*100</f>
        <v>93.755308608327368</v>
      </c>
      <c r="Z205">
        <f>GL9*100</f>
        <v>94.353115658638814</v>
      </c>
      <c r="AA205">
        <f>GT9*100</f>
        <v>94.893693036108203</v>
      </c>
      <c r="AB205">
        <f>HB9*100</f>
        <v>95.382519490863885</v>
      </c>
      <c r="AC205">
        <f>HJ9*100</f>
        <v>95.824549277584879</v>
      </c>
      <c r="AD205">
        <f>HR9*100</f>
        <v>96.224262366857587</v>
      </c>
      <c r="AE205">
        <f>HZ9*100</f>
        <v>96.585709849664354</v>
      </c>
      <c r="AF205">
        <f>IH9*100</f>
        <v>96.912554995178795</v>
      </c>
    </row>
    <row r="206" spans="1:32" x14ac:dyDescent="0.2">
      <c r="A206" t="s">
        <v>630</v>
      </c>
      <c r="B206">
        <f t="shared" ref="B206:H206" si="1189">(B204-B205)^2</f>
        <v>0</v>
      </c>
      <c r="C206">
        <f t="shared" si="1189"/>
        <v>2.0077200538805653E-2</v>
      </c>
      <c r="D206">
        <f t="shared" si="1189"/>
        <v>50.843803763506266</v>
      </c>
      <c r="E206">
        <f t="shared" si="1189"/>
        <v>42.261930158635977</v>
      </c>
      <c r="F206">
        <f t="shared" si="1189"/>
        <v>16.630076289216028</v>
      </c>
      <c r="G206">
        <f t="shared" si="1189"/>
        <v>16.108541734432308</v>
      </c>
      <c r="H206">
        <f t="shared" si="1189"/>
        <v>0.57633710473306921</v>
      </c>
    </row>
    <row r="207" spans="1:32" x14ac:dyDescent="0.2">
      <c r="A207" t="s">
        <v>631</v>
      </c>
      <c r="B207">
        <f>SUM(B206:J206)</f>
        <v>126.44076625106246</v>
      </c>
    </row>
    <row r="208" spans="1:32" x14ac:dyDescent="0.2">
      <c r="A208" t="s">
        <v>470</v>
      </c>
      <c r="B208">
        <f>B1</f>
        <v>2017</v>
      </c>
      <c r="C208">
        <f>J1</f>
        <v>2018</v>
      </c>
      <c r="D208">
        <f>R1</f>
        <v>2019</v>
      </c>
      <c r="E208">
        <f>Z1</f>
        <v>2020</v>
      </c>
      <c r="F208">
        <f>AH1</f>
        <v>2021</v>
      </c>
      <c r="G208">
        <f>AP1</f>
        <v>2022</v>
      </c>
      <c r="H208">
        <f>AX1</f>
        <v>2023</v>
      </c>
      <c r="I208">
        <f>BF1</f>
        <v>2024</v>
      </c>
      <c r="J208">
        <f>BN1</f>
        <v>2025</v>
      </c>
      <c r="K208">
        <f>BV1</f>
        <v>2026</v>
      </c>
      <c r="L208">
        <f>CD1</f>
        <v>2027</v>
      </c>
      <c r="M208">
        <f>CL1</f>
        <v>2028</v>
      </c>
      <c r="N208">
        <f>CT1</f>
        <v>2029</v>
      </c>
      <c r="O208">
        <f>DB1</f>
        <v>2030</v>
      </c>
      <c r="P208">
        <f>DJ1</f>
        <v>2031</v>
      </c>
      <c r="Q208">
        <f>DR1</f>
        <v>2032</v>
      </c>
      <c r="R208">
        <f>DZ1</f>
        <v>2033</v>
      </c>
      <c r="S208">
        <f>EH1</f>
        <v>2034</v>
      </c>
      <c r="T208">
        <f>EP1</f>
        <v>2035</v>
      </c>
      <c r="U208">
        <f>EX1</f>
        <v>2036</v>
      </c>
      <c r="V208">
        <f>FF1</f>
        <v>2037</v>
      </c>
      <c r="W208">
        <f>FN1</f>
        <v>2038</v>
      </c>
      <c r="X208">
        <f>FV1</f>
        <v>2039</v>
      </c>
      <c r="Y208">
        <f>GD1</f>
        <v>2040</v>
      </c>
      <c r="Z208">
        <f>GL1</f>
        <v>2041</v>
      </c>
      <c r="AA208">
        <f>GT1</f>
        <v>2042</v>
      </c>
      <c r="AB208">
        <f>HB1</f>
        <v>2043</v>
      </c>
      <c r="AC208">
        <f>HJ1</f>
        <v>2044</v>
      </c>
      <c r="AD208">
        <f>HR1</f>
        <v>2045</v>
      </c>
      <c r="AE208">
        <f>HZ1</f>
        <v>2046</v>
      </c>
      <c r="AF208">
        <f>IH1</f>
        <v>2047</v>
      </c>
    </row>
    <row r="209" spans="1:32" x14ac:dyDescent="0.2">
      <c r="A209" t="s">
        <v>937</v>
      </c>
      <c r="B209">
        <v>68.254425048828125</v>
      </c>
      <c r="C209">
        <v>61.098366959344609</v>
      </c>
      <c r="D209">
        <v>83.243629360059714</v>
      </c>
      <c r="E209">
        <v>82.23960000000001</v>
      </c>
      <c r="F209">
        <v>71.092666666666702</v>
      </c>
      <c r="G209">
        <v>70.146500000000003</v>
      </c>
      <c r="H209">
        <v>73.707999999999998</v>
      </c>
    </row>
    <row r="210" spans="1:32" x14ac:dyDescent="0.2">
      <c r="A210" t="s">
        <v>920</v>
      </c>
      <c r="B210">
        <f>B10*100</f>
        <v>68.254425048828125</v>
      </c>
      <c r="C210">
        <f>J10*100</f>
        <v>62.604766883708393</v>
      </c>
      <c r="D210">
        <f>R10*100</f>
        <v>58.663319896262387</v>
      </c>
      <c r="E210">
        <f>Z10*100</f>
        <v>57.216271525397609</v>
      </c>
      <c r="F210">
        <f>AH10*100</f>
        <v>60.663890821136576</v>
      </c>
      <c r="G210">
        <f>AP10*100</f>
        <v>62.850727589557401</v>
      </c>
      <c r="H210">
        <f>AX10*100</f>
        <v>66.407127108871208</v>
      </c>
      <c r="I210">
        <f>BF10*100</f>
        <v>67.380185235204323</v>
      </c>
      <c r="J210">
        <f>BN10*100</f>
        <v>69.926983598115598</v>
      </c>
      <c r="K210">
        <f>BV10*100</f>
        <v>72.805954144142063</v>
      </c>
      <c r="L210">
        <f>CD10*100</f>
        <v>75.40931311552221</v>
      </c>
      <c r="M210">
        <f>CL10*100</f>
        <v>77.763445547762515</v>
      </c>
      <c r="N210">
        <f>CV10*100</f>
        <v>80.39176345987714</v>
      </c>
      <c r="O210">
        <f>DB10*100</f>
        <v>81.817183197813563</v>
      </c>
      <c r="P210">
        <f>DJ10*100</f>
        <v>83.557873034766857</v>
      </c>
      <c r="Q210">
        <f>DR10*100</f>
        <v>85.131921963359474</v>
      </c>
      <c r="R210">
        <f>DZ10*100</f>
        <v>86.555282964846143</v>
      </c>
      <c r="S210">
        <f>EH10*100</f>
        <v>87.842381798784302</v>
      </c>
      <c r="T210">
        <f>EP10*100</f>
        <v>89.006263208064624</v>
      </c>
      <c r="U210">
        <f>EX10*100</f>
        <v>90.05872312734185</v>
      </c>
      <c r="V210">
        <f>FF10*100</f>
        <v>91.010428234797715</v>
      </c>
      <c r="W210">
        <f>FN10*100</f>
        <v>91.871024058892928</v>
      </c>
      <c r="X210">
        <f>FV10*100</f>
        <v>92.649232735769729</v>
      </c>
      <c r="Y210">
        <f>GD10*100</f>
        <v>93.352941408075978</v>
      </c>
      <c r="Z210">
        <f>GL10*100</f>
        <v>93.989282161132678</v>
      </c>
      <c r="AA210">
        <f>GT10*100</f>
        <v>94.564704306597633</v>
      </c>
      <c r="AB210">
        <f>HB10*100</f>
        <v>95.085039746220161</v>
      </c>
      <c r="AC210">
        <f>HJ10*100</f>
        <v>95.555562078148142</v>
      </c>
      <c r="AD210">
        <f>HR10*100</f>
        <v>95.981040044829697</v>
      </c>
      <c r="AE210">
        <f>HZ10*100</f>
        <v>96.365785864203829</v>
      </c>
      <c r="AF210">
        <f>IH10*100</f>
        <v>96.71369893401662</v>
      </c>
    </row>
    <row r="211" spans="1:32" x14ac:dyDescent="0.2">
      <c r="A211" t="s">
        <v>632</v>
      </c>
      <c r="B211">
        <f t="shared" ref="B211:H211" si="1190">(B209-B210)^2</f>
        <v>0</v>
      </c>
      <c r="C211">
        <f t="shared" si="1190"/>
        <v>2.2692407321232135</v>
      </c>
      <c r="D211">
        <f t="shared" si="1190"/>
        <v>604.1916133360445</v>
      </c>
      <c r="E211">
        <f t="shared" si="1190"/>
        <v>626.1669679478473</v>
      </c>
      <c r="F211">
        <f t="shared" si="1190"/>
        <v>108.75936563631259</v>
      </c>
      <c r="G211">
        <f t="shared" si="1190"/>
        <v>53.228295064975455</v>
      </c>
      <c r="H211">
        <f t="shared" si="1190"/>
        <v>53.302744972419262</v>
      </c>
    </row>
    <row r="212" spans="1:32" x14ac:dyDescent="0.2">
      <c r="A212" t="s">
        <v>633</v>
      </c>
      <c r="B212">
        <f>SUM(B211:J211)</f>
        <v>1447.9182276897225</v>
      </c>
    </row>
    <row r="213" spans="1:32" x14ac:dyDescent="0.2">
      <c r="A213" t="s">
        <v>470</v>
      </c>
      <c r="B213">
        <f>B1</f>
        <v>2017</v>
      </c>
      <c r="C213">
        <f>J1</f>
        <v>2018</v>
      </c>
      <c r="D213">
        <f>R1</f>
        <v>2019</v>
      </c>
      <c r="E213">
        <f>Z1</f>
        <v>2020</v>
      </c>
      <c r="F213">
        <f>AH1</f>
        <v>2021</v>
      </c>
      <c r="G213">
        <f>AP1</f>
        <v>2022</v>
      </c>
      <c r="H213">
        <f>AX1</f>
        <v>2023</v>
      </c>
      <c r="I213">
        <f>BF1</f>
        <v>2024</v>
      </c>
      <c r="J213">
        <f>BN1</f>
        <v>2025</v>
      </c>
      <c r="K213">
        <f>BV1</f>
        <v>2026</v>
      </c>
      <c r="L213">
        <f>CD1</f>
        <v>2027</v>
      </c>
      <c r="M213">
        <f>CL1</f>
        <v>2028</v>
      </c>
      <c r="N213">
        <f>CT1</f>
        <v>2029</v>
      </c>
      <c r="O213">
        <f>DB1</f>
        <v>2030</v>
      </c>
      <c r="P213">
        <f>DJ1</f>
        <v>2031</v>
      </c>
      <c r="Q213">
        <f>DR1</f>
        <v>2032</v>
      </c>
      <c r="R213">
        <f>DZ1</f>
        <v>2033</v>
      </c>
      <c r="S213">
        <f>EH1</f>
        <v>2034</v>
      </c>
      <c r="T213">
        <f>EP1</f>
        <v>2035</v>
      </c>
      <c r="U213">
        <f>EX1</f>
        <v>2036</v>
      </c>
      <c r="V213">
        <f>FF1</f>
        <v>2037</v>
      </c>
      <c r="W213">
        <f>FN1</f>
        <v>2038</v>
      </c>
      <c r="X213">
        <f>FV1</f>
        <v>2039</v>
      </c>
      <c r="Y213">
        <f>GD1</f>
        <v>2040</v>
      </c>
      <c r="Z213">
        <f>GL1</f>
        <v>2041</v>
      </c>
      <c r="AA213">
        <f>GT1</f>
        <v>2042</v>
      </c>
      <c r="AB213">
        <f>HB1</f>
        <v>2043</v>
      </c>
      <c r="AC213">
        <f>HJ1</f>
        <v>2044</v>
      </c>
      <c r="AD213">
        <f>HR1</f>
        <v>2045</v>
      </c>
      <c r="AE213">
        <f>HZ1</f>
        <v>2046</v>
      </c>
      <c r="AF213">
        <f>IH1</f>
        <v>2047</v>
      </c>
    </row>
    <row r="214" spans="1:32" x14ac:dyDescent="0.2">
      <c r="A214" t="s">
        <v>938</v>
      </c>
      <c r="B214">
        <v>33.077934265136719</v>
      </c>
      <c r="C214">
        <v>33.097888529669781</v>
      </c>
      <c r="D214">
        <v>28.668793907447711</v>
      </c>
      <c r="E214">
        <v>40.631999999999998</v>
      </c>
      <c r="F214">
        <v>42.186500000000002</v>
      </c>
      <c r="G214">
        <v>44.665500000000002</v>
      </c>
      <c r="H214">
        <v>50.960571428571399</v>
      </c>
    </row>
    <row r="215" spans="1:32" x14ac:dyDescent="0.2">
      <c r="A215" t="s">
        <v>921</v>
      </c>
      <c r="B215">
        <f>B11*100</f>
        <v>33.077934265136719</v>
      </c>
      <c r="C215">
        <f>J11*100</f>
        <v>32.835703517877249</v>
      </c>
      <c r="D215">
        <f>R11*100</f>
        <v>30.608475531704659</v>
      </c>
      <c r="E215">
        <f>Z11*100</f>
        <v>29.462538360729567</v>
      </c>
      <c r="F215">
        <f>AH11*100</f>
        <v>30.127780103706026</v>
      </c>
      <c r="G215">
        <f>AP11*100</f>
        <v>30.095726751699491</v>
      </c>
      <c r="H215">
        <f>AX11*100</f>
        <v>32.877719947494995</v>
      </c>
      <c r="I215">
        <f>BF11*100</f>
        <v>39.303515905934113</v>
      </c>
      <c r="J215">
        <f>BN11*100</f>
        <v>45.114153176867475</v>
      </c>
      <c r="K215">
        <f>BV11*100</f>
        <v>50.298474859213925</v>
      </c>
      <c r="L215">
        <f>CD11*100</f>
        <v>54.912960511481565</v>
      </c>
      <c r="M215">
        <f>CL11*100</f>
        <v>59.087365761870373</v>
      </c>
      <c r="N215">
        <f>CV11*100</f>
        <v>63.842795080860093</v>
      </c>
      <c r="O215">
        <f>DB11*100</f>
        <v>66.471241216487471</v>
      </c>
      <c r="P215">
        <f>DJ11*100</f>
        <v>69.681039252460693</v>
      </c>
      <c r="Q215">
        <f>DR11*100</f>
        <v>72.583554710565153</v>
      </c>
      <c r="R215">
        <f>DZ11*100</f>
        <v>75.208204576419107</v>
      </c>
      <c r="S215">
        <f>EH11*100</f>
        <v>77.581589668681772</v>
      </c>
      <c r="T215">
        <f>EP11*100</f>
        <v>79.727764238272229</v>
      </c>
      <c r="U215">
        <f>EX11*100</f>
        <v>81.668479758131468</v>
      </c>
      <c r="V215">
        <f>FF11*100</f>
        <v>83.42340537433671</v>
      </c>
      <c r="W215">
        <f>FN11*100</f>
        <v>85.010327252838891</v>
      </c>
      <c r="X215">
        <f>FV11*100</f>
        <v>86.445328842202173</v>
      </c>
      <c r="Y215">
        <f>GD11*100</f>
        <v>87.742953879307848</v>
      </c>
      <c r="Z215">
        <f>GL11*100</f>
        <v>88.916353790084671</v>
      </c>
      <c r="AA215">
        <f>GT11*100</f>
        <v>89.977420979171995</v>
      </c>
      <c r="AB215">
        <f>HB11*100</f>
        <v>90.936909359405732</v>
      </c>
      <c r="AC215">
        <f>HJ11*100</f>
        <v>91.804543342693307</v>
      </c>
      <c r="AD215">
        <f>HR11*100</f>
        <v>92.589116396899598</v>
      </c>
      <c r="AE215">
        <f>HZ11*100</f>
        <v>93.29858016761797</v>
      </c>
      <c r="AF215">
        <f>IH11*100</f>
        <v>93.940125068074863</v>
      </c>
    </row>
    <row r="216" spans="1:32" x14ac:dyDescent="0.2">
      <c r="A216" t="s">
        <v>634</v>
      </c>
      <c r="B216">
        <f t="shared" ref="B216:H216" si="1191">(B214-B215)^2</f>
        <v>0</v>
      </c>
      <c r="C216">
        <f t="shared" si="1191"/>
        <v>6.8740980408650121E-2</v>
      </c>
      <c r="D216">
        <f t="shared" si="1191"/>
        <v>3.7623648034800743</v>
      </c>
      <c r="E216">
        <f t="shared" si="1191"/>
        <v>124.75687331113369</v>
      </c>
      <c r="F216">
        <f t="shared" si="1191"/>
        <v>145.4127255372762</v>
      </c>
      <c r="G216">
        <f t="shared" si="1191"/>
        <v>212.27829250689319</v>
      </c>
      <c r="H216">
        <f t="shared" si="1191"/>
        <v>326.98951768666706</v>
      </c>
    </row>
    <row r="217" spans="1:32" x14ac:dyDescent="0.2">
      <c r="A217" t="s">
        <v>635</v>
      </c>
      <c r="B217">
        <f>SUM(B216:J216)</f>
        <v>813.2685148258588</v>
      </c>
    </row>
    <row r="218" spans="1:32" x14ac:dyDescent="0.2">
      <c r="A218" t="s">
        <v>470</v>
      </c>
      <c r="B218">
        <f>B1</f>
        <v>2017</v>
      </c>
      <c r="C218">
        <f>J1</f>
        <v>2018</v>
      </c>
      <c r="D218">
        <f>R1</f>
        <v>2019</v>
      </c>
      <c r="E218">
        <f>Z1</f>
        <v>2020</v>
      </c>
      <c r="F218">
        <f>AH1</f>
        <v>2021</v>
      </c>
      <c r="G218">
        <f>AP1</f>
        <v>2022</v>
      </c>
      <c r="H218">
        <f>AX1</f>
        <v>2023</v>
      </c>
      <c r="I218">
        <f>BF1</f>
        <v>2024</v>
      </c>
      <c r="J218">
        <f>BN1</f>
        <v>2025</v>
      </c>
      <c r="K218">
        <f>BV1</f>
        <v>2026</v>
      </c>
      <c r="L218">
        <f>CD1</f>
        <v>2027</v>
      </c>
      <c r="M218">
        <f>CL1</f>
        <v>2028</v>
      </c>
      <c r="N218">
        <f>CT1</f>
        <v>2029</v>
      </c>
      <c r="O218">
        <f>DB1</f>
        <v>2030</v>
      </c>
      <c r="P218">
        <f>DJ1</f>
        <v>2031</v>
      </c>
      <c r="Q218">
        <f>DR1</f>
        <v>2032</v>
      </c>
      <c r="R218">
        <f>DZ1</f>
        <v>2033</v>
      </c>
      <c r="S218">
        <f>EH1</f>
        <v>2034</v>
      </c>
      <c r="T218">
        <f>EP1</f>
        <v>2035</v>
      </c>
      <c r="U218">
        <f>EX1</f>
        <v>2036</v>
      </c>
      <c r="V218">
        <f>FF1</f>
        <v>2037</v>
      </c>
      <c r="W218">
        <f>FN1</f>
        <v>2038</v>
      </c>
      <c r="X218">
        <f>FV1</f>
        <v>2039</v>
      </c>
      <c r="Y218">
        <f>GD1</f>
        <v>2040</v>
      </c>
      <c r="Z218">
        <f>GL1</f>
        <v>2041</v>
      </c>
      <c r="AA218">
        <f>GT1</f>
        <v>2042</v>
      </c>
      <c r="AB218">
        <f>HB1</f>
        <v>2043</v>
      </c>
      <c r="AC218">
        <f>HJ1</f>
        <v>2044</v>
      </c>
      <c r="AD218">
        <f>HR1</f>
        <v>2045</v>
      </c>
      <c r="AE218">
        <f>HZ1</f>
        <v>2046</v>
      </c>
      <c r="AF218">
        <f>IH1</f>
        <v>2047</v>
      </c>
    </row>
    <row r="219" spans="1:32" x14ac:dyDescent="0.2">
      <c r="A219" t="s">
        <v>939</v>
      </c>
      <c r="B219">
        <v>72.533958435058594</v>
      </c>
      <c r="C219">
        <v>49.071628328644785</v>
      </c>
      <c r="D219">
        <v>48.957837803263061</v>
      </c>
      <c r="E219">
        <v>55.71</v>
      </c>
      <c r="F219">
        <v>27.855</v>
      </c>
      <c r="G219">
        <v>38.450499999999998</v>
      </c>
      <c r="H219">
        <v>38.450499999999998</v>
      </c>
    </row>
    <row r="220" spans="1:32" x14ac:dyDescent="0.2">
      <c r="A220" t="s">
        <v>922</v>
      </c>
      <c r="B220">
        <f>B12*100</f>
        <v>72.533958435058594</v>
      </c>
      <c r="C220">
        <f>J12*100</f>
        <v>66.437235644834885</v>
      </c>
      <c r="D220">
        <f>R12*100</f>
        <v>61.066846806437916</v>
      </c>
      <c r="E220">
        <f>Z12*100</f>
        <v>56.164089417128572</v>
      </c>
      <c r="F220">
        <f>AH12*100</f>
        <v>51.753396399800543</v>
      </c>
      <c r="G220">
        <f>AP12*100</f>
        <v>54.50025197949698</v>
      </c>
      <c r="H220">
        <f>AX12*100</f>
        <v>50.464816983618853</v>
      </c>
      <c r="I220">
        <f>BF12*100</f>
        <v>47.063438989986757</v>
      </c>
      <c r="J220">
        <f>BN12*100</f>
        <v>44.381918806319462</v>
      </c>
      <c r="K220">
        <f>BV12*100</f>
        <v>42.493489774319073</v>
      </c>
      <c r="L220">
        <f>CD12*100</f>
        <v>41.405555661673425</v>
      </c>
      <c r="M220">
        <f>CL12*100</f>
        <v>41.086516624611555</v>
      </c>
      <c r="N220">
        <f>CV12*100</f>
        <v>41.738111440037748</v>
      </c>
      <c r="O220">
        <f>DB12*100</f>
        <v>42.692042277062683</v>
      </c>
      <c r="P220">
        <f>DJ12*100</f>
        <v>44.644456547210083</v>
      </c>
      <c r="Q220">
        <f>DR12*100</f>
        <v>47.428408254819942</v>
      </c>
      <c r="R220">
        <f>DZ12*100</f>
        <v>51.142250864261285</v>
      </c>
      <c r="S220">
        <f>EH12*100</f>
        <v>55.679263551092383</v>
      </c>
      <c r="T220">
        <f>EP12*100</f>
        <v>59.922206563839566</v>
      </c>
      <c r="U220">
        <f>EX12*100</f>
        <v>63.758961258164447</v>
      </c>
      <c r="V220">
        <f>FF12*100</f>
        <v>67.228413131592461</v>
      </c>
      <c r="W220">
        <f>FN12*100</f>
        <v>70.365725068641154</v>
      </c>
      <c r="X220">
        <f>FV12*100</f>
        <v>73.202693716551266</v>
      </c>
      <c r="Y220">
        <f>GD12*100</f>
        <v>75.76807174421279</v>
      </c>
      <c r="Z220">
        <f>GL12*100</f>
        <v>78.087859250379495</v>
      </c>
      <c r="AA220">
        <f>GT12*100</f>
        <v>80.185567274593211</v>
      </c>
      <c r="AB220">
        <f>HB12*100</f>
        <v>82.082456081500354</v>
      </c>
      <c r="AC220">
        <f>HJ12*100</f>
        <v>83.797750633571425</v>
      </c>
      <c r="AD220">
        <f>HR12*100</f>
        <v>85.348835436039096</v>
      </c>
      <c r="AE220">
        <f>HZ12*100</f>
        <v>86.75143072880752</v>
      </c>
      <c r="AF220">
        <f>IH12*100</f>
        <v>88.019751811037395</v>
      </c>
    </row>
    <row r="221" spans="1:32" x14ac:dyDescent="0.2">
      <c r="A221" t="s">
        <v>636</v>
      </c>
      <c r="B221">
        <f t="shared" ref="B221:H221" si="1192">(B219-B220)^2</f>
        <v>0</v>
      </c>
      <c r="C221">
        <f t="shared" si="1192"/>
        <v>301.56431746011515</v>
      </c>
      <c r="D221">
        <f t="shared" si="1192"/>
        <v>146.62809903896968</v>
      </c>
      <c r="E221">
        <f t="shared" si="1192"/>
        <v>0.20619719874816575</v>
      </c>
      <c r="F221">
        <f t="shared" si="1192"/>
        <v>571.13335048199951</v>
      </c>
      <c r="G221">
        <f t="shared" si="1192"/>
        <v>257.59453860336731</v>
      </c>
      <c r="H221">
        <f t="shared" si="1192"/>
        <v>144.34381258287246</v>
      </c>
    </row>
    <row r="222" spans="1:32" x14ac:dyDescent="0.2">
      <c r="A222" t="s">
        <v>637</v>
      </c>
      <c r="B222">
        <f>SUM(B221:J221)</f>
        <v>1421.4703153660723</v>
      </c>
    </row>
    <row r="223" spans="1:32" x14ac:dyDescent="0.2">
      <c r="A223" t="s">
        <v>470</v>
      </c>
      <c r="B223">
        <f>B1</f>
        <v>2017</v>
      </c>
      <c r="C223">
        <f>J1</f>
        <v>2018</v>
      </c>
      <c r="D223">
        <f>R1</f>
        <v>2019</v>
      </c>
      <c r="E223">
        <f>Z1</f>
        <v>2020</v>
      </c>
      <c r="F223">
        <f>AH1</f>
        <v>2021</v>
      </c>
      <c r="G223">
        <f>AP1</f>
        <v>2022</v>
      </c>
      <c r="H223">
        <f>AX1</f>
        <v>2023</v>
      </c>
      <c r="I223">
        <f>BF1</f>
        <v>2024</v>
      </c>
      <c r="J223">
        <f>BN1</f>
        <v>2025</v>
      </c>
      <c r="K223">
        <f>BV1</f>
        <v>2026</v>
      </c>
      <c r="L223">
        <f>CD1</f>
        <v>2027</v>
      </c>
      <c r="M223">
        <f>CL1</f>
        <v>2028</v>
      </c>
      <c r="N223">
        <f>CT1</f>
        <v>2029</v>
      </c>
      <c r="O223">
        <f>DB1</f>
        <v>2030</v>
      </c>
      <c r="P223">
        <f>DJ1</f>
        <v>2031</v>
      </c>
      <c r="Q223">
        <f>DR1</f>
        <v>2032</v>
      </c>
      <c r="R223">
        <f>DZ1</f>
        <v>2033</v>
      </c>
      <c r="S223">
        <f>EH1</f>
        <v>2034</v>
      </c>
      <c r="T223">
        <f>EP1</f>
        <v>2035</v>
      </c>
      <c r="U223">
        <f>EX1</f>
        <v>2036</v>
      </c>
      <c r="V223">
        <f>FF1</f>
        <v>2037</v>
      </c>
      <c r="W223">
        <f>FN1</f>
        <v>2038</v>
      </c>
      <c r="X223">
        <f>FV1</f>
        <v>2039</v>
      </c>
      <c r="Y223">
        <f>GD1</f>
        <v>2040</v>
      </c>
      <c r="Z223">
        <f>GL1</f>
        <v>2041</v>
      </c>
      <c r="AA223">
        <f>GT1</f>
        <v>2042</v>
      </c>
      <c r="AB223">
        <f>HB1</f>
        <v>2043</v>
      </c>
      <c r="AC223">
        <f>HJ1</f>
        <v>2044</v>
      </c>
      <c r="AD223">
        <f>HR1</f>
        <v>2045</v>
      </c>
      <c r="AE223">
        <f>HZ1</f>
        <v>2046</v>
      </c>
      <c r="AF223">
        <f>IH1</f>
        <v>2047</v>
      </c>
    </row>
    <row r="224" spans="1:32" x14ac:dyDescent="0.2">
      <c r="A224" t="s">
        <v>940</v>
      </c>
      <c r="B224">
        <v>34.302524566650391</v>
      </c>
      <c r="C224">
        <v>56.117629652586288</v>
      </c>
      <c r="D224">
        <v>51.123524465723214</v>
      </c>
      <c r="E224">
        <v>49.493333333333339</v>
      </c>
      <c r="F224">
        <v>53.178249999999998</v>
      </c>
      <c r="G224">
        <v>50.341250000000002</v>
      </c>
      <c r="H224">
        <v>50.046250000000001</v>
      </c>
    </row>
    <row r="225" spans="1:32" x14ac:dyDescent="0.2">
      <c r="A225" t="s">
        <v>923</v>
      </c>
      <c r="B225">
        <f>B13*100</f>
        <v>34.302524566650391</v>
      </c>
      <c r="C225">
        <f>J13*100</f>
        <v>40.379051813550682</v>
      </c>
      <c r="D225">
        <f>R13*100</f>
        <v>46.086725146386115</v>
      </c>
      <c r="E225">
        <f>Z13*100</f>
        <v>49.492602410032923</v>
      </c>
      <c r="F225">
        <f>AH13*100</f>
        <v>52.93537334477395</v>
      </c>
      <c r="G225">
        <f>AP13*100</f>
        <v>50.479786927403524</v>
      </c>
      <c r="H225">
        <f>AX13*100</f>
        <v>49.128115706253553</v>
      </c>
      <c r="I225">
        <f>BF13*100</f>
        <v>50.758770490841343</v>
      </c>
      <c r="J225">
        <f>BN13*100</f>
        <v>52.922901964911617</v>
      </c>
      <c r="K225">
        <f>BV13*100</f>
        <v>55.619318260712291</v>
      </c>
      <c r="L225">
        <f>CD13*100</f>
        <v>58.759541587862174</v>
      </c>
      <c r="M225">
        <f>CL13*100</f>
        <v>62.260024325647059</v>
      </c>
      <c r="N225">
        <f>CV13*100</f>
        <v>66.706977004305273</v>
      </c>
      <c r="O225">
        <f>DB13*100</f>
        <v>69.12721158361218</v>
      </c>
      <c r="P225">
        <f>DJ13*100</f>
        <v>72.082746450374614</v>
      </c>
      <c r="Q225">
        <f>DR13*100</f>
        <v>74.755340034644675</v>
      </c>
      <c r="R225">
        <f>DZ13*100</f>
        <v>77.172079064526542</v>
      </c>
      <c r="S225">
        <f>EH13*100</f>
        <v>79.357457182969327</v>
      </c>
      <c r="T225">
        <f>EP13*100</f>
        <v>81.33362319076619</v>
      </c>
      <c r="U225">
        <f>EX13*100</f>
        <v>83.120605524585173</v>
      </c>
      <c r="V225">
        <f>FF13*100</f>
        <v>84.736515245115768</v>
      </c>
      <c r="W225">
        <f>FN13*100</f>
        <v>86.197729592615758</v>
      </c>
      <c r="X225">
        <f>FV13*100</f>
        <v>87.519057970192875</v>
      </c>
      <c r="Y225">
        <f>GD13*100</f>
        <v>88.713892037061783</v>
      </c>
      <c r="Z225">
        <f>GL13*100</f>
        <v>89.794341432970668</v>
      </c>
      <c r="AA225">
        <f>GT13*100</f>
        <v>90.771356509364509</v>
      </c>
      <c r="AB225">
        <f>HB13*100</f>
        <v>91.65483931116465</v>
      </c>
      <c r="AC225">
        <f>HJ13*100</f>
        <v>92.453743933964958</v>
      </c>
      <c r="AD225">
        <f>HR13*100</f>
        <v>93.17616727376425</v>
      </c>
      <c r="AE225">
        <f>HZ13*100</f>
        <v>93.829431088983455</v>
      </c>
      <c r="AF225">
        <f>IH13*100</f>
        <v>94.420156206465521</v>
      </c>
    </row>
    <row r="226" spans="1:32" x14ac:dyDescent="0.2">
      <c r="A226" t="s">
        <v>638</v>
      </c>
      <c r="B226">
        <f t="shared" ref="B226:H226" si="1193">(B224-B225)^2</f>
        <v>0</v>
      </c>
      <c r="C226">
        <f t="shared" si="1193"/>
        <v>247.7028323953827</v>
      </c>
      <c r="D226">
        <f t="shared" si="1193"/>
        <v>25.369347383274665</v>
      </c>
      <c r="E226">
        <f t="shared" si="1193"/>
        <v>5.3424887109169634E-7</v>
      </c>
      <c r="F226">
        <f t="shared" si="1193"/>
        <v>5.8989069653792782E-2</v>
      </c>
      <c r="G226">
        <f t="shared" si="1193"/>
        <v>1.919248025440853E-2</v>
      </c>
      <c r="H226">
        <f t="shared" si="1193"/>
        <v>0.84297058135328862</v>
      </c>
    </row>
    <row r="227" spans="1:32" x14ac:dyDescent="0.2">
      <c r="A227" t="s">
        <v>639</v>
      </c>
      <c r="B227">
        <f>SUM(B226:J226)</f>
        <v>273.99333244416778</v>
      </c>
    </row>
    <row r="228" spans="1:32" x14ac:dyDescent="0.2">
      <c r="A228" t="s">
        <v>470</v>
      </c>
      <c r="B228">
        <f>B1</f>
        <v>2017</v>
      </c>
      <c r="C228">
        <f>J1</f>
        <v>2018</v>
      </c>
      <c r="D228">
        <f>R1</f>
        <v>2019</v>
      </c>
      <c r="E228">
        <f>Z1</f>
        <v>2020</v>
      </c>
      <c r="F228">
        <f>AH1</f>
        <v>2021</v>
      </c>
      <c r="G228">
        <f>AP1</f>
        <v>2022</v>
      </c>
      <c r="H228">
        <f>AX1</f>
        <v>2023</v>
      </c>
      <c r="I228">
        <f>BF1</f>
        <v>2024</v>
      </c>
      <c r="J228">
        <f>BN1</f>
        <v>2025</v>
      </c>
      <c r="K228">
        <f>BV1</f>
        <v>2026</v>
      </c>
      <c r="L228">
        <f>CD1</f>
        <v>2027</v>
      </c>
      <c r="M228">
        <f>CL1</f>
        <v>2028</v>
      </c>
      <c r="N228">
        <f>CT1</f>
        <v>2029</v>
      </c>
      <c r="O228">
        <f>DB1</f>
        <v>2030</v>
      </c>
      <c r="P228">
        <f>DJ1</f>
        <v>2031</v>
      </c>
      <c r="Q228">
        <f>DR1</f>
        <v>2032</v>
      </c>
      <c r="R228">
        <f>DZ1</f>
        <v>2033</v>
      </c>
      <c r="S228">
        <f>EH1</f>
        <v>2034</v>
      </c>
      <c r="T228">
        <f>EP1</f>
        <v>2035</v>
      </c>
      <c r="U228">
        <f>EX1</f>
        <v>2036</v>
      </c>
      <c r="V228">
        <f>FF1</f>
        <v>2037</v>
      </c>
      <c r="W228">
        <f>FN1</f>
        <v>2038</v>
      </c>
      <c r="X228">
        <f>FV1</f>
        <v>2039</v>
      </c>
      <c r="Y228">
        <f>GD1</f>
        <v>2040</v>
      </c>
      <c r="Z228">
        <f>GL1</f>
        <v>2041</v>
      </c>
      <c r="AA228">
        <f>GT1</f>
        <v>2042</v>
      </c>
      <c r="AB228">
        <f>HB1</f>
        <v>2043</v>
      </c>
      <c r="AC228">
        <f>HJ1</f>
        <v>2044</v>
      </c>
      <c r="AD228">
        <f>HR1</f>
        <v>2045</v>
      </c>
      <c r="AE228">
        <f>HZ1</f>
        <v>2046</v>
      </c>
      <c r="AF228">
        <f>IH1</f>
        <v>2047</v>
      </c>
    </row>
    <row r="229" spans="1:32" x14ac:dyDescent="0.2">
      <c r="A229" t="s">
        <v>941</v>
      </c>
      <c r="B229">
        <v>81.556205749511719</v>
      </c>
      <c r="C229">
        <v>81.55620199498432</v>
      </c>
      <c r="D229">
        <v>94.460732959371455</v>
      </c>
      <c r="E229">
        <v>92.362166666666667</v>
      </c>
      <c r="F229">
        <v>91.7261666666667</v>
      </c>
      <c r="G229">
        <v>96.200571428571394</v>
      </c>
      <c r="H229">
        <v>94.778857142857206</v>
      </c>
    </row>
    <row r="230" spans="1:32" x14ac:dyDescent="0.2">
      <c r="A230" t="s">
        <v>924</v>
      </c>
      <c r="B230">
        <f>B14*100</f>
        <v>81.556205749511719</v>
      </c>
      <c r="C230">
        <f>J14*100</f>
        <v>81.543556303575215</v>
      </c>
      <c r="D230">
        <f>R14*100</f>
        <v>83.310441177254646</v>
      </c>
      <c r="E230">
        <f>Z14*100</f>
        <v>84.908177421426316</v>
      </c>
      <c r="F230">
        <f>AH14*100</f>
        <v>86.352958088218628</v>
      </c>
      <c r="G230">
        <f>AP14*100</f>
        <v>82.593732158082062</v>
      </c>
      <c r="H230">
        <f>AX14*100</f>
        <v>83.214890131380045</v>
      </c>
      <c r="I230">
        <f>BF14*100</f>
        <v>75.647108117955867</v>
      </c>
      <c r="J230">
        <f>BN14*100</f>
        <v>68.676871848280086</v>
      </c>
      <c r="K230">
        <f>BV14*100</f>
        <v>62.285399175406539</v>
      </c>
      <c r="L230">
        <f>CD14*100</f>
        <v>56.44934485940977</v>
      </c>
      <c r="M230">
        <f>CL14*100</f>
        <v>51.13665222036191</v>
      </c>
      <c r="N230">
        <f>CV14*100</f>
        <v>45.173988558296749</v>
      </c>
      <c r="O230">
        <f>DB14*100</f>
        <v>41.92900038490572</v>
      </c>
      <c r="P230">
        <f>DJ14*100</f>
        <v>37.957304033506986</v>
      </c>
      <c r="Q230">
        <f>DR14*100</f>
        <v>34.358340568201747</v>
      </c>
      <c r="R230">
        <f>DZ14*100</f>
        <v>31.098445679794533</v>
      </c>
      <c r="S230">
        <f>EH14*100</f>
        <v>28.146528386796792</v>
      </c>
      <c r="T230">
        <f>EP14*100</f>
        <v>25.474062348096627</v>
      </c>
      <c r="U230">
        <f>EX14*100</f>
        <v>23.054982124934615</v>
      </c>
      <c r="V230">
        <f>FF14*100</f>
        <v>20.865535292690545</v>
      </c>
      <c r="W230">
        <f>FN14*100</f>
        <v>18.884117006181771</v>
      </c>
      <c r="X230">
        <f>FV14*100</f>
        <v>17.091101175473874</v>
      </c>
      <c r="Y230">
        <f>GD14*100</f>
        <v>15.468675788058603</v>
      </c>
      <c r="Z230">
        <f>GL14*100</f>
        <v>14.00068628326882</v>
      </c>
      <c r="AA230">
        <f>GT14*100</f>
        <v>12.672488849591378</v>
      </c>
      <c r="AB230">
        <f>HB14*100</f>
        <v>11.470814358650006</v>
      </c>
      <c r="AC230">
        <f>HJ14*100</f>
        <v>10.383642989997284</v>
      </c>
      <c r="AD230">
        <f>HR14*100</f>
        <v>9.4000892292260794</v>
      </c>
      <c r="AE230">
        <f>HZ14*100</f>
        <v>8.5102967200854103</v>
      </c>
      <c r="AF230">
        <f>IH14*100</f>
        <v>7.7053423508098851</v>
      </c>
    </row>
    <row r="231" spans="1:32" x14ac:dyDescent="0.2">
      <c r="A231" t="s">
        <v>640</v>
      </c>
      <c r="B231">
        <f t="shared" ref="B231:H231" si="1194">(B229-B230)^2</f>
        <v>0</v>
      </c>
      <c r="C231">
        <f t="shared" si="1194"/>
        <v>1.5991351121431448E-4</v>
      </c>
      <c r="D231">
        <f t="shared" si="1194"/>
        <v>124.32900682634165</v>
      </c>
      <c r="E231">
        <f t="shared" si="1194"/>
        <v>55.561955668158809</v>
      </c>
      <c r="F231">
        <f t="shared" si="1194"/>
        <v>28.871370427507948</v>
      </c>
      <c r="G231">
        <f t="shared" si="1194"/>
        <v>185.14607493293065</v>
      </c>
      <c r="H231">
        <f t="shared" si="1194"/>
        <v>133.72533304253201</v>
      </c>
    </row>
    <row r="232" spans="1:32" x14ac:dyDescent="0.2">
      <c r="A232" t="s">
        <v>641</v>
      </c>
      <c r="B232">
        <f>SUM(B231:J231)</f>
        <v>527.63390081098225</v>
      </c>
    </row>
    <row r="233" spans="1:32" x14ac:dyDescent="0.2">
      <c r="A233" t="s">
        <v>470</v>
      </c>
      <c r="B233">
        <f>B1</f>
        <v>2017</v>
      </c>
      <c r="C233">
        <f>J1</f>
        <v>2018</v>
      </c>
      <c r="D233">
        <f>R1</f>
        <v>2019</v>
      </c>
      <c r="E233">
        <f>Z1</f>
        <v>2020</v>
      </c>
      <c r="F233">
        <f>AH1</f>
        <v>2021</v>
      </c>
      <c r="G233">
        <f>AP1</f>
        <v>2022</v>
      </c>
      <c r="H233">
        <f>AX1</f>
        <v>2023</v>
      </c>
      <c r="I233">
        <f>BF1</f>
        <v>2024</v>
      </c>
      <c r="J233">
        <f>BN1</f>
        <v>2025</v>
      </c>
      <c r="K233">
        <f>BV1</f>
        <v>2026</v>
      </c>
      <c r="L233">
        <f>CD1</f>
        <v>2027</v>
      </c>
      <c r="M233">
        <f>CL1</f>
        <v>2028</v>
      </c>
      <c r="N233">
        <f>CT1</f>
        <v>2029</v>
      </c>
      <c r="O233">
        <f>DB1</f>
        <v>2030</v>
      </c>
      <c r="P233">
        <f>DJ1</f>
        <v>2031</v>
      </c>
      <c r="Q233">
        <f>DR1</f>
        <v>2032</v>
      </c>
      <c r="R233">
        <f>DZ1</f>
        <v>2033</v>
      </c>
      <c r="S233">
        <f>EH1</f>
        <v>2034</v>
      </c>
      <c r="T233">
        <f>EP1</f>
        <v>2035</v>
      </c>
      <c r="U233">
        <f>EX1</f>
        <v>2036</v>
      </c>
      <c r="V233">
        <f>FF1</f>
        <v>2037</v>
      </c>
      <c r="W233">
        <f>FN1</f>
        <v>2038</v>
      </c>
      <c r="X233">
        <f>FV1</f>
        <v>2039</v>
      </c>
      <c r="Y233">
        <f>GD1</f>
        <v>2040</v>
      </c>
      <c r="Z233">
        <f>GL1</f>
        <v>2041</v>
      </c>
      <c r="AA233">
        <f>GT1</f>
        <v>2042</v>
      </c>
      <c r="AB233">
        <f>HB1</f>
        <v>2043</v>
      </c>
      <c r="AC233">
        <f>HJ1</f>
        <v>2044</v>
      </c>
      <c r="AD233">
        <f>HR1</f>
        <v>2045</v>
      </c>
      <c r="AE233">
        <f>HZ1</f>
        <v>2046</v>
      </c>
      <c r="AF233">
        <f>IH1</f>
        <v>2047</v>
      </c>
    </row>
    <row r="234" spans="1:32" x14ac:dyDescent="0.2">
      <c r="A234" t="s">
        <v>942</v>
      </c>
      <c r="B234">
        <v>74.665122985839844</v>
      </c>
      <c r="C234">
        <v>80.647465248238092</v>
      </c>
      <c r="D234">
        <v>94.472972649647289</v>
      </c>
      <c r="E234">
        <v>96.779333333333341</v>
      </c>
      <c r="F234">
        <v>96.069333333333304</v>
      </c>
      <c r="G234">
        <v>96.217333333333301</v>
      </c>
      <c r="H234">
        <v>94.281000000000006</v>
      </c>
    </row>
    <row r="235" spans="1:32" x14ac:dyDescent="0.2">
      <c r="A235" t="s">
        <v>925</v>
      </c>
      <c r="B235">
        <f>B15*100</f>
        <v>74.665122985839844</v>
      </c>
      <c r="C235">
        <f>J15*100</f>
        <v>77.021157201652969</v>
      </c>
      <c r="D235">
        <f>R15*100</f>
        <v>79.220983474951851</v>
      </c>
      <c r="E235">
        <f>Z15*100</f>
        <v>81.210214476976077</v>
      </c>
      <c r="F235">
        <f>AH15*100</f>
        <v>83.009011058071636</v>
      </c>
      <c r="G235">
        <f>AP15*100</f>
        <v>82.753576284576496</v>
      </c>
      <c r="H235">
        <f>AX15*100</f>
        <v>84.404622698992227</v>
      </c>
      <c r="I235">
        <f>BF15*100</f>
        <v>85.897610010400001</v>
      </c>
      <c r="J235">
        <f>BN15*100</f>
        <v>87.247669640803181</v>
      </c>
      <c r="K235">
        <f>BV15*100</f>
        <v>88.264488833906711</v>
      </c>
      <c r="L235">
        <f>CD15*100</f>
        <v>88.539288422438773</v>
      </c>
      <c r="M235">
        <f>CL15*100</f>
        <v>88.185827836812521</v>
      </c>
      <c r="N235">
        <f>CV15*100</f>
        <v>87.038298501460474</v>
      </c>
      <c r="O235">
        <f>DB15*100</f>
        <v>86.048421189098434</v>
      </c>
      <c r="P235">
        <f>DJ15*100</f>
        <v>84.451779921641986</v>
      </c>
      <c r="Q235">
        <f>DR15*100</f>
        <v>82.605504286863081</v>
      </c>
      <c r="R235">
        <f>DZ15*100</f>
        <v>80.57202343288489</v>
      </c>
      <c r="S235">
        <f>EH15*100</f>
        <v>78.40410132385388</v>
      </c>
      <c r="T235">
        <f>EP15*100</f>
        <v>76.146115140604891</v>
      </c>
      <c r="U235">
        <f>EX15*100</f>
        <v>73.835177490836571</v>
      </c>
      <c r="V235">
        <f>FF15*100</f>
        <v>71.502120617648828</v>
      </c>
      <c r="W235">
        <f>FN15*100</f>
        <v>69.172358744204359</v>
      </c>
      <c r="X235">
        <f>FV15*100</f>
        <v>66.866642867203979</v>
      </c>
      <c r="Y235">
        <f>GD15*100</f>
        <v>64.601720688332648</v>
      </c>
      <c r="Z235">
        <f>GL15*100</f>
        <v>62.390912928978615</v>
      </c>
      <c r="AA235">
        <f>GT15*100</f>
        <v>60.244615989828141</v>
      </c>
      <c r="AB235">
        <f>HB15*100</f>
        <v>58.170739775963057</v>
      </c>
      <c r="AC235">
        <f>HJ15*100</f>
        <v>56.175088494273972</v>
      </c>
      <c r="AD235">
        <f>HR15*100</f>
        <v>54.261691329459453</v>
      </c>
      <c r="AE235">
        <f>HZ15*100</f>
        <v>52.4330891052143</v>
      </c>
      <c r="AF235">
        <f>IH15*100</f>
        <v>50.690582327357184</v>
      </c>
    </row>
    <row r="236" spans="1:32" x14ac:dyDescent="0.2">
      <c r="A236" t="s">
        <v>642</v>
      </c>
      <c r="B236">
        <f t="shared" ref="B236:H236" si="1195">(B234-B235)^2</f>
        <v>0</v>
      </c>
      <c r="C236">
        <f t="shared" si="1195"/>
        <v>13.150110048728012</v>
      </c>
      <c r="D236">
        <f t="shared" si="1195"/>
        <v>232.62317378502684</v>
      </c>
      <c r="E236">
        <f t="shared" si="1195"/>
        <v>242.3974619633793</v>
      </c>
      <c r="F236">
        <f t="shared" si="1195"/>
        <v>170.57201793369615</v>
      </c>
      <c r="G236">
        <f t="shared" si="1195"/>
        <v>181.27275386794852</v>
      </c>
      <c r="H236">
        <f t="shared" si="1195"/>
        <v>97.542828591861692</v>
      </c>
    </row>
    <row r="237" spans="1:32" x14ac:dyDescent="0.2">
      <c r="A237" t="s">
        <v>643</v>
      </c>
      <c r="B237">
        <f>SUM(B236:J236)</f>
        <v>937.55834619064058</v>
      </c>
    </row>
    <row r="238" spans="1:32" x14ac:dyDescent="0.2">
      <c r="A238" t="s">
        <v>470</v>
      </c>
      <c r="B238">
        <f>B1</f>
        <v>2017</v>
      </c>
      <c r="C238">
        <f>J1</f>
        <v>2018</v>
      </c>
      <c r="D238">
        <f>R1</f>
        <v>2019</v>
      </c>
      <c r="E238">
        <f>Z1</f>
        <v>2020</v>
      </c>
      <c r="F238">
        <f>AH1</f>
        <v>2021</v>
      </c>
      <c r="G238">
        <f>AP1</f>
        <v>2022</v>
      </c>
      <c r="H238">
        <f>AX1</f>
        <v>2023</v>
      </c>
      <c r="I238">
        <f>BF1</f>
        <v>2024</v>
      </c>
      <c r="J238">
        <f>BN1</f>
        <v>2025</v>
      </c>
      <c r="K238">
        <f>BV1</f>
        <v>2026</v>
      </c>
      <c r="L238">
        <f>CD1</f>
        <v>2027</v>
      </c>
      <c r="M238">
        <f>CL1</f>
        <v>2028</v>
      </c>
      <c r="N238">
        <f>CT1</f>
        <v>2029</v>
      </c>
      <c r="O238">
        <f>DB1</f>
        <v>2030</v>
      </c>
      <c r="P238">
        <f>DJ1</f>
        <v>2031</v>
      </c>
      <c r="Q238">
        <f>DR1</f>
        <v>2032</v>
      </c>
      <c r="R238">
        <f>DZ1</f>
        <v>2033</v>
      </c>
      <c r="S238">
        <f>EH1</f>
        <v>2034</v>
      </c>
      <c r="T238">
        <f>EP1</f>
        <v>2035</v>
      </c>
      <c r="U238">
        <f>EX1</f>
        <v>2036</v>
      </c>
      <c r="V238">
        <f>FF1</f>
        <v>2037</v>
      </c>
      <c r="W238">
        <f>FN1</f>
        <v>2038</v>
      </c>
      <c r="X238">
        <f>FV1</f>
        <v>2039</v>
      </c>
      <c r="Y238">
        <f>GD1</f>
        <v>2040</v>
      </c>
      <c r="Z238">
        <f>GL1</f>
        <v>2041</v>
      </c>
      <c r="AA238">
        <f>GT1</f>
        <v>2042</v>
      </c>
      <c r="AB238">
        <f>HB1</f>
        <v>2043</v>
      </c>
      <c r="AC238">
        <f>HJ1</f>
        <v>2044</v>
      </c>
      <c r="AD238">
        <f>HR1</f>
        <v>2045</v>
      </c>
      <c r="AE238">
        <f>HZ1</f>
        <v>2046</v>
      </c>
      <c r="AF238">
        <f>IH1</f>
        <v>2047</v>
      </c>
    </row>
    <row r="239" spans="1:32" x14ac:dyDescent="0.2">
      <c r="A239" t="s">
        <v>943</v>
      </c>
      <c r="B239">
        <v>42.901557922363281</v>
      </c>
      <c r="C239">
        <v>53.000563261084665</v>
      </c>
      <c r="D239">
        <v>51.240340188816376</v>
      </c>
      <c r="E239">
        <v>63.037200000000006</v>
      </c>
      <c r="F239">
        <v>62.231833333333299</v>
      </c>
      <c r="G239">
        <v>54.5073333333333</v>
      </c>
      <c r="H239">
        <v>62.343166666666697</v>
      </c>
    </row>
    <row r="240" spans="1:32" x14ac:dyDescent="0.2">
      <c r="A240" t="s">
        <v>926</v>
      </c>
      <c r="B240">
        <f>B16*100</f>
        <v>42.901557922363281</v>
      </c>
      <c r="C240">
        <f>J16*100</f>
        <v>48.367744977520623</v>
      </c>
      <c r="D240">
        <f>R16*100</f>
        <v>51.240728394338028</v>
      </c>
      <c r="E240">
        <f>Z16*100</f>
        <v>55.908584286226869</v>
      </c>
      <c r="F240">
        <f>AH16*100</f>
        <v>60.129573809732328</v>
      </c>
      <c r="G240">
        <f>AP16*100</f>
        <v>58.480289626084435</v>
      </c>
      <c r="H240">
        <f>AX16*100</f>
        <v>61.095977087111507</v>
      </c>
      <c r="I240">
        <f>BF16*100</f>
        <v>64.8203530777065</v>
      </c>
      <c r="J240">
        <f>BN16*100</f>
        <v>68.188184562224606</v>
      </c>
      <c r="K240">
        <f>BV16*100</f>
        <v>71.233604502841175</v>
      </c>
      <c r="L240">
        <f>CD16*100</f>
        <v>73.987478221683745</v>
      </c>
      <c r="M240">
        <f>CL16*100</f>
        <v>76.477716220780962</v>
      </c>
      <c r="N240">
        <f>CV16*100</f>
        <v>79.25799189636264</v>
      </c>
      <c r="O240">
        <f>DB16*100</f>
        <v>80.765823124317151</v>
      </c>
      <c r="P240">
        <f>DJ16*100</f>
        <v>82.60715197959243</v>
      </c>
      <c r="Q240">
        <f>DR16*100</f>
        <v>84.272205483268664</v>
      </c>
      <c r="R240">
        <f>DZ16*100</f>
        <v>85.77785894770102</v>
      </c>
      <c r="S240">
        <f>EH16*100</f>
        <v>87.139372166316491</v>
      </c>
      <c r="T240">
        <f>EP16*100</f>
        <v>88.370544071575225</v>
      </c>
      <c r="U240">
        <f>EX16*100</f>
        <v>89.483852587110519</v>
      </c>
      <c r="V240">
        <f>FF16*100</f>
        <v>90.490581091447908</v>
      </c>
      <c r="W240">
        <f>FN16*100</f>
        <v>91.400932775013487</v>
      </c>
      <c r="X240">
        <f>FV16*100</f>
        <v>92.224134049438661</v>
      </c>
      <c r="Y240">
        <f>GD16*100</f>
        <v>92.968528057214868</v>
      </c>
      <c r="Z240">
        <f>GL16*100</f>
        <v>93.641659229418266</v>
      </c>
      <c r="AA240">
        <f>GT16*100</f>
        <v>94.250349748496333</v>
      </c>
      <c r="AB240">
        <f>HB16*100</f>
        <v>94.800768691066963</v>
      </c>
      <c r="AC240">
        <f>HJ16*100</f>
        <v>95.298494551491814</v>
      </c>
      <c r="AD240">
        <f>HR16*100</f>
        <v>95.748571779900189</v>
      </c>
      <c r="AE240">
        <f>HZ16*100</f>
        <v>96.155561907676272</v>
      </c>
      <c r="AF240">
        <f>IH16*100</f>
        <v>96.523589778566233</v>
      </c>
    </row>
    <row r="241" spans="1:32" x14ac:dyDescent="0.2">
      <c r="A241" t="s">
        <v>644</v>
      </c>
      <c r="B241">
        <f t="shared" ref="B241:H241" si="1196">(B239-B240)^2</f>
        <v>0</v>
      </c>
      <c r="C241">
        <f t="shared" si="1196"/>
        <v>21.463005248525274</v>
      </c>
      <c r="D241">
        <f t="shared" si="1196"/>
        <v>1.5070352704125382E-7</v>
      </c>
      <c r="E241">
        <f t="shared" si="1196"/>
        <v>50.817161994653283</v>
      </c>
      <c r="F241">
        <f t="shared" si="1196"/>
        <v>4.4194951045709798</v>
      </c>
      <c r="G241">
        <f t="shared" si="1196"/>
        <v>15.784381704110844</v>
      </c>
      <c r="H241">
        <f t="shared" si="1196"/>
        <v>1.5554818473510521</v>
      </c>
    </row>
    <row r="242" spans="1:32" x14ac:dyDescent="0.2">
      <c r="A242" t="s">
        <v>645</v>
      </c>
      <c r="B242">
        <f>SUM(B241:J241)</f>
        <v>94.039526049914954</v>
      </c>
    </row>
    <row r="243" spans="1:32" x14ac:dyDescent="0.2">
      <c r="A243" t="s">
        <v>470</v>
      </c>
      <c r="B243">
        <f>B1</f>
        <v>2017</v>
      </c>
      <c r="C243">
        <f>J1</f>
        <v>2018</v>
      </c>
      <c r="D243">
        <f>R1</f>
        <v>2019</v>
      </c>
      <c r="E243">
        <f>Z1</f>
        <v>2020</v>
      </c>
      <c r="F243">
        <f>AH1</f>
        <v>2021</v>
      </c>
      <c r="G243">
        <f>AP1</f>
        <v>2022</v>
      </c>
      <c r="H243">
        <f>AX1</f>
        <v>2023</v>
      </c>
      <c r="I243">
        <f>BF1</f>
        <v>2024</v>
      </c>
      <c r="J243">
        <f>BN1</f>
        <v>2025</v>
      </c>
      <c r="K243">
        <f>BV1</f>
        <v>2026</v>
      </c>
      <c r="L243">
        <f>CD1</f>
        <v>2027</v>
      </c>
      <c r="M243">
        <f>CL1</f>
        <v>2028</v>
      </c>
      <c r="N243">
        <f>CT1</f>
        <v>2029</v>
      </c>
      <c r="O243">
        <f>DB1</f>
        <v>2030</v>
      </c>
      <c r="P243">
        <f>DJ1</f>
        <v>2031</v>
      </c>
      <c r="Q243">
        <f>DR1</f>
        <v>2032</v>
      </c>
      <c r="R243">
        <f>DZ1</f>
        <v>2033</v>
      </c>
      <c r="S243">
        <f>EH1</f>
        <v>2034</v>
      </c>
      <c r="T243">
        <f>EP1</f>
        <v>2035</v>
      </c>
      <c r="U243">
        <f>EX1</f>
        <v>2036</v>
      </c>
      <c r="V243">
        <f>FF1</f>
        <v>2037</v>
      </c>
      <c r="W243">
        <f>FN1</f>
        <v>2038</v>
      </c>
      <c r="X243">
        <f>FV1</f>
        <v>2039</v>
      </c>
      <c r="Y243">
        <f>GD1</f>
        <v>2040</v>
      </c>
      <c r="Z243">
        <f>GL1</f>
        <v>2041</v>
      </c>
      <c r="AA243">
        <f>GT1</f>
        <v>2042</v>
      </c>
      <c r="AB243">
        <f>HB1</f>
        <v>2043</v>
      </c>
      <c r="AC243">
        <f>HJ1</f>
        <v>2044</v>
      </c>
      <c r="AD243">
        <f>HR1</f>
        <v>2045</v>
      </c>
      <c r="AE243">
        <f>HZ1</f>
        <v>2046</v>
      </c>
      <c r="AF243">
        <f>IH1</f>
        <v>2047</v>
      </c>
    </row>
    <row r="244" spans="1:32" x14ac:dyDescent="0.2">
      <c r="A244" t="s">
        <v>944</v>
      </c>
      <c r="B244">
        <v>46.971038818359375</v>
      </c>
      <c r="C244">
        <v>46.066175293305136</v>
      </c>
      <c r="D244">
        <v>51.060938517470518</v>
      </c>
      <c r="E244">
        <v>50.356200000000001</v>
      </c>
      <c r="F244">
        <v>50.700600000000001</v>
      </c>
      <c r="G244">
        <v>50.628799999999998</v>
      </c>
      <c r="H244">
        <v>45.613399999999999</v>
      </c>
    </row>
    <row r="245" spans="1:32" x14ac:dyDescent="0.2">
      <c r="A245" t="s">
        <v>927</v>
      </c>
      <c r="B245">
        <f>B17*100</f>
        <v>46.971038818359375</v>
      </c>
      <c r="C245">
        <f>J17*100</f>
        <v>46.067252051318697</v>
      </c>
      <c r="D245">
        <f>R17*100</f>
        <v>48.8428640186387</v>
      </c>
      <c r="E245">
        <f>Z17*100</f>
        <v>50.357073394234916</v>
      </c>
      <c r="F245">
        <f>AH17*100</f>
        <v>50.703804578466261</v>
      </c>
      <c r="G245">
        <f>AP17*100</f>
        <v>50.346456897244288</v>
      </c>
      <c r="H245">
        <f>AX17*100</f>
        <v>46.483982328966036</v>
      </c>
      <c r="I245">
        <f>BF17*100</f>
        <v>42.991272814124628</v>
      </c>
      <c r="J245">
        <f>BN17*100</f>
        <v>39.832929752075245</v>
      </c>
      <c r="K245">
        <f>BV17*100</f>
        <v>36.976943345187237</v>
      </c>
      <c r="L245">
        <f>CD17*100</f>
        <v>34.394368179639422</v>
      </c>
      <c r="M245">
        <f>CL17*100</f>
        <v>32.059029863736185</v>
      </c>
      <c r="N245">
        <f>CV17*100</f>
        <v>29.451695016097712</v>
      </c>
      <c r="O245">
        <f>DB17*100</f>
        <v>28.037655056128358</v>
      </c>
      <c r="P245">
        <f>DJ17*100</f>
        <v>26.310861942594027</v>
      </c>
      <c r="Q245">
        <f>DR17*100</f>
        <v>24.7493793668026</v>
      </c>
      <c r="R245">
        <f>DZ17*100</f>
        <v>23.337381707447932</v>
      </c>
      <c r="S245">
        <f>EH17*100</f>
        <v>22.060558372411645</v>
      </c>
      <c r="T245">
        <f>EP17*100</f>
        <v>20.905968760954167</v>
      </c>
      <c r="U245">
        <f>EX17*100</f>
        <v>19.861911110764328</v>
      </c>
      <c r="V245">
        <f>FF17*100</f>
        <v>18.917803900632837</v>
      </c>
      <c r="W245">
        <f>FN17*100</f>
        <v>18.064078606765971</v>
      </c>
      <c r="X245">
        <f>FV17*100</f>
        <v>17.292082725825118</v>
      </c>
      <c r="Y245">
        <f>GD17*100</f>
        <v>16.59399208183094</v>
      </c>
      <c r="Z245">
        <f>GL17*100</f>
        <v>15.962731528162852</v>
      </c>
      <c r="AA245">
        <f>GT17*100</f>
        <v>15.391903240968865</v>
      </c>
      <c r="AB245">
        <f>HB17*100</f>
        <v>14.875721877239704</v>
      </c>
      <c r="AC245">
        <f>HJ17*100</f>
        <v>14.40895594037444</v>
      </c>
      <c r="AD245">
        <f>HR17*100</f>
        <v>13.98687475897785</v>
      </c>
      <c r="AE245">
        <f>HZ17*100</f>
        <v>13.605200541519755</v>
      </c>
      <c r="AF245">
        <f>IH17*100</f>
        <v>13.260065020930483</v>
      </c>
    </row>
    <row r="246" spans="1:32" x14ac:dyDescent="0.2">
      <c r="A246" t="s">
        <v>646</v>
      </c>
      <c r="B246">
        <f t="shared" ref="B246:H246" si="1197">(B244-B245)^2</f>
        <v>0</v>
      </c>
      <c r="C246">
        <f t="shared" si="1197"/>
        <v>1.1594078197671062E-6</v>
      </c>
      <c r="D246">
        <f t="shared" si="1197"/>
        <v>4.919854482368021</v>
      </c>
      <c r="E246">
        <f t="shared" si="1197"/>
        <v>7.6281748958324946E-7</v>
      </c>
      <c r="F246">
        <f t="shared" si="1197"/>
        <v>1.026932314641722E-5</v>
      </c>
      <c r="G246">
        <f t="shared" si="1197"/>
        <v>7.9717627673721758E-2</v>
      </c>
      <c r="H246">
        <f t="shared" si="1197"/>
        <v>0.75791359150792958</v>
      </c>
    </row>
    <row r="247" spans="1:32" x14ac:dyDescent="0.2">
      <c r="A247" t="s">
        <v>647</v>
      </c>
      <c r="B247">
        <f>SUM(B246:J246)</f>
        <v>5.7574978930981278</v>
      </c>
    </row>
    <row r="248" spans="1:32" x14ac:dyDescent="0.2">
      <c r="A248" t="s">
        <v>470</v>
      </c>
      <c r="B248">
        <f>B1</f>
        <v>2017</v>
      </c>
      <c r="C248">
        <f>J1</f>
        <v>2018</v>
      </c>
      <c r="D248">
        <f>R1</f>
        <v>2019</v>
      </c>
      <c r="E248">
        <f>Z1</f>
        <v>2020</v>
      </c>
      <c r="F248">
        <f>AH1</f>
        <v>2021</v>
      </c>
      <c r="G248">
        <f>AP1</f>
        <v>2022</v>
      </c>
      <c r="H248">
        <f>AX1</f>
        <v>2023</v>
      </c>
      <c r="I248">
        <f>BF1</f>
        <v>2024</v>
      </c>
      <c r="J248">
        <f>BN1</f>
        <v>2025</v>
      </c>
      <c r="K248">
        <f>BV1</f>
        <v>2026</v>
      </c>
      <c r="L248">
        <f>CD1</f>
        <v>2027</v>
      </c>
      <c r="M248">
        <f>CL1</f>
        <v>2028</v>
      </c>
      <c r="N248">
        <f>CT1</f>
        <v>2029</v>
      </c>
      <c r="O248">
        <f>DB1</f>
        <v>2030</v>
      </c>
      <c r="P248">
        <f>DJ1</f>
        <v>2031</v>
      </c>
      <c r="Q248">
        <f>DR1</f>
        <v>2032</v>
      </c>
      <c r="R248">
        <f>DZ1</f>
        <v>2033</v>
      </c>
      <c r="S248">
        <f>EH1</f>
        <v>2034</v>
      </c>
      <c r="T248">
        <f>EP1</f>
        <v>2035</v>
      </c>
      <c r="U248">
        <f>EX1</f>
        <v>2036</v>
      </c>
      <c r="V248">
        <f>FF1</f>
        <v>2037</v>
      </c>
      <c r="W248">
        <f>FN1</f>
        <v>2038</v>
      </c>
      <c r="X248">
        <f>FV1</f>
        <v>2039</v>
      </c>
      <c r="Y248">
        <f>GD1</f>
        <v>2040</v>
      </c>
      <c r="Z248">
        <f>GL1</f>
        <v>2041</v>
      </c>
      <c r="AA248">
        <f>GT1</f>
        <v>2042</v>
      </c>
      <c r="AB248">
        <f>HB1</f>
        <v>2043</v>
      </c>
      <c r="AC248">
        <f>HJ1</f>
        <v>2044</v>
      </c>
      <c r="AD248">
        <f>HR1</f>
        <v>2045</v>
      </c>
      <c r="AE248">
        <f>HZ1</f>
        <v>2046</v>
      </c>
      <c r="AF248">
        <f>IH1</f>
        <v>2047</v>
      </c>
    </row>
    <row r="249" spans="1:32" x14ac:dyDescent="0.2">
      <c r="A249" t="s">
        <v>945</v>
      </c>
      <c r="B249">
        <v>69.426445007324219</v>
      </c>
      <c r="C249">
        <v>71.893971411724451</v>
      </c>
      <c r="D249">
        <v>61.255014611243027</v>
      </c>
      <c r="E249">
        <v>61.136444444444436</v>
      </c>
      <c r="F249">
        <v>58.881700000000002</v>
      </c>
      <c r="G249">
        <v>54.347000000000001</v>
      </c>
      <c r="H249">
        <v>48.511600000000001</v>
      </c>
    </row>
    <row r="250" spans="1:32" x14ac:dyDescent="0.2">
      <c r="A250" t="s">
        <v>928</v>
      </c>
      <c r="B250">
        <f>B18*100</f>
        <v>69.426445007324219</v>
      </c>
      <c r="C250">
        <f>J18*100</f>
        <v>71.262446592244743</v>
      </c>
      <c r="D250">
        <f>R18*100</f>
        <v>65.727944913552179</v>
      </c>
      <c r="E250">
        <f>Z18*100</f>
        <v>61.133361802235378</v>
      </c>
      <c r="F250">
        <f>AH18*100</f>
        <v>58.634823740729857</v>
      </c>
      <c r="G250">
        <f>AP18*100</f>
        <v>59.972663038721265</v>
      </c>
      <c r="H250">
        <f>AX18*100</f>
        <v>55.317153182015112</v>
      </c>
      <c r="I250">
        <f>BF18*100</f>
        <v>51.209304269233549</v>
      </c>
      <c r="J250">
        <f>BN18*100</f>
        <v>47.608706184755455</v>
      </c>
      <c r="K250">
        <f>BV18*100</f>
        <v>44.587808934723014</v>
      </c>
      <c r="L250">
        <f>CD18*100</f>
        <v>42.175168362663527</v>
      </c>
      <c r="M250">
        <f>CL18*100</f>
        <v>40.369866562249264</v>
      </c>
      <c r="N250">
        <f>CV18*100</f>
        <v>38.987135092639285</v>
      </c>
      <c r="O250">
        <f>DB18*100</f>
        <v>38.634878079355531</v>
      </c>
      <c r="P250">
        <f>DJ18*100</f>
        <v>38.744527987745386</v>
      </c>
      <c r="Q250">
        <f>DR18*100</f>
        <v>39.558448714511997</v>
      </c>
      <c r="R250">
        <f>DZ18*100</f>
        <v>41.145143777116516</v>
      </c>
      <c r="S250">
        <f>EH18*100</f>
        <v>43.598131037422391</v>
      </c>
      <c r="T250">
        <f>EP18*100</f>
        <v>46.938272719546539</v>
      </c>
      <c r="U250">
        <f>EX18*100</f>
        <v>51.087036420280086</v>
      </c>
      <c r="V250">
        <f>FF18*100</f>
        <v>55.708397200558089</v>
      </c>
      <c r="W250">
        <f>FN18*100</f>
        <v>59.948551170876371</v>
      </c>
      <c r="X250">
        <f>FV18*100</f>
        <v>63.782783825287069</v>
      </c>
      <c r="Y250">
        <f>GD18*100</f>
        <v>67.249955100448489</v>
      </c>
      <c r="Z250">
        <f>GL18*100</f>
        <v>70.38520476702152</v>
      </c>
      <c r="AA250">
        <f>GT18*100</f>
        <v>73.220308571141686</v>
      </c>
      <c r="AB250">
        <f>HB18*100</f>
        <v>75.784000281512633</v>
      </c>
      <c r="AC250">
        <f>HJ18*100</f>
        <v>78.102262906067381</v>
      </c>
      <c r="AD250">
        <f>HR18*100</f>
        <v>80.198592029677101</v>
      </c>
      <c r="AE250">
        <f>HZ18*100</f>
        <v>82.094233941834645</v>
      </c>
      <c r="AF250">
        <f>IH18*100</f>
        <v>83.808400967735935</v>
      </c>
    </row>
    <row r="251" spans="1:32" x14ac:dyDescent="0.2">
      <c r="A251" t="s">
        <v>648</v>
      </c>
      <c r="B251">
        <f t="shared" ref="B251:H251" si="1198">(B249-B250)^2</f>
        <v>0</v>
      </c>
      <c r="C251">
        <f t="shared" si="1198"/>
        <v>0.39882359761887759</v>
      </c>
      <c r="D251">
        <f t="shared" si="1198"/>
        <v>20.007105489315439</v>
      </c>
      <c r="E251">
        <f t="shared" si="1198"/>
        <v>9.5026829890684891E-6</v>
      </c>
      <c r="F251">
        <f t="shared" si="1198"/>
        <v>6.0947887391219965E-2</v>
      </c>
      <c r="G251">
        <f t="shared" si="1198"/>
        <v>31.648084625234564</v>
      </c>
      <c r="H251">
        <f t="shared" si="1198"/>
        <v>46.31555411323599</v>
      </c>
    </row>
    <row r="252" spans="1:32" x14ac:dyDescent="0.2">
      <c r="A252" t="s">
        <v>649</v>
      </c>
      <c r="B252">
        <f>SUM(B251:J251)</f>
        <v>98.430525215479079</v>
      </c>
    </row>
    <row r="253" spans="1:32" x14ac:dyDescent="0.2">
      <c r="A253" t="s">
        <v>470</v>
      </c>
      <c r="B253">
        <f>B1</f>
        <v>2017</v>
      </c>
      <c r="C253">
        <f>J1</f>
        <v>2018</v>
      </c>
      <c r="D253">
        <f>R1</f>
        <v>2019</v>
      </c>
      <c r="E253">
        <f>Z1</f>
        <v>2020</v>
      </c>
      <c r="F253">
        <f>AH1</f>
        <v>2021</v>
      </c>
      <c r="G253">
        <f>AP1</f>
        <v>2022</v>
      </c>
      <c r="H253">
        <f>AX1</f>
        <v>2023</v>
      </c>
      <c r="I253">
        <f>BF1</f>
        <v>2024</v>
      </c>
      <c r="J253">
        <f>BN1</f>
        <v>2025</v>
      </c>
      <c r="K253">
        <f>BV1</f>
        <v>2026</v>
      </c>
      <c r="L253">
        <f>CD1</f>
        <v>2027</v>
      </c>
      <c r="M253">
        <f>CL1</f>
        <v>2028</v>
      </c>
      <c r="N253">
        <f>CT1</f>
        <v>2029</v>
      </c>
      <c r="O253">
        <f>DB1</f>
        <v>2030</v>
      </c>
      <c r="P253">
        <f>DJ1</f>
        <v>2031</v>
      </c>
      <c r="Q253">
        <f>DR1</f>
        <v>2032</v>
      </c>
      <c r="R253">
        <f>DZ1</f>
        <v>2033</v>
      </c>
      <c r="S253">
        <f>EH1</f>
        <v>2034</v>
      </c>
      <c r="T253">
        <f>EP1</f>
        <v>2035</v>
      </c>
      <c r="U253">
        <f>EX1</f>
        <v>2036</v>
      </c>
      <c r="V253">
        <f>FF1</f>
        <v>2037</v>
      </c>
      <c r="W253">
        <f>FN1</f>
        <v>2038</v>
      </c>
      <c r="X253">
        <f>FV1</f>
        <v>2039</v>
      </c>
      <c r="Y253">
        <f>GD1</f>
        <v>2040</v>
      </c>
      <c r="Z253">
        <f>GL1</f>
        <v>2041</v>
      </c>
      <c r="AA253">
        <f>GT1</f>
        <v>2042</v>
      </c>
      <c r="AB253">
        <f>HB1</f>
        <v>2043</v>
      </c>
      <c r="AC253">
        <f>HJ1</f>
        <v>2044</v>
      </c>
      <c r="AD253">
        <f>HR1</f>
        <v>2045</v>
      </c>
      <c r="AE253">
        <f>HZ1</f>
        <v>2046</v>
      </c>
      <c r="AF253">
        <f>IH1</f>
        <v>2047</v>
      </c>
    </row>
    <row r="254" spans="1:32" x14ac:dyDescent="0.2">
      <c r="A254" t="s">
        <v>946</v>
      </c>
      <c r="B254">
        <v>51.738662719726563</v>
      </c>
      <c r="C254">
        <v>51.266810797935847</v>
      </c>
      <c r="D254">
        <v>65.698219633333338</v>
      </c>
      <c r="E254">
        <v>46.98</v>
      </c>
      <c r="F254">
        <v>50.738</v>
      </c>
      <c r="G254">
        <v>50.184750000000001</v>
      </c>
      <c r="H254">
        <v>54.646250000000002</v>
      </c>
    </row>
    <row r="255" spans="1:32" x14ac:dyDescent="0.2">
      <c r="A255" t="s">
        <v>929</v>
      </c>
      <c r="B255">
        <f>B19*100</f>
        <v>51.738662719726555</v>
      </c>
      <c r="C255">
        <f>J19*100</f>
        <v>51.266907649557247</v>
      </c>
      <c r="D255">
        <f>R19*100</f>
        <v>55.321640884746046</v>
      </c>
      <c r="E255">
        <f>Z19*100</f>
        <v>50.982878604930413</v>
      </c>
      <c r="F255">
        <f>AH19*100</f>
        <v>48.016804509046928</v>
      </c>
      <c r="G255">
        <f>AP19*100</f>
        <v>48.373107981297288</v>
      </c>
      <c r="H255">
        <f>AX19*100</f>
        <v>53.315488869149327</v>
      </c>
      <c r="I255">
        <f>BF19*100</f>
        <v>57.784721653705539</v>
      </c>
      <c r="J255">
        <f>BN19*100</f>
        <v>61.8261027928489</v>
      </c>
      <c r="K255">
        <f>BV19*100</f>
        <v>65.480591672520376</v>
      </c>
      <c r="L255">
        <f>CD19*100</f>
        <v>68.785226526750733</v>
      </c>
      <c r="M255">
        <f>CL19*100</f>
        <v>71.773499820053487</v>
      </c>
      <c r="N255">
        <f>CV19*100</f>
        <v>75.109816891904444</v>
      </c>
      <c r="O255">
        <f>DB19*100</f>
        <v>76.919206914439584</v>
      </c>
      <c r="P255">
        <f>DJ19*100</f>
        <v>79.128792441767331</v>
      </c>
      <c r="Q255">
        <f>DR19*100</f>
        <v>81.126848418248144</v>
      </c>
      <c r="R255">
        <f>DZ19*100</f>
        <v>82.933625135318181</v>
      </c>
      <c r="S255">
        <f>EH19*100</f>
        <v>84.56743426968292</v>
      </c>
      <c r="T255">
        <f>EP19*100</f>
        <v>86.044834472106587</v>
      </c>
      <c r="U255">
        <f>EX19*100</f>
        <v>87.380799189288922</v>
      </c>
      <c r="V255">
        <f>FF19*100</f>
        <v>88.588868419703346</v>
      </c>
      <c r="W255">
        <f>FN19*100</f>
        <v>89.681285941441615</v>
      </c>
      <c r="X255">
        <f>FV19*100</f>
        <v>90.669123402868706</v>
      </c>
      <c r="Y255">
        <f>GD19*100</f>
        <v>91.562392533746433</v>
      </c>
      <c r="Z255">
        <f>GL19*100</f>
        <v>92.370146614084987</v>
      </c>
      <c r="AA255">
        <f>GT19*100</f>
        <v>93.100572229109346</v>
      </c>
      <c r="AB255">
        <f>HB19*100</f>
        <v>93.761072240276206</v>
      </c>
      <c r="AC255">
        <f>HJ19*100</f>
        <v>94.358340813253136</v>
      </c>
      <c r="AD255">
        <f>HR19*100</f>
        <v>94.898431263267994</v>
      </c>
      <c r="AE255">
        <f>HZ19*100</f>
        <v>95.386817405440766</v>
      </c>
      <c r="AF255">
        <f>IH19*100</f>
        <v>95.828449031883792</v>
      </c>
    </row>
    <row r="256" spans="1:32" x14ac:dyDescent="0.2">
      <c r="A256" t="s">
        <v>650</v>
      </c>
      <c r="B256">
        <f t="shared" ref="B256:H256" si="1199">(B254-B255)^2</f>
        <v>5.0487097934144756E-29</v>
      </c>
      <c r="C256">
        <f t="shared" si="1199"/>
        <v>9.3802365678404069E-9</v>
      </c>
      <c r="D256">
        <f t="shared" si="1199"/>
        <v>107.6733865256334</v>
      </c>
      <c r="E256">
        <f t="shared" si="1199"/>
        <v>16.023037125809672</v>
      </c>
      <c r="F256">
        <f t="shared" si="1199"/>
        <v>7.4049048999833298</v>
      </c>
      <c r="G256">
        <f t="shared" si="1199"/>
        <v>3.2820468039292416</v>
      </c>
      <c r="H256">
        <f t="shared" si="1199"/>
        <v>1.7709251873829674</v>
      </c>
    </row>
    <row r="257" spans="1:10" x14ac:dyDescent="0.2">
      <c r="A257" t="s">
        <v>651</v>
      </c>
      <c r="B257">
        <f>SUM(B256:J256)</f>
        <v>136.15430055211885</v>
      </c>
      <c r="C257">
        <v>2018</v>
      </c>
      <c r="D257">
        <v>2019</v>
      </c>
      <c r="E257">
        <v>2020</v>
      </c>
      <c r="F257">
        <v>2021</v>
      </c>
      <c r="G257">
        <v>2022</v>
      </c>
      <c r="H257">
        <v>2023</v>
      </c>
    </row>
    <row r="258" spans="1:10" x14ac:dyDescent="0.2">
      <c r="A258" t="s">
        <v>652</v>
      </c>
      <c r="B258">
        <f t="shared" ref="B258:H258" si="1200">B176</f>
        <v>0</v>
      </c>
      <c r="C258">
        <f t="shared" si="1200"/>
        <v>11.641645785379174</v>
      </c>
      <c r="D258">
        <f t="shared" si="1200"/>
        <v>491.58507638517494</v>
      </c>
      <c r="E258">
        <f t="shared" si="1200"/>
        <v>386.90705022818531</v>
      </c>
      <c r="F258">
        <f t="shared" si="1200"/>
        <v>723.06738546572319</v>
      </c>
      <c r="G258">
        <f t="shared" si="1200"/>
        <v>701.82707038627154</v>
      </c>
      <c r="H258">
        <f t="shared" si="1200"/>
        <v>7.2905062605658184</v>
      </c>
      <c r="I258">
        <f t="shared" ref="I258:I274" si="1201">SUM(B258:H258)</f>
        <v>2322.3187345113001</v>
      </c>
      <c r="J258">
        <f>MEDIAN(I258:I274)</f>
        <v>136.15430055211885</v>
      </c>
    </row>
    <row r="259" spans="1:10" x14ac:dyDescent="0.2">
      <c r="A259" t="s">
        <v>653</v>
      </c>
      <c r="B259">
        <f t="shared" ref="B259:H259" si="1202">B181</f>
        <v>0</v>
      </c>
      <c r="C259">
        <f t="shared" si="1202"/>
        <v>4.7236285817854863E-2</v>
      </c>
      <c r="D259">
        <f t="shared" si="1202"/>
        <v>0.17634000264656899</v>
      </c>
      <c r="E259">
        <f t="shared" si="1202"/>
        <v>1.1557117255080007</v>
      </c>
      <c r="F259">
        <f t="shared" si="1202"/>
        <v>3.5175449858379664</v>
      </c>
      <c r="G259">
        <f t="shared" si="1202"/>
        <v>13.878199445683984</v>
      </c>
      <c r="H259">
        <f t="shared" si="1202"/>
        <v>27.828455593755262</v>
      </c>
      <c r="I259">
        <f t="shared" si="1201"/>
        <v>46.60348803924964</v>
      </c>
    </row>
    <row r="260" spans="1:10" x14ac:dyDescent="0.2">
      <c r="A260" t="s">
        <v>654</v>
      </c>
      <c r="B260">
        <f t="shared" ref="B260:H260" si="1203">B186</f>
        <v>0</v>
      </c>
      <c r="C260">
        <f t="shared" si="1203"/>
        <v>0.12623603808074935</v>
      </c>
      <c r="D260">
        <f t="shared" si="1203"/>
        <v>9.5660663307950422E-3</v>
      </c>
      <c r="E260">
        <f t="shared" si="1203"/>
        <v>7.9415159237874037E-5</v>
      </c>
      <c r="F260">
        <f t="shared" si="1203"/>
        <v>2.4854769283938358</v>
      </c>
      <c r="G260">
        <f t="shared" si="1203"/>
        <v>11.490386655237083</v>
      </c>
      <c r="H260">
        <f t="shared" si="1203"/>
        <v>3.8818294723054856</v>
      </c>
      <c r="I260">
        <f t="shared" si="1201"/>
        <v>17.993574575507189</v>
      </c>
    </row>
    <row r="261" spans="1:10" x14ac:dyDescent="0.2">
      <c r="A261" t="s">
        <v>655</v>
      </c>
      <c r="B261">
        <f t="shared" ref="B261:H261" si="1204">B191</f>
        <v>0</v>
      </c>
      <c r="C261">
        <f t="shared" si="1204"/>
        <v>5.3888143666580385E-6</v>
      </c>
      <c r="D261">
        <f t="shared" si="1204"/>
        <v>146.72029304725359</v>
      </c>
      <c r="E261">
        <f t="shared" si="1204"/>
        <v>145.54086685566998</v>
      </c>
      <c r="F261">
        <f t="shared" si="1204"/>
        <v>157.19501092970168</v>
      </c>
      <c r="G261">
        <f t="shared" si="1204"/>
        <v>103.67634399465065</v>
      </c>
      <c r="H261">
        <f t="shared" si="1204"/>
        <v>194.61383640964891</v>
      </c>
      <c r="I261">
        <f t="shared" si="1201"/>
        <v>747.74635662573917</v>
      </c>
    </row>
    <row r="262" spans="1:10" x14ac:dyDescent="0.2">
      <c r="A262" t="s">
        <v>656</v>
      </c>
      <c r="B262">
        <f t="shared" ref="B262:H262" si="1205">B196</f>
        <v>0</v>
      </c>
      <c r="C262">
        <f t="shared" si="1205"/>
        <v>1.8178900703673845E-7</v>
      </c>
      <c r="D262">
        <f t="shared" si="1205"/>
        <v>0.59635122293537246</v>
      </c>
      <c r="E262">
        <f t="shared" si="1205"/>
        <v>0.44898141131345537</v>
      </c>
      <c r="F262">
        <f t="shared" si="1205"/>
        <v>10.443557884714069</v>
      </c>
      <c r="G262">
        <f t="shared" si="1205"/>
        <v>5.9062862504654978</v>
      </c>
      <c r="H262">
        <f t="shared" si="1205"/>
        <v>100.9495190282158</v>
      </c>
      <c r="I262">
        <f t="shared" si="1201"/>
        <v>118.3446959794332</v>
      </c>
    </row>
    <row r="263" spans="1:10" x14ac:dyDescent="0.2">
      <c r="A263" t="s">
        <v>657</v>
      </c>
      <c r="B263">
        <f t="shared" ref="B263:H263" si="1206">B201</f>
        <v>0</v>
      </c>
      <c r="C263">
        <f t="shared" si="1206"/>
        <v>3.0922494074075502E-5</v>
      </c>
      <c r="D263">
        <f t="shared" si="1206"/>
        <v>61.645443269583716</v>
      </c>
      <c r="E263">
        <f t="shared" si="1206"/>
        <v>9.563099406687348</v>
      </c>
      <c r="F263">
        <f t="shared" si="1206"/>
        <v>0.43890544351291455</v>
      </c>
      <c r="G263">
        <f t="shared" si="1206"/>
        <v>1.8494526580374731</v>
      </c>
      <c r="H263">
        <f t="shared" si="1206"/>
        <v>1.293575975697801E-2</v>
      </c>
      <c r="I263">
        <f t="shared" si="1201"/>
        <v>73.509867460072513</v>
      </c>
    </row>
    <row r="264" spans="1:10" x14ac:dyDescent="0.2">
      <c r="A264" t="s">
        <v>658</v>
      </c>
      <c r="B264">
        <f t="shared" ref="B264:H264" si="1207">B206</f>
        <v>0</v>
      </c>
      <c r="C264">
        <f t="shared" si="1207"/>
        <v>2.0077200538805653E-2</v>
      </c>
      <c r="D264">
        <f t="shared" si="1207"/>
        <v>50.843803763506266</v>
      </c>
      <c r="E264">
        <f t="shared" si="1207"/>
        <v>42.261930158635977</v>
      </c>
      <c r="F264">
        <f t="shared" si="1207"/>
        <v>16.630076289216028</v>
      </c>
      <c r="G264">
        <f t="shared" si="1207"/>
        <v>16.108541734432308</v>
      </c>
      <c r="H264">
        <f t="shared" si="1207"/>
        <v>0.57633710473306921</v>
      </c>
      <c r="I264">
        <f t="shared" si="1201"/>
        <v>126.44076625106246</v>
      </c>
    </row>
    <row r="265" spans="1:10" x14ac:dyDescent="0.2">
      <c r="A265" t="s">
        <v>659</v>
      </c>
      <c r="B265">
        <f t="shared" ref="B265:H265" si="1208">B211</f>
        <v>0</v>
      </c>
      <c r="C265">
        <f t="shared" si="1208"/>
        <v>2.2692407321232135</v>
      </c>
      <c r="D265">
        <f t="shared" si="1208"/>
        <v>604.1916133360445</v>
      </c>
      <c r="E265">
        <f t="shared" si="1208"/>
        <v>626.1669679478473</v>
      </c>
      <c r="F265">
        <f t="shared" si="1208"/>
        <v>108.75936563631259</v>
      </c>
      <c r="G265">
        <f t="shared" si="1208"/>
        <v>53.228295064975455</v>
      </c>
      <c r="H265">
        <f t="shared" si="1208"/>
        <v>53.302744972419262</v>
      </c>
      <c r="I265">
        <f t="shared" si="1201"/>
        <v>1447.9182276897225</v>
      </c>
    </row>
    <row r="266" spans="1:10" x14ac:dyDescent="0.2">
      <c r="A266" t="s">
        <v>660</v>
      </c>
      <c r="B266">
        <f t="shared" ref="B266:H266" si="1209">B216</f>
        <v>0</v>
      </c>
      <c r="C266">
        <f t="shared" si="1209"/>
        <v>6.8740980408650121E-2</v>
      </c>
      <c r="D266">
        <f t="shared" si="1209"/>
        <v>3.7623648034800743</v>
      </c>
      <c r="E266">
        <f t="shared" si="1209"/>
        <v>124.75687331113369</v>
      </c>
      <c r="F266">
        <f t="shared" si="1209"/>
        <v>145.4127255372762</v>
      </c>
      <c r="G266">
        <f t="shared" si="1209"/>
        <v>212.27829250689319</v>
      </c>
      <c r="H266">
        <f t="shared" si="1209"/>
        <v>326.98951768666706</v>
      </c>
      <c r="I266">
        <f t="shared" si="1201"/>
        <v>813.2685148258588</v>
      </c>
    </row>
    <row r="267" spans="1:10" x14ac:dyDescent="0.2">
      <c r="A267" t="s">
        <v>661</v>
      </c>
      <c r="B267">
        <f t="shared" ref="B267:H267" si="1210">B221</f>
        <v>0</v>
      </c>
      <c r="C267">
        <f t="shared" si="1210"/>
        <v>301.56431746011515</v>
      </c>
      <c r="D267">
        <f t="shared" si="1210"/>
        <v>146.62809903896968</v>
      </c>
      <c r="E267">
        <f t="shared" si="1210"/>
        <v>0.20619719874816575</v>
      </c>
      <c r="F267">
        <f t="shared" si="1210"/>
        <v>571.13335048199951</v>
      </c>
      <c r="G267">
        <f t="shared" si="1210"/>
        <v>257.59453860336731</v>
      </c>
      <c r="H267">
        <f t="shared" si="1210"/>
        <v>144.34381258287246</v>
      </c>
      <c r="I267">
        <f t="shared" si="1201"/>
        <v>1421.4703153660723</v>
      </c>
    </row>
    <row r="268" spans="1:10" x14ac:dyDescent="0.2">
      <c r="A268" t="s">
        <v>662</v>
      </c>
      <c r="B268">
        <f t="shared" ref="B268:H268" si="1211">B226</f>
        <v>0</v>
      </c>
      <c r="C268">
        <f t="shared" si="1211"/>
        <v>247.7028323953827</v>
      </c>
      <c r="D268">
        <f t="shared" si="1211"/>
        <v>25.369347383274665</v>
      </c>
      <c r="E268">
        <f t="shared" si="1211"/>
        <v>5.3424887109169634E-7</v>
      </c>
      <c r="F268">
        <f t="shared" si="1211"/>
        <v>5.8989069653792782E-2</v>
      </c>
      <c r="G268">
        <f t="shared" si="1211"/>
        <v>1.919248025440853E-2</v>
      </c>
      <c r="H268">
        <f t="shared" si="1211"/>
        <v>0.84297058135328862</v>
      </c>
      <c r="I268">
        <f t="shared" si="1201"/>
        <v>273.99333244416778</v>
      </c>
    </row>
    <row r="269" spans="1:10" x14ac:dyDescent="0.2">
      <c r="A269" t="s">
        <v>663</v>
      </c>
      <c r="B269">
        <f t="shared" ref="B269:H269" si="1212">B231</f>
        <v>0</v>
      </c>
      <c r="C269">
        <f t="shared" si="1212"/>
        <v>1.5991351121431448E-4</v>
      </c>
      <c r="D269">
        <f t="shared" si="1212"/>
        <v>124.32900682634165</v>
      </c>
      <c r="E269">
        <f t="shared" si="1212"/>
        <v>55.561955668158809</v>
      </c>
      <c r="F269">
        <f t="shared" si="1212"/>
        <v>28.871370427507948</v>
      </c>
      <c r="G269">
        <f t="shared" si="1212"/>
        <v>185.14607493293065</v>
      </c>
      <c r="H269">
        <f t="shared" si="1212"/>
        <v>133.72533304253201</v>
      </c>
      <c r="I269">
        <f t="shared" si="1201"/>
        <v>527.63390081098225</v>
      </c>
    </row>
    <row r="270" spans="1:10" x14ac:dyDescent="0.2">
      <c r="A270" t="s">
        <v>664</v>
      </c>
      <c r="B270">
        <f t="shared" ref="B270:H270" si="1213">B236</f>
        <v>0</v>
      </c>
      <c r="C270">
        <f t="shared" si="1213"/>
        <v>13.150110048728012</v>
      </c>
      <c r="D270">
        <f t="shared" si="1213"/>
        <v>232.62317378502684</v>
      </c>
      <c r="E270">
        <f t="shared" si="1213"/>
        <v>242.3974619633793</v>
      </c>
      <c r="F270">
        <f t="shared" si="1213"/>
        <v>170.57201793369615</v>
      </c>
      <c r="G270">
        <f t="shared" si="1213"/>
        <v>181.27275386794852</v>
      </c>
      <c r="H270">
        <f t="shared" si="1213"/>
        <v>97.542828591861692</v>
      </c>
      <c r="I270">
        <f t="shared" si="1201"/>
        <v>937.55834619064058</v>
      </c>
    </row>
    <row r="271" spans="1:10" x14ac:dyDescent="0.2">
      <c r="A271" t="s">
        <v>665</v>
      </c>
      <c r="B271">
        <f t="shared" ref="B271:H271" si="1214">B241</f>
        <v>0</v>
      </c>
      <c r="C271">
        <f t="shared" si="1214"/>
        <v>21.463005248525274</v>
      </c>
      <c r="D271">
        <f t="shared" si="1214"/>
        <v>1.5070352704125382E-7</v>
      </c>
      <c r="E271">
        <f t="shared" si="1214"/>
        <v>50.817161994653283</v>
      </c>
      <c r="F271">
        <f t="shared" si="1214"/>
        <v>4.4194951045709798</v>
      </c>
      <c r="G271">
        <f t="shared" si="1214"/>
        <v>15.784381704110844</v>
      </c>
      <c r="H271">
        <f t="shared" si="1214"/>
        <v>1.5554818473510521</v>
      </c>
      <c r="I271">
        <f t="shared" si="1201"/>
        <v>94.039526049914954</v>
      </c>
    </row>
    <row r="272" spans="1:10" x14ac:dyDescent="0.2">
      <c r="A272" t="s">
        <v>666</v>
      </c>
      <c r="B272">
        <f t="shared" ref="B272:H272" si="1215">B246</f>
        <v>0</v>
      </c>
      <c r="C272">
        <f t="shared" si="1215"/>
        <v>1.1594078197671062E-6</v>
      </c>
      <c r="D272">
        <f t="shared" si="1215"/>
        <v>4.919854482368021</v>
      </c>
      <c r="E272">
        <f t="shared" si="1215"/>
        <v>7.6281748958324946E-7</v>
      </c>
      <c r="F272">
        <f t="shared" si="1215"/>
        <v>1.026932314641722E-5</v>
      </c>
      <c r="G272">
        <f t="shared" si="1215"/>
        <v>7.9717627673721758E-2</v>
      </c>
      <c r="H272">
        <f t="shared" si="1215"/>
        <v>0.75791359150792958</v>
      </c>
      <c r="I272">
        <f t="shared" si="1201"/>
        <v>5.7574978930981278</v>
      </c>
    </row>
    <row r="273" spans="1:19" x14ac:dyDescent="0.2">
      <c r="A273" t="s">
        <v>667</v>
      </c>
      <c r="B273">
        <f t="shared" ref="B273:H273" si="1216">B251</f>
        <v>0</v>
      </c>
      <c r="C273">
        <f t="shared" si="1216"/>
        <v>0.39882359761887759</v>
      </c>
      <c r="D273">
        <f t="shared" si="1216"/>
        <v>20.007105489315439</v>
      </c>
      <c r="E273">
        <f t="shared" si="1216"/>
        <v>9.5026829890684891E-6</v>
      </c>
      <c r="F273">
        <f t="shared" si="1216"/>
        <v>6.0947887391219965E-2</v>
      </c>
      <c r="G273">
        <f t="shared" si="1216"/>
        <v>31.648084625234564</v>
      </c>
      <c r="H273">
        <f t="shared" si="1216"/>
        <v>46.31555411323599</v>
      </c>
      <c r="I273">
        <f t="shared" si="1201"/>
        <v>98.430525215479079</v>
      </c>
    </row>
    <row r="274" spans="1:19" x14ac:dyDescent="0.2">
      <c r="A274" t="s">
        <v>668</v>
      </c>
      <c r="B274">
        <f t="shared" ref="B274:H274" si="1217">B256</f>
        <v>5.0487097934144756E-29</v>
      </c>
      <c r="C274">
        <f t="shared" si="1217"/>
        <v>9.3802365678404069E-9</v>
      </c>
      <c r="D274">
        <f t="shared" si="1217"/>
        <v>107.6733865256334</v>
      </c>
      <c r="E274">
        <f t="shared" si="1217"/>
        <v>16.023037125809672</v>
      </c>
      <c r="F274">
        <f t="shared" si="1217"/>
        <v>7.4049048999833298</v>
      </c>
      <c r="G274">
        <f t="shared" si="1217"/>
        <v>3.2820468039292416</v>
      </c>
      <c r="H274">
        <f t="shared" si="1217"/>
        <v>1.7709251873829674</v>
      </c>
      <c r="I274">
        <f t="shared" si="1201"/>
        <v>136.15430055211885</v>
      </c>
    </row>
    <row r="275" spans="1:19" x14ac:dyDescent="0.2">
      <c r="A275" t="s">
        <v>669</v>
      </c>
      <c r="B275">
        <f t="shared" ref="B275:H275" si="1218">SUM(B258:B274)</f>
        <v>5.0487097934144756E-29</v>
      </c>
      <c r="C275">
        <f t="shared" si="1218"/>
        <v>598.45246334811509</v>
      </c>
      <c r="D275">
        <f t="shared" si="1218"/>
        <v>2021.0808255785887</v>
      </c>
      <c r="E275">
        <f t="shared" si="1218"/>
        <v>1701.807385210639</v>
      </c>
      <c r="F275">
        <f t="shared" si="1218"/>
        <v>1950.4711351748149</v>
      </c>
      <c r="G275">
        <f t="shared" si="1218"/>
        <v>1795.0696593420964</v>
      </c>
      <c r="H275">
        <f t="shared" si="1218"/>
        <v>1142.3005018261651</v>
      </c>
    </row>
    <row r="276" spans="1:19" x14ac:dyDescent="0.2">
      <c r="A276" t="s">
        <v>243</v>
      </c>
      <c r="B276">
        <v>2017</v>
      </c>
      <c r="C276">
        <v>2018</v>
      </c>
      <c r="D276">
        <v>2019</v>
      </c>
      <c r="E276">
        <v>2020</v>
      </c>
      <c r="F276">
        <v>2021</v>
      </c>
      <c r="G276">
        <v>2022</v>
      </c>
      <c r="H276">
        <v>2023</v>
      </c>
      <c r="I276">
        <v>2024</v>
      </c>
      <c r="J276">
        <v>2025</v>
      </c>
      <c r="K276">
        <v>2026</v>
      </c>
      <c r="L276">
        <f>CD2</f>
        <v>2027</v>
      </c>
      <c r="M276">
        <f>CL2</f>
        <v>2028</v>
      </c>
      <c r="N276">
        <f>CT2</f>
        <v>2029</v>
      </c>
      <c r="O276">
        <f>DB2</f>
        <v>2030</v>
      </c>
      <c r="P276" t="str">
        <f t="shared" ref="P276:P294" si="1219">A276</f>
        <v>India</v>
      </c>
      <c r="Q276">
        <f t="shared" ref="Q276:Q294" si="1220">B276</f>
        <v>2017</v>
      </c>
      <c r="R276">
        <f t="shared" ref="R276:R294" si="1221">H276</f>
        <v>2023</v>
      </c>
      <c r="S276">
        <f t="shared" ref="S276:S294" si="1222">O276</f>
        <v>2030</v>
      </c>
    </row>
    <row r="277" spans="1:19" x14ac:dyDescent="0.2">
      <c r="A277" s="33" t="s">
        <v>597</v>
      </c>
      <c r="B277">
        <f>AVERAGE(B278:B294)</f>
        <v>0.58068820055793302</v>
      </c>
      <c r="C277">
        <f t="shared" ref="C277:O277" si="1223">AVERAGE(C278:C294)</f>
        <v>0.58452963571921901</v>
      </c>
      <c r="D277">
        <f t="shared" si="1223"/>
        <v>0.58828782808623625</v>
      </c>
      <c r="E277">
        <f t="shared" si="1223"/>
        <v>0.5862540852135838</v>
      </c>
      <c r="F277">
        <f t="shared" si="1223"/>
        <v>0.5893354838549697</v>
      </c>
      <c r="G277">
        <f t="shared" si="1223"/>
        <v>0.5891444584114891</v>
      </c>
      <c r="H277">
        <f t="shared" si="1223"/>
        <v>0.59930489597010494</v>
      </c>
      <c r="I277">
        <f t="shared" si="1223"/>
        <v>0.60725092665693303</v>
      </c>
      <c r="J277">
        <f t="shared" si="1223"/>
        <v>0.6201335605533137</v>
      </c>
      <c r="K277">
        <f t="shared" si="1223"/>
        <v>0.63534533082497691</v>
      </c>
      <c r="L277">
        <f t="shared" si="1223"/>
        <v>0.64997597620152214</v>
      </c>
      <c r="M277">
        <f t="shared" si="1223"/>
        <v>0.66383327312024887</v>
      </c>
      <c r="N277">
        <f t="shared" si="1223"/>
        <v>0.67700716395319749</v>
      </c>
      <c r="O277">
        <f t="shared" si="1223"/>
        <v>0.68944543646736201</v>
      </c>
      <c r="P277" t="str">
        <f t="shared" si="1219"/>
        <v>Minimum</v>
      </c>
      <c r="Q277" s="21">
        <f>B277</f>
        <v>0.58068820055793302</v>
      </c>
      <c r="R277" s="21">
        <f>H277</f>
        <v>0.59930489597010494</v>
      </c>
      <c r="S277" s="21">
        <f>O277</f>
        <v>0.68944543646736201</v>
      </c>
    </row>
    <row r="278" spans="1:19" x14ac:dyDescent="0.2">
      <c r="A278" t="s">
        <v>473</v>
      </c>
      <c r="B278">
        <f t="shared" ref="B278:B294" si="1224">B3</f>
        <v>0.93385078430175783</v>
      </c>
      <c r="C278">
        <f t="shared" ref="C278:C294" si="1225">J3</f>
        <v>0.92898310604136414</v>
      </c>
      <c r="D278">
        <f t="shared" ref="D278:D294" si="1226">R3</f>
        <v>0.93578174383828261</v>
      </c>
      <c r="E278">
        <f t="shared" ref="E278:E294" si="1227">Z3</f>
        <v>0.94192952979816325</v>
      </c>
      <c r="F278">
        <f t="shared" ref="F278:F294" si="1228">AH3</f>
        <v>0.8646641233651986</v>
      </c>
      <c r="G278">
        <f t="shared" ref="G278:G294" si="1229">AP3</f>
        <v>0.87762018994147495</v>
      </c>
      <c r="H278">
        <f t="shared" ref="H278:H294" si="1230">AX3</f>
        <v>0.88933593750329021</v>
      </c>
      <c r="I278">
        <f t="shared" ref="I278:I294" si="1231">BF3</f>
        <v>0.88046113550600502</v>
      </c>
      <c r="J278">
        <f t="shared" ref="J278:J294" si="1232">BN3</f>
        <v>0.88635277206702401</v>
      </c>
      <c r="K278">
        <f t="shared" ref="K278:K294" si="1233">BV3</f>
        <v>0.89723252611245097</v>
      </c>
      <c r="L278">
        <f t="shared" ref="L278:L294" si="1234">CD3</f>
        <v>0.90707073211273959</v>
      </c>
      <c r="M278">
        <f t="shared" ref="M278:M294" si="1235">CL3</f>
        <v>0.91596710025672334</v>
      </c>
      <c r="N278">
        <f t="shared" ref="N278:N294" si="1236">CT3</f>
        <v>0.92401179520933652</v>
      </c>
      <c r="O278">
        <f t="shared" ref="O278:O294" si="1237">DB3</f>
        <v>0.93128634993022708</v>
      </c>
      <c r="P278" t="str">
        <f t="shared" si="1219"/>
        <v>SDG1</v>
      </c>
      <c r="Q278" s="21">
        <f t="shared" si="1220"/>
        <v>0.93385078430175783</v>
      </c>
      <c r="R278" s="21">
        <f t="shared" si="1221"/>
        <v>0.88933593750329021</v>
      </c>
      <c r="S278" s="21">
        <f t="shared" si="1222"/>
        <v>0.93128634993022708</v>
      </c>
    </row>
    <row r="279" spans="1:19" x14ac:dyDescent="0.2">
      <c r="A279" t="s">
        <v>474</v>
      </c>
      <c r="B279">
        <f t="shared" si="1224"/>
        <v>0.36852024078369139</v>
      </c>
      <c r="C279">
        <f t="shared" si="1225"/>
        <v>0.3934375011155759</v>
      </c>
      <c r="D279">
        <f t="shared" si="1226"/>
        <v>0.42987581711995126</v>
      </c>
      <c r="E279">
        <f t="shared" si="1227"/>
        <v>0.45329897479545966</v>
      </c>
      <c r="F279">
        <f t="shared" si="1228"/>
        <v>0.50563613073661495</v>
      </c>
      <c r="G279">
        <f t="shared" si="1229"/>
        <v>0.48318779452848171</v>
      </c>
      <c r="H279">
        <f t="shared" si="1230"/>
        <v>0.49116481704097387</v>
      </c>
      <c r="I279">
        <f t="shared" si="1231"/>
        <v>0.51234615390236793</v>
      </c>
      <c r="J279">
        <f t="shared" si="1232"/>
        <v>0.54314426768848012</v>
      </c>
      <c r="K279">
        <f t="shared" si="1233"/>
        <v>0.58336864450371584</v>
      </c>
      <c r="L279">
        <f t="shared" si="1234"/>
        <v>0.62325388198690113</v>
      </c>
      <c r="M279">
        <f t="shared" si="1235"/>
        <v>0.65932079867376747</v>
      </c>
      <c r="N279">
        <f t="shared" si="1236"/>
        <v>0.69193493265869721</v>
      </c>
      <c r="O279">
        <f t="shared" si="1237"/>
        <v>0.72142682809355962</v>
      </c>
      <c r="P279" t="str">
        <f t="shared" si="1219"/>
        <v>SDG2</v>
      </c>
      <c r="Q279" s="21">
        <f t="shared" si="1220"/>
        <v>0.36852024078369139</v>
      </c>
      <c r="R279" s="21">
        <f t="shared" si="1221"/>
        <v>0.49116481704097387</v>
      </c>
      <c r="S279" s="21">
        <f t="shared" si="1222"/>
        <v>0.72142682809355962</v>
      </c>
    </row>
    <row r="280" spans="1:19" x14ac:dyDescent="0.2">
      <c r="A280" t="s">
        <v>475</v>
      </c>
      <c r="B280">
        <f t="shared" si="1224"/>
        <v>0.55213714599609376</v>
      </c>
      <c r="C280">
        <f t="shared" si="1225"/>
        <v>0.58495717150725868</v>
      </c>
      <c r="D280">
        <f t="shared" si="1226"/>
        <v>0.58660199744134756</v>
      </c>
      <c r="E280">
        <f t="shared" si="1227"/>
        <v>0.55842165404730537</v>
      </c>
      <c r="F280">
        <f t="shared" si="1228"/>
        <v>0.56393921996174712</v>
      </c>
      <c r="G280">
        <f t="shared" si="1229"/>
        <v>0.58885395572279753</v>
      </c>
      <c r="H280">
        <f t="shared" si="1230"/>
        <v>0.62821406964589555</v>
      </c>
      <c r="I280">
        <f t="shared" si="1231"/>
        <v>0.64789236751403678</v>
      </c>
      <c r="J280">
        <f t="shared" si="1232"/>
        <v>0.68078527228679131</v>
      </c>
      <c r="K280">
        <f t="shared" si="1233"/>
        <v>0.71134455462358426</v>
      </c>
      <c r="L280">
        <f t="shared" si="1234"/>
        <v>0.73897831487175092</v>
      </c>
      <c r="M280">
        <f t="shared" si="1235"/>
        <v>0.76396662111000824</v>
      </c>
      <c r="N280">
        <f t="shared" si="1236"/>
        <v>0.78656272974847563</v>
      </c>
      <c r="O280">
        <f t="shared" si="1237"/>
        <v>0.80699565228164472</v>
      </c>
      <c r="P280" t="str">
        <f t="shared" si="1219"/>
        <v>SDG3</v>
      </c>
      <c r="Q280" s="21">
        <f t="shared" si="1220"/>
        <v>0.55213714599609376</v>
      </c>
      <c r="R280" s="21">
        <f t="shared" si="1221"/>
        <v>0.62821406964589555</v>
      </c>
      <c r="S280" s="21">
        <f t="shared" si="1222"/>
        <v>0.80699565228164472</v>
      </c>
    </row>
    <row r="281" spans="1:19" x14ac:dyDescent="0.2">
      <c r="A281" t="s">
        <v>476</v>
      </c>
      <c r="B281">
        <f t="shared" si="1224"/>
        <v>0.65300369262695313</v>
      </c>
      <c r="C281">
        <f t="shared" si="1225"/>
        <v>0.64755549575108007</v>
      </c>
      <c r="D281">
        <f t="shared" si="1226"/>
        <v>0.68129595375109497</v>
      </c>
      <c r="E281">
        <f t="shared" si="1227"/>
        <v>0.71180634718115221</v>
      </c>
      <c r="F281">
        <f t="shared" si="1228"/>
        <v>0.73939589878879397</v>
      </c>
      <c r="G281">
        <f t="shared" si="1229"/>
        <v>0.7273134187931406</v>
      </c>
      <c r="H281">
        <f t="shared" si="1230"/>
        <v>0.75341843682990839</v>
      </c>
      <c r="I281">
        <f t="shared" si="1231"/>
        <v>0.75014653324135883</v>
      </c>
      <c r="J281">
        <f t="shared" si="1232"/>
        <v>0.764737409290144</v>
      </c>
      <c r="K281">
        <f t="shared" si="1233"/>
        <v>0.78725972830810298</v>
      </c>
      <c r="L281">
        <f t="shared" si="1234"/>
        <v>0.80762592529911259</v>
      </c>
      <c r="M281">
        <f t="shared" si="1235"/>
        <v>0.82604241160968594</v>
      </c>
      <c r="N281">
        <f t="shared" si="1236"/>
        <v>0.84269583827433292</v>
      </c>
      <c r="O281">
        <f t="shared" si="1237"/>
        <v>0.85775498772324565</v>
      </c>
      <c r="P281" t="str">
        <f t="shared" si="1219"/>
        <v>SDG4</v>
      </c>
      <c r="Q281" s="21">
        <f t="shared" si="1220"/>
        <v>0.65300369262695313</v>
      </c>
      <c r="R281" s="21">
        <f t="shared" si="1221"/>
        <v>0.75341843682990839</v>
      </c>
      <c r="S281" s="21">
        <f t="shared" si="1222"/>
        <v>0.85775498772324565</v>
      </c>
    </row>
    <row r="282" spans="1:19" x14ac:dyDescent="0.2">
      <c r="A282" t="s">
        <v>477</v>
      </c>
      <c r="B282">
        <f t="shared" si="1224"/>
        <v>0.33300739288330078</v>
      </c>
      <c r="C282">
        <f t="shared" si="1225"/>
        <v>0.36394753309284389</v>
      </c>
      <c r="D282">
        <f t="shared" si="1226"/>
        <v>0.33960101259644676</v>
      </c>
      <c r="E282">
        <f t="shared" si="1227"/>
        <v>0.31781060751957207</v>
      </c>
      <c r="F282">
        <f t="shared" si="1228"/>
        <v>0.30850600593781241</v>
      </c>
      <c r="G282">
        <f t="shared" si="1229"/>
        <v>0.31463964780017478</v>
      </c>
      <c r="H282">
        <f t="shared" si="1230"/>
        <v>0.36206636214995702</v>
      </c>
      <c r="I282">
        <f t="shared" si="1231"/>
        <v>0.39391715387372556</v>
      </c>
      <c r="J282">
        <f t="shared" si="1232"/>
        <v>0.43398579071717119</v>
      </c>
      <c r="K282">
        <f t="shared" si="1233"/>
        <v>0.48546666577581266</v>
      </c>
      <c r="L282">
        <f t="shared" si="1234"/>
        <v>0.53472432235353473</v>
      </c>
      <c r="M282">
        <f t="shared" si="1235"/>
        <v>0.5792664113088265</v>
      </c>
      <c r="N282">
        <f t="shared" si="1236"/>
        <v>0.61954436658204648</v>
      </c>
      <c r="O282">
        <f t="shared" si="1237"/>
        <v>0.65596640513124571</v>
      </c>
      <c r="P282" t="str">
        <f t="shared" si="1219"/>
        <v>SDG5</v>
      </c>
      <c r="Q282" s="21">
        <f t="shared" si="1220"/>
        <v>0.33300739288330078</v>
      </c>
      <c r="R282" s="21">
        <f t="shared" si="1221"/>
        <v>0.36206636214995702</v>
      </c>
      <c r="S282" s="21">
        <f t="shared" si="1222"/>
        <v>0.65596640513124571</v>
      </c>
    </row>
    <row r="283" spans="1:19" x14ac:dyDescent="0.2">
      <c r="A283" t="s">
        <v>478</v>
      </c>
      <c r="B283">
        <f t="shared" si="1224"/>
        <v>0.7371634674072266</v>
      </c>
      <c r="C283">
        <f t="shared" si="1225"/>
        <v>0.7019697128806317</v>
      </c>
      <c r="D283">
        <f t="shared" si="1226"/>
        <v>0.64434153718240827</v>
      </c>
      <c r="E283">
        <f t="shared" si="1227"/>
        <v>0.59223026136011558</v>
      </c>
      <c r="F283">
        <f t="shared" si="1228"/>
        <v>0.55468100608669779</v>
      </c>
      <c r="G283">
        <f t="shared" si="1229"/>
        <v>0.57215054170918023</v>
      </c>
      <c r="H283">
        <f t="shared" si="1230"/>
        <v>0.5823913548152172</v>
      </c>
      <c r="I283">
        <f t="shared" si="1231"/>
        <v>0.62237014838846505</v>
      </c>
      <c r="J283">
        <f t="shared" si="1232"/>
        <v>0.65852166478988117</v>
      </c>
      <c r="K283">
        <f t="shared" si="1233"/>
        <v>0.69121229953170593</v>
      </c>
      <c r="L283">
        <f t="shared" si="1234"/>
        <v>0.72077337210075421</v>
      </c>
      <c r="M283">
        <f t="shared" si="1235"/>
        <v>0.74750448388043822</v>
      </c>
      <c r="N283">
        <f t="shared" si="1236"/>
        <v>0.77167655460990581</v>
      </c>
      <c r="O283">
        <f t="shared" si="1237"/>
        <v>0.79353456815479895</v>
      </c>
      <c r="P283" t="str">
        <f t="shared" si="1219"/>
        <v>SDG6</v>
      </c>
      <c r="Q283" s="21">
        <f t="shared" si="1220"/>
        <v>0.7371634674072266</v>
      </c>
      <c r="R283" s="21">
        <f t="shared" si="1221"/>
        <v>0.5823913548152172</v>
      </c>
      <c r="S283" s="21">
        <f t="shared" si="1222"/>
        <v>0.79353456815479895</v>
      </c>
    </row>
    <row r="284" spans="1:19" x14ac:dyDescent="0.2">
      <c r="A284" t="s">
        <v>479</v>
      </c>
      <c r="B284">
        <f t="shared" si="1224"/>
        <v>0.53973793029785155</v>
      </c>
      <c r="C284">
        <f t="shared" si="1225"/>
        <v>0.53829506047956166</v>
      </c>
      <c r="D284">
        <f t="shared" si="1226"/>
        <v>0.5824953130937619</v>
      </c>
      <c r="E284">
        <f t="shared" si="1227"/>
        <v>0.62246415693596924</v>
      </c>
      <c r="F284">
        <f t="shared" si="1228"/>
        <v>0.65860667612079271</v>
      </c>
      <c r="G284">
        <f t="shared" si="1229"/>
        <v>0.6472270521584319</v>
      </c>
      <c r="H284">
        <f t="shared" si="1230"/>
        <v>0.65449331306801273</v>
      </c>
      <c r="I284">
        <f t="shared" si="1231"/>
        <v>0.68756945509097689</v>
      </c>
      <c r="J284">
        <f t="shared" si="1232"/>
        <v>0.71747912929482538</v>
      </c>
      <c r="K284">
        <f t="shared" si="1233"/>
        <v>0.74452547013951209</v>
      </c>
      <c r="L284">
        <f t="shared" si="1234"/>
        <v>0.76898259220983067</v>
      </c>
      <c r="M284">
        <f t="shared" si="1235"/>
        <v>0.79109836836592273</v>
      </c>
      <c r="N284">
        <f t="shared" si="1236"/>
        <v>0.81109694193398596</v>
      </c>
      <c r="O284">
        <f t="shared" si="1237"/>
        <v>0.82918099839822468</v>
      </c>
      <c r="P284" t="str">
        <f t="shared" si="1219"/>
        <v>SDG7</v>
      </c>
      <c r="Q284" s="21">
        <f t="shared" si="1220"/>
        <v>0.53973793029785155</v>
      </c>
      <c r="R284" s="21">
        <f t="shared" si="1221"/>
        <v>0.65449331306801273</v>
      </c>
      <c r="S284" s="21">
        <f t="shared" si="1222"/>
        <v>0.82918099839822468</v>
      </c>
    </row>
    <row r="285" spans="1:19" x14ac:dyDescent="0.2">
      <c r="A285" t="s">
        <v>480</v>
      </c>
      <c r="B285">
        <f t="shared" si="1224"/>
        <v>0.68254425048828127</v>
      </c>
      <c r="C285">
        <f t="shared" si="1225"/>
        <v>0.62604766883708396</v>
      </c>
      <c r="D285">
        <f t="shared" si="1226"/>
        <v>0.58663319896262389</v>
      </c>
      <c r="E285">
        <f t="shared" si="1227"/>
        <v>0.57216271525397611</v>
      </c>
      <c r="F285">
        <f t="shared" si="1228"/>
        <v>0.60663890821136579</v>
      </c>
      <c r="G285">
        <f t="shared" si="1229"/>
        <v>0.62850727589557398</v>
      </c>
      <c r="H285">
        <f t="shared" si="1230"/>
        <v>0.66407127108871211</v>
      </c>
      <c r="I285">
        <f t="shared" si="1231"/>
        <v>0.67380185235204326</v>
      </c>
      <c r="J285">
        <f t="shared" si="1232"/>
        <v>0.699269835981156</v>
      </c>
      <c r="K285">
        <f t="shared" si="1233"/>
        <v>0.7280595414414206</v>
      </c>
      <c r="L285">
        <f t="shared" si="1234"/>
        <v>0.75409313115522214</v>
      </c>
      <c r="M285">
        <f t="shared" si="1235"/>
        <v>0.77763445547762522</v>
      </c>
      <c r="N285">
        <f t="shared" si="1236"/>
        <v>0.79892210566129418</v>
      </c>
      <c r="O285">
        <f t="shared" si="1237"/>
        <v>0.81817183197813559</v>
      </c>
      <c r="P285" t="str">
        <f t="shared" si="1219"/>
        <v>SDG8</v>
      </c>
      <c r="Q285" s="21">
        <f t="shared" si="1220"/>
        <v>0.68254425048828127</v>
      </c>
      <c r="R285" s="21">
        <f t="shared" si="1221"/>
        <v>0.66407127108871211</v>
      </c>
      <c r="S285" s="21">
        <f t="shared" si="1222"/>
        <v>0.81817183197813559</v>
      </c>
    </row>
    <row r="286" spans="1:19" x14ac:dyDescent="0.2">
      <c r="A286" t="s">
        <v>481</v>
      </c>
      <c r="B286">
        <f t="shared" si="1224"/>
        <v>0.33077934265136721</v>
      </c>
      <c r="C286">
        <f t="shared" si="1225"/>
        <v>0.32835703517877252</v>
      </c>
      <c r="D286">
        <f t="shared" si="1226"/>
        <v>0.3060847553170466</v>
      </c>
      <c r="E286">
        <f t="shared" si="1227"/>
        <v>0.29462538360729568</v>
      </c>
      <c r="F286">
        <f t="shared" si="1228"/>
        <v>0.30127780103706026</v>
      </c>
      <c r="G286">
        <f t="shared" si="1229"/>
        <v>0.30095726751699492</v>
      </c>
      <c r="H286">
        <f t="shared" si="1230"/>
        <v>0.32877719947494993</v>
      </c>
      <c r="I286">
        <f t="shared" si="1231"/>
        <v>0.39303515905934111</v>
      </c>
      <c r="J286">
        <f t="shared" si="1232"/>
        <v>0.45114153176867478</v>
      </c>
      <c r="K286">
        <f t="shared" si="1233"/>
        <v>0.50298474859213926</v>
      </c>
      <c r="L286">
        <f t="shared" si="1234"/>
        <v>0.54912960511481568</v>
      </c>
      <c r="M286">
        <f t="shared" si="1235"/>
        <v>0.5908736576187037</v>
      </c>
      <c r="N286">
        <f t="shared" si="1236"/>
        <v>0.62925554173201248</v>
      </c>
      <c r="O286">
        <f t="shared" si="1237"/>
        <v>0.66471241216487476</v>
      </c>
      <c r="P286" t="str">
        <f t="shared" si="1219"/>
        <v>SDG9</v>
      </c>
      <c r="Q286" s="21">
        <f t="shared" si="1220"/>
        <v>0.33077934265136721</v>
      </c>
      <c r="R286" s="21">
        <f t="shared" si="1221"/>
        <v>0.32877719947494993</v>
      </c>
      <c r="S286" s="21">
        <f t="shared" si="1222"/>
        <v>0.66471241216487476</v>
      </c>
    </row>
    <row r="287" spans="1:19" x14ac:dyDescent="0.2">
      <c r="A287" t="s">
        <v>482</v>
      </c>
      <c r="B287">
        <f t="shared" si="1224"/>
        <v>0.72533958435058599</v>
      </c>
      <c r="C287">
        <f t="shared" si="1225"/>
        <v>0.6643723564483488</v>
      </c>
      <c r="D287">
        <f t="shared" si="1226"/>
        <v>0.61066846806437913</v>
      </c>
      <c r="E287">
        <f t="shared" si="1227"/>
        <v>0.56164089417128571</v>
      </c>
      <c r="F287">
        <f t="shared" si="1228"/>
        <v>0.51753396399800544</v>
      </c>
      <c r="G287">
        <f t="shared" si="1229"/>
        <v>0.54500251979496983</v>
      </c>
      <c r="H287">
        <f t="shared" si="1230"/>
        <v>0.50464816983618854</v>
      </c>
      <c r="I287">
        <f t="shared" si="1231"/>
        <v>0.47063438989986756</v>
      </c>
      <c r="J287">
        <f t="shared" si="1232"/>
        <v>0.44381918806319465</v>
      </c>
      <c r="K287">
        <f t="shared" si="1233"/>
        <v>0.42493489774319071</v>
      </c>
      <c r="L287">
        <f t="shared" si="1234"/>
        <v>0.41405555661673427</v>
      </c>
      <c r="M287">
        <f t="shared" si="1235"/>
        <v>0.41086516624611552</v>
      </c>
      <c r="N287">
        <f t="shared" si="1236"/>
        <v>0.41514652583417866</v>
      </c>
      <c r="O287">
        <f t="shared" si="1237"/>
        <v>0.42692042277062686</v>
      </c>
      <c r="P287" t="str">
        <f t="shared" si="1219"/>
        <v>SDG10</v>
      </c>
      <c r="Q287" s="21">
        <f t="shared" si="1220"/>
        <v>0.72533958435058599</v>
      </c>
      <c r="R287" s="21">
        <f t="shared" si="1221"/>
        <v>0.50464816983618854</v>
      </c>
      <c r="S287" s="21">
        <f t="shared" si="1222"/>
        <v>0.42692042277062686</v>
      </c>
    </row>
    <row r="288" spans="1:19" x14ac:dyDescent="0.2">
      <c r="A288" t="s">
        <v>483</v>
      </c>
      <c r="B288">
        <f t="shared" si="1224"/>
        <v>0.34302524566650389</v>
      </c>
      <c r="C288">
        <f t="shared" si="1225"/>
        <v>0.40379051813550682</v>
      </c>
      <c r="D288">
        <f t="shared" si="1226"/>
        <v>0.46086725146386115</v>
      </c>
      <c r="E288">
        <f t="shared" si="1227"/>
        <v>0.49492602410032921</v>
      </c>
      <c r="F288">
        <f t="shared" si="1228"/>
        <v>0.52935373344773951</v>
      </c>
      <c r="G288">
        <f t="shared" si="1229"/>
        <v>0.50479786927403525</v>
      </c>
      <c r="H288">
        <f t="shared" si="1230"/>
        <v>0.4912811570625355</v>
      </c>
      <c r="I288">
        <f t="shared" si="1231"/>
        <v>0.50758770490841343</v>
      </c>
      <c r="J288">
        <f t="shared" si="1232"/>
        <v>0.52922901964911617</v>
      </c>
      <c r="K288">
        <f t="shared" si="1233"/>
        <v>0.55619318260712292</v>
      </c>
      <c r="L288">
        <f t="shared" si="1234"/>
        <v>0.58759541587862174</v>
      </c>
      <c r="M288">
        <f t="shared" si="1235"/>
        <v>0.62260024325647056</v>
      </c>
      <c r="N288">
        <f t="shared" si="1236"/>
        <v>0.65858781097188557</v>
      </c>
      <c r="O288">
        <f t="shared" si="1237"/>
        <v>0.6912721158361218</v>
      </c>
      <c r="P288" t="str">
        <f t="shared" si="1219"/>
        <v>SDG11</v>
      </c>
      <c r="Q288" s="21">
        <f t="shared" si="1220"/>
        <v>0.34302524566650389</v>
      </c>
      <c r="R288" s="21">
        <f t="shared" si="1221"/>
        <v>0.4912811570625355</v>
      </c>
      <c r="S288" s="21">
        <f t="shared" si="1222"/>
        <v>0.6912721158361218</v>
      </c>
    </row>
    <row r="289" spans="1:19" x14ac:dyDescent="0.2">
      <c r="A289" t="s">
        <v>484</v>
      </c>
      <c r="B289">
        <f t="shared" si="1224"/>
        <v>0.81556205749511723</v>
      </c>
      <c r="C289">
        <f t="shared" si="1225"/>
        <v>0.81543556303575215</v>
      </c>
      <c r="D289">
        <f t="shared" si="1226"/>
        <v>0.83310441177254646</v>
      </c>
      <c r="E289">
        <f t="shared" si="1227"/>
        <v>0.84908177421426323</v>
      </c>
      <c r="F289">
        <f t="shared" si="1228"/>
        <v>0.86352958088218634</v>
      </c>
      <c r="G289">
        <f t="shared" si="1229"/>
        <v>0.82593732158082056</v>
      </c>
      <c r="H289">
        <f t="shared" si="1230"/>
        <v>0.83214890131380048</v>
      </c>
      <c r="I289">
        <f t="shared" si="1231"/>
        <v>0.75647108117955864</v>
      </c>
      <c r="J289">
        <f t="shared" si="1232"/>
        <v>0.68676871848280086</v>
      </c>
      <c r="K289">
        <f t="shared" si="1233"/>
        <v>0.62285399175406542</v>
      </c>
      <c r="L289">
        <f t="shared" si="1234"/>
        <v>0.56449344859409767</v>
      </c>
      <c r="M289">
        <f t="shared" si="1235"/>
        <v>0.51136652220361911</v>
      </c>
      <c r="N289">
        <f t="shared" si="1236"/>
        <v>0.46309480950303672</v>
      </c>
      <c r="O289">
        <f t="shared" si="1237"/>
        <v>0.41929000384905724</v>
      </c>
      <c r="P289" t="str">
        <f t="shared" si="1219"/>
        <v>SDG12</v>
      </c>
      <c r="Q289" s="21">
        <f t="shared" si="1220"/>
        <v>0.81556205749511723</v>
      </c>
      <c r="R289" s="21">
        <f t="shared" si="1221"/>
        <v>0.83214890131380048</v>
      </c>
      <c r="S289" s="21">
        <f t="shared" si="1222"/>
        <v>0.41929000384905724</v>
      </c>
    </row>
    <row r="290" spans="1:19" x14ac:dyDescent="0.2">
      <c r="A290" t="s">
        <v>485</v>
      </c>
      <c r="B290">
        <f t="shared" si="1224"/>
        <v>0.74665122985839849</v>
      </c>
      <c r="C290">
        <f t="shared" si="1225"/>
        <v>0.77021157201652968</v>
      </c>
      <c r="D290">
        <f t="shared" si="1226"/>
        <v>0.79220983474951856</v>
      </c>
      <c r="E290">
        <f t="shared" si="1227"/>
        <v>0.81210214476976073</v>
      </c>
      <c r="F290">
        <f t="shared" si="1228"/>
        <v>0.83009011058071636</v>
      </c>
      <c r="G290">
        <f t="shared" si="1229"/>
        <v>0.82753576284576491</v>
      </c>
      <c r="H290">
        <f t="shared" si="1230"/>
        <v>0.84404622698992227</v>
      </c>
      <c r="I290">
        <f t="shared" si="1231"/>
        <v>0.85897610010399994</v>
      </c>
      <c r="J290">
        <f t="shared" si="1232"/>
        <v>0.87247669640803183</v>
      </c>
      <c r="K290">
        <f t="shared" si="1233"/>
        <v>0.88264488833906718</v>
      </c>
      <c r="L290">
        <f t="shared" si="1234"/>
        <v>0.88539288422438778</v>
      </c>
      <c r="M290">
        <f t="shared" si="1235"/>
        <v>0.88185827836812525</v>
      </c>
      <c r="N290">
        <f t="shared" si="1236"/>
        <v>0.873218786726221</v>
      </c>
      <c r="O290">
        <f t="shared" si="1237"/>
        <v>0.86048421189098434</v>
      </c>
      <c r="P290" t="str">
        <f t="shared" si="1219"/>
        <v>SDG13</v>
      </c>
      <c r="Q290" s="21">
        <f t="shared" si="1220"/>
        <v>0.74665122985839849</v>
      </c>
      <c r="R290" s="21">
        <f t="shared" si="1221"/>
        <v>0.84404622698992227</v>
      </c>
      <c r="S290" s="21">
        <f t="shared" si="1222"/>
        <v>0.86048421189098434</v>
      </c>
    </row>
    <row r="291" spans="1:19" x14ac:dyDescent="0.2">
      <c r="A291" t="s">
        <v>486</v>
      </c>
      <c r="B291">
        <f t="shared" si="1224"/>
        <v>0.42901557922363281</v>
      </c>
      <c r="C291">
        <f t="shared" si="1225"/>
        <v>0.48367744977520621</v>
      </c>
      <c r="D291">
        <f t="shared" si="1226"/>
        <v>0.51240728394338031</v>
      </c>
      <c r="E291">
        <f t="shared" si="1227"/>
        <v>0.5590858428622687</v>
      </c>
      <c r="F291">
        <f t="shared" si="1228"/>
        <v>0.60129573809732328</v>
      </c>
      <c r="G291">
        <f t="shared" si="1229"/>
        <v>0.58480289626084436</v>
      </c>
      <c r="H291">
        <f t="shared" si="1230"/>
        <v>0.61095977087111508</v>
      </c>
      <c r="I291">
        <f t="shared" si="1231"/>
        <v>0.64820353077706494</v>
      </c>
      <c r="J291">
        <f t="shared" si="1232"/>
        <v>0.68188184562224607</v>
      </c>
      <c r="K291">
        <f t="shared" si="1233"/>
        <v>0.71233604502841175</v>
      </c>
      <c r="L291">
        <f t="shared" si="1234"/>
        <v>0.73987478221683745</v>
      </c>
      <c r="M291">
        <f t="shared" si="1235"/>
        <v>0.76477716220780956</v>
      </c>
      <c r="N291">
        <f t="shared" si="1236"/>
        <v>0.78729557054918442</v>
      </c>
      <c r="O291">
        <f t="shared" si="1237"/>
        <v>0.80765823124317149</v>
      </c>
      <c r="P291" t="str">
        <f t="shared" si="1219"/>
        <v>SDG14</v>
      </c>
      <c r="Q291" s="21">
        <f t="shared" si="1220"/>
        <v>0.42901557922363281</v>
      </c>
      <c r="R291" s="21">
        <f t="shared" si="1221"/>
        <v>0.61095977087111508</v>
      </c>
      <c r="S291" s="21">
        <f t="shared" si="1222"/>
        <v>0.80765823124317149</v>
      </c>
    </row>
    <row r="292" spans="1:19" x14ac:dyDescent="0.2">
      <c r="A292" t="s">
        <v>487</v>
      </c>
      <c r="B292">
        <f t="shared" si="1224"/>
        <v>0.46971038818359373</v>
      </c>
      <c r="C292">
        <f t="shared" si="1225"/>
        <v>0.46067252051318697</v>
      </c>
      <c r="D292">
        <f t="shared" si="1226"/>
        <v>0.48842864018638699</v>
      </c>
      <c r="E292">
        <f t="shared" si="1227"/>
        <v>0.50357073394234919</v>
      </c>
      <c r="F292">
        <f t="shared" si="1228"/>
        <v>0.50703804578466261</v>
      </c>
      <c r="G292">
        <f t="shared" si="1229"/>
        <v>0.50346456897244285</v>
      </c>
      <c r="H292">
        <f t="shared" si="1230"/>
        <v>0.46483982328966039</v>
      </c>
      <c r="I292">
        <f t="shared" si="1231"/>
        <v>0.42991272814124626</v>
      </c>
      <c r="J292">
        <f t="shared" si="1232"/>
        <v>0.39832929752075241</v>
      </c>
      <c r="K292">
        <f t="shared" si="1233"/>
        <v>0.36976943345187241</v>
      </c>
      <c r="L292">
        <f t="shared" si="1234"/>
        <v>0.34394368179639423</v>
      </c>
      <c r="M292">
        <f t="shared" si="1235"/>
        <v>0.32059029863736183</v>
      </c>
      <c r="N292">
        <f t="shared" si="1236"/>
        <v>0.29947259750524813</v>
      </c>
      <c r="O292">
        <f t="shared" si="1237"/>
        <v>0.28037655056128358</v>
      </c>
      <c r="P292" t="str">
        <f t="shared" si="1219"/>
        <v>SDG15</v>
      </c>
      <c r="Q292" s="21">
        <f t="shared" si="1220"/>
        <v>0.46971038818359373</v>
      </c>
      <c r="R292" s="21">
        <f t="shared" si="1221"/>
        <v>0.46483982328966039</v>
      </c>
      <c r="S292" s="21">
        <f t="shared" si="1222"/>
        <v>0.28037655056128358</v>
      </c>
    </row>
    <row r="293" spans="1:19" x14ac:dyDescent="0.2">
      <c r="A293" t="s">
        <v>488</v>
      </c>
      <c r="B293">
        <f t="shared" si="1224"/>
        <v>0.69426445007324222</v>
      </c>
      <c r="C293">
        <f t="shared" si="1225"/>
        <v>0.71262446592244744</v>
      </c>
      <c r="D293">
        <f t="shared" si="1226"/>
        <v>0.65727944913552183</v>
      </c>
      <c r="E293">
        <f t="shared" si="1227"/>
        <v>0.61133361802235375</v>
      </c>
      <c r="F293">
        <f t="shared" si="1228"/>
        <v>0.58634823740729858</v>
      </c>
      <c r="G293">
        <f t="shared" si="1229"/>
        <v>0.59972663038721263</v>
      </c>
      <c r="H293">
        <f t="shared" si="1230"/>
        <v>0.55317153182015111</v>
      </c>
      <c r="I293">
        <f t="shared" si="1231"/>
        <v>0.51209304269233547</v>
      </c>
      <c r="J293">
        <f t="shared" si="1232"/>
        <v>0.47608706184755456</v>
      </c>
      <c r="K293">
        <f t="shared" si="1233"/>
        <v>0.44587808934723017</v>
      </c>
      <c r="L293">
        <f t="shared" si="1234"/>
        <v>0.42175168362663529</v>
      </c>
      <c r="M293">
        <f t="shared" si="1235"/>
        <v>0.40369866562249263</v>
      </c>
      <c r="N293">
        <f t="shared" si="1236"/>
        <v>0.39184790276997505</v>
      </c>
      <c r="O293">
        <f t="shared" si="1237"/>
        <v>0.38634878079355528</v>
      </c>
      <c r="P293" t="str">
        <f t="shared" si="1219"/>
        <v>SDG16</v>
      </c>
      <c r="Q293" s="21">
        <f t="shared" si="1220"/>
        <v>0.69426445007324222</v>
      </c>
      <c r="R293" s="21">
        <f t="shared" si="1221"/>
        <v>0.55317153182015111</v>
      </c>
      <c r="S293" s="21">
        <f t="shared" si="1222"/>
        <v>0.38634878079355528</v>
      </c>
    </row>
    <row r="294" spans="1:19" x14ac:dyDescent="0.2">
      <c r="A294" t="s">
        <v>489</v>
      </c>
      <c r="B294">
        <f t="shared" si="1224"/>
        <v>0.51738662719726558</v>
      </c>
      <c r="C294">
        <f t="shared" si="1225"/>
        <v>0.51266907649557247</v>
      </c>
      <c r="D294">
        <f t="shared" si="1226"/>
        <v>0.55321640884746048</v>
      </c>
      <c r="E294">
        <f t="shared" si="1227"/>
        <v>0.50982878604930415</v>
      </c>
      <c r="F294">
        <f t="shared" si="1228"/>
        <v>0.48016804509046929</v>
      </c>
      <c r="G294">
        <f t="shared" si="1229"/>
        <v>0.48373107981297286</v>
      </c>
      <c r="H294">
        <f t="shared" si="1230"/>
        <v>0.5331548886914933</v>
      </c>
      <c r="I294">
        <f t="shared" si="1231"/>
        <v>0.5778472165370554</v>
      </c>
      <c r="J294">
        <f t="shared" si="1232"/>
        <v>0.61826102792848903</v>
      </c>
      <c r="K294">
        <f t="shared" si="1233"/>
        <v>0.65480591672520372</v>
      </c>
      <c r="L294">
        <f t="shared" si="1234"/>
        <v>0.68785226526750731</v>
      </c>
      <c r="M294">
        <f t="shared" si="1235"/>
        <v>0.71773499820053488</v>
      </c>
      <c r="N294">
        <f t="shared" si="1236"/>
        <v>0.74475697693454002</v>
      </c>
      <c r="O294">
        <f t="shared" si="1237"/>
        <v>0.76919206914439586</v>
      </c>
      <c r="P294" t="str">
        <f t="shared" si="1219"/>
        <v>SDG17</v>
      </c>
      <c r="Q294" s="21">
        <f t="shared" si="1220"/>
        <v>0.51738662719726558</v>
      </c>
      <c r="R294" s="21">
        <f t="shared" si="1221"/>
        <v>0.5331548886914933</v>
      </c>
      <c r="S294" s="21">
        <f t="shared" si="1222"/>
        <v>0.76919206914439586</v>
      </c>
    </row>
    <row r="298" spans="1:19" x14ac:dyDescent="0.2">
      <c r="C298" s="33" t="s">
        <v>470</v>
      </c>
      <c r="D298" s="33" t="s">
        <v>490</v>
      </c>
      <c r="E298" s="33" t="s">
        <v>947</v>
      </c>
    </row>
    <row r="299" spans="1:19" x14ac:dyDescent="0.2">
      <c r="C299">
        <v>2017</v>
      </c>
      <c r="D299">
        <v>0.58068820055793302</v>
      </c>
      <c r="E299">
        <v>0.58068820055793302</v>
      </c>
    </row>
    <row r="300" spans="1:19" x14ac:dyDescent="0.2">
      <c r="C300">
        <v>2018</v>
      </c>
      <c r="D300">
        <v>0.58570041541033535</v>
      </c>
      <c r="E300">
        <v>0.58570041541033535</v>
      </c>
    </row>
    <row r="301" spans="1:19" x14ac:dyDescent="0.2">
      <c r="C301">
        <v>2019</v>
      </c>
      <c r="D301">
        <v>0.58371690157127387</v>
      </c>
      <c r="E301">
        <v>0.58371690157127387</v>
      </c>
    </row>
    <row r="302" spans="1:19" x14ac:dyDescent="0.2">
      <c r="C302">
        <v>2020</v>
      </c>
      <c r="D302">
        <v>0.57571946544215602</v>
      </c>
      <c r="E302">
        <v>0.57571946544215602</v>
      </c>
    </row>
    <row r="303" spans="1:19" x14ac:dyDescent="0.2">
      <c r="C303">
        <v>2021</v>
      </c>
      <c r="D303">
        <v>0.58411442307363959</v>
      </c>
      <c r="E303">
        <v>0.58411442307363959</v>
      </c>
    </row>
    <row r="304" spans="1:19" x14ac:dyDescent="0.2">
      <c r="C304">
        <v>2022</v>
      </c>
      <c r="D304">
        <v>0.58347842821687856</v>
      </c>
      <c r="E304">
        <v>0.58347842821687856</v>
      </c>
    </row>
    <row r="305" spans="3:5" x14ac:dyDescent="0.2">
      <c r="C305">
        <v>2023</v>
      </c>
      <c r="D305">
        <v>0.5943771591886412</v>
      </c>
      <c r="E305">
        <v>0.5943771591886412</v>
      </c>
    </row>
    <row r="306" spans="3:5" x14ac:dyDescent="0.2">
      <c r="C306">
        <v>2024</v>
      </c>
      <c r="D306">
        <v>0.60536107456786814</v>
      </c>
      <c r="E306">
        <v>0.60418856662343023</v>
      </c>
    </row>
    <row r="307" spans="3:5" x14ac:dyDescent="0.2">
      <c r="C307">
        <v>2025</v>
      </c>
      <c r="D307">
        <v>0.61538004259092061</v>
      </c>
      <c r="E307">
        <v>0.62189911819688148</v>
      </c>
    </row>
    <row r="308" spans="3:5" x14ac:dyDescent="0.2">
      <c r="C308">
        <v>2026</v>
      </c>
      <c r="D308">
        <v>0.6239032321118998</v>
      </c>
      <c r="E308">
        <v>0.64266417340572435</v>
      </c>
    </row>
    <row r="309" spans="3:5" x14ac:dyDescent="0.2">
      <c r="C309">
        <v>2027</v>
      </c>
      <c r="D309">
        <v>0.63139025254636538</v>
      </c>
      <c r="E309">
        <v>0.66268230631959546</v>
      </c>
    </row>
    <row r="310" spans="3:5" x14ac:dyDescent="0.2">
      <c r="C310">
        <v>2028</v>
      </c>
      <c r="D310">
        <v>0.6382182716564061</v>
      </c>
      <c r="E310">
        <v>0.68183761873156423</v>
      </c>
    </row>
    <row r="311" spans="3:5" x14ac:dyDescent="0.2">
      <c r="C311">
        <v>2029</v>
      </c>
      <c r="D311">
        <v>0.64470869935602404</v>
      </c>
      <c r="E311">
        <v>0.70019402545516141</v>
      </c>
    </row>
    <row r="312" spans="3:5" x14ac:dyDescent="0.2">
      <c r="C312">
        <v>2030</v>
      </c>
      <c r="D312">
        <v>0.65102510531967639</v>
      </c>
      <c r="E312">
        <v>0.71821342122755616</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2"/>
  <dimension ref="A1:F102"/>
  <sheetViews>
    <sheetView workbookViewId="0">
      <selection activeCell="G2" sqref="G2"/>
    </sheetView>
  </sheetViews>
  <sheetFormatPr defaultRowHeight="15.75" x14ac:dyDescent="0.25"/>
  <cols>
    <col min="1" max="1" width="27.85546875" style="31" customWidth="1"/>
    <col min="2" max="2" width="12.85546875" style="32" customWidth="1"/>
    <col min="3" max="3" width="38.85546875" style="27" customWidth="1"/>
    <col min="4" max="4" width="12.140625" style="27" customWidth="1"/>
    <col min="5" max="5" width="40.140625" style="27" customWidth="1"/>
    <col min="6" max="6" width="19.42578125" style="28" customWidth="1"/>
  </cols>
  <sheetData>
    <row r="1" spans="1:6" ht="16.5" thickBot="1" x14ac:dyDescent="0.25">
      <c r="A1" s="24" t="s">
        <v>672</v>
      </c>
      <c r="B1" s="25" t="s">
        <v>670</v>
      </c>
      <c r="C1" s="24" t="s">
        <v>673</v>
      </c>
      <c r="D1" s="25" t="s">
        <v>671</v>
      </c>
      <c r="E1" s="24" t="s">
        <v>673</v>
      </c>
      <c r="F1" s="25" t="s">
        <v>674</v>
      </c>
    </row>
    <row r="2" spans="1:6" ht="111" thickBot="1" x14ac:dyDescent="0.25">
      <c r="A2" s="26" t="s">
        <v>675</v>
      </c>
      <c r="B2" s="25">
        <v>2</v>
      </c>
      <c r="C2" s="26" t="s">
        <v>676</v>
      </c>
      <c r="D2" s="25">
        <v>4</v>
      </c>
      <c r="E2" s="26" t="s">
        <v>677</v>
      </c>
      <c r="F2" s="25">
        <v>1.33</v>
      </c>
    </row>
    <row r="3" spans="1:6" ht="95.25" thickBot="1" x14ac:dyDescent="0.25">
      <c r="A3" s="26" t="s">
        <v>678</v>
      </c>
      <c r="B3" s="25">
        <v>2</v>
      </c>
      <c r="C3" s="26" t="s">
        <v>679</v>
      </c>
      <c r="D3" s="25">
        <v>4</v>
      </c>
      <c r="E3" s="26" t="s">
        <v>680</v>
      </c>
      <c r="F3" s="25">
        <v>1.33</v>
      </c>
    </row>
    <row r="4" spans="1:6" ht="95.25" thickBot="1" x14ac:dyDescent="0.25">
      <c r="A4" s="26" t="s">
        <v>681</v>
      </c>
      <c r="B4" s="25">
        <v>2</v>
      </c>
      <c r="C4" s="26" t="s">
        <v>682</v>
      </c>
      <c r="D4" s="25">
        <v>4</v>
      </c>
      <c r="E4" s="26" t="s">
        <v>683</v>
      </c>
      <c r="F4" s="25">
        <v>1.33</v>
      </c>
    </row>
    <row r="5" spans="1:6" ht="126.75" thickBot="1" x14ac:dyDescent="0.25">
      <c r="A5" s="26" t="s">
        <v>684</v>
      </c>
      <c r="B5" s="25">
        <v>2</v>
      </c>
      <c r="C5" s="26" t="s">
        <v>685</v>
      </c>
      <c r="D5" s="25">
        <v>3</v>
      </c>
      <c r="E5" s="26" t="s">
        <v>686</v>
      </c>
      <c r="F5" s="25">
        <v>0.67</v>
      </c>
    </row>
    <row r="6" spans="1:6" ht="16.5" thickBot="1" x14ac:dyDescent="0.25">
      <c r="A6" s="24" t="s">
        <v>687</v>
      </c>
      <c r="B6" s="24"/>
      <c r="C6" s="26"/>
      <c r="D6" s="26"/>
      <c r="E6" s="26"/>
      <c r="F6" s="25">
        <v>1.17</v>
      </c>
    </row>
    <row r="7" spans="1:6" ht="111" thickBot="1" x14ac:dyDescent="0.25">
      <c r="A7" s="26" t="s">
        <v>688</v>
      </c>
      <c r="B7" s="25">
        <v>2</v>
      </c>
      <c r="C7" s="26" t="s">
        <v>689</v>
      </c>
      <c r="D7" s="25">
        <v>4</v>
      </c>
      <c r="E7" s="26" t="s">
        <v>690</v>
      </c>
      <c r="F7" s="25">
        <v>1.33</v>
      </c>
    </row>
    <row r="8" spans="1:6" ht="111" thickBot="1" x14ac:dyDescent="0.25">
      <c r="A8" s="26" t="s">
        <v>691</v>
      </c>
      <c r="B8" s="25">
        <v>2</v>
      </c>
      <c r="C8" s="26" t="s">
        <v>692</v>
      </c>
      <c r="D8" s="25">
        <v>4</v>
      </c>
      <c r="E8" s="26" t="s">
        <v>693</v>
      </c>
      <c r="F8" s="25">
        <v>1.33</v>
      </c>
    </row>
    <row r="9" spans="1:6" ht="111" thickBot="1" x14ac:dyDescent="0.25">
      <c r="A9" s="26" t="s">
        <v>694</v>
      </c>
      <c r="B9" s="25">
        <v>2</v>
      </c>
      <c r="C9" s="26" t="s">
        <v>695</v>
      </c>
      <c r="D9" s="25">
        <v>4</v>
      </c>
      <c r="E9" s="26" t="s">
        <v>696</v>
      </c>
      <c r="F9" s="25">
        <v>1.33</v>
      </c>
    </row>
    <row r="10" spans="1:6" ht="111" thickBot="1" x14ac:dyDescent="0.25">
      <c r="A10" s="26" t="s">
        <v>697</v>
      </c>
      <c r="B10" s="25">
        <v>1</v>
      </c>
      <c r="C10" s="26" t="s">
        <v>698</v>
      </c>
      <c r="D10" s="25">
        <v>3</v>
      </c>
      <c r="E10" s="26" t="s">
        <v>699</v>
      </c>
      <c r="F10" s="25">
        <v>1</v>
      </c>
    </row>
    <row r="11" spans="1:6" ht="32.25" thickBot="1" x14ac:dyDescent="0.25">
      <c r="A11" s="24" t="s">
        <v>700</v>
      </c>
      <c r="B11" s="24"/>
      <c r="C11" s="26"/>
      <c r="D11" s="26"/>
      <c r="E11" s="26"/>
      <c r="F11" s="25">
        <v>1.25</v>
      </c>
    </row>
    <row r="12" spans="1:6" ht="111" thickBot="1" x14ac:dyDescent="0.25">
      <c r="A12" s="26" t="s">
        <v>701</v>
      </c>
      <c r="B12" s="25">
        <v>2</v>
      </c>
      <c r="C12" s="26" t="s">
        <v>702</v>
      </c>
      <c r="D12" s="25">
        <v>4</v>
      </c>
      <c r="E12" s="26" t="s">
        <v>703</v>
      </c>
      <c r="F12" s="25">
        <v>1.33</v>
      </c>
    </row>
    <row r="13" spans="1:6" ht="111" thickBot="1" x14ac:dyDescent="0.25">
      <c r="A13" s="26" t="s">
        <v>704</v>
      </c>
      <c r="B13" s="25">
        <v>1</v>
      </c>
      <c r="C13" s="26" t="s">
        <v>705</v>
      </c>
      <c r="D13" s="25">
        <v>3</v>
      </c>
      <c r="E13" s="26" t="s">
        <v>706</v>
      </c>
      <c r="F13" s="25">
        <v>1</v>
      </c>
    </row>
    <row r="14" spans="1:6" ht="95.25" thickBot="1" x14ac:dyDescent="0.25">
      <c r="A14" s="26" t="s">
        <v>707</v>
      </c>
      <c r="B14" s="25">
        <v>1</v>
      </c>
      <c r="C14" s="26" t="s">
        <v>708</v>
      </c>
      <c r="D14" s="25">
        <v>3</v>
      </c>
      <c r="E14" s="26" t="s">
        <v>709</v>
      </c>
      <c r="F14" s="25">
        <v>1</v>
      </c>
    </row>
    <row r="15" spans="1:6" ht="126.75" thickBot="1" x14ac:dyDescent="0.25">
      <c r="A15" s="26" t="s">
        <v>710</v>
      </c>
      <c r="B15" s="25">
        <v>1</v>
      </c>
      <c r="C15" s="26" t="s">
        <v>711</v>
      </c>
      <c r="D15" s="25">
        <v>2</v>
      </c>
      <c r="E15" s="26" t="s">
        <v>712</v>
      </c>
      <c r="F15" s="25">
        <v>0.5</v>
      </c>
    </row>
    <row r="16" spans="1:6" ht="32.25" thickBot="1" x14ac:dyDescent="0.25">
      <c r="A16" s="24" t="s">
        <v>713</v>
      </c>
      <c r="B16" s="24"/>
      <c r="C16" s="26"/>
      <c r="D16" s="26"/>
      <c r="E16" s="26"/>
      <c r="F16" s="25">
        <v>0.96</v>
      </c>
    </row>
    <row r="17" spans="1:6" ht="111" thickBot="1" x14ac:dyDescent="0.25">
      <c r="A17" s="26" t="s">
        <v>714</v>
      </c>
      <c r="B17" s="25">
        <v>2</v>
      </c>
      <c r="C17" s="26" t="s">
        <v>715</v>
      </c>
      <c r="D17" s="25">
        <v>4</v>
      </c>
      <c r="E17" s="26" t="s">
        <v>716</v>
      </c>
      <c r="F17" s="25">
        <v>1.33</v>
      </c>
    </row>
    <row r="18" spans="1:6" ht="95.25" thickBot="1" x14ac:dyDescent="0.25">
      <c r="A18" s="26" t="s">
        <v>717</v>
      </c>
      <c r="B18" s="25">
        <v>2</v>
      </c>
      <c r="C18" s="26" t="s">
        <v>718</v>
      </c>
      <c r="D18" s="25">
        <v>4</v>
      </c>
      <c r="E18" s="26" t="s">
        <v>719</v>
      </c>
      <c r="F18" s="25">
        <v>1.33</v>
      </c>
    </row>
    <row r="19" spans="1:6" ht="111" thickBot="1" x14ac:dyDescent="0.25">
      <c r="A19" s="26" t="s">
        <v>720</v>
      </c>
      <c r="B19" s="25">
        <v>2</v>
      </c>
      <c r="C19" s="26" t="s">
        <v>721</v>
      </c>
      <c r="D19" s="25">
        <v>4</v>
      </c>
      <c r="E19" s="26" t="s">
        <v>722</v>
      </c>
      <c r="F19" s="25">
        <v>1.33</v>
      </c>
    </row>
    <row r="20" spans="1:6" ht="111" thickBot="1" x14ac:dyDescent="0.25">
      <c r="A20" s="26" t="s">
        <v>723</v>
      </c>
      <c r="B20" s="25">
        <v>2</v>
      </c>
      <c r="C20" s="26" t="s">
        <v>724</v>
      </c>
      <c r="D20" s="25">
        <v>5</v>
      </c>
      <c r="E20" s="26" t="s">
        <v>725</v>
      </c>
      <c r="F20" s="25">
        <v>2</v>
      </c>
    </row>
    <row r="21" spans="1:6" ht="16.5" thickBot="1" x14ac:dyDescent="0.25">
      <c r="A21" s="24" t="s">
        <v>726</v>
      </c>
      <c r="B21" s="24"/>
      <c r="C21" s="26"/>
      <c r="D21" s="26"/>
      <c r="E21" s="26"/>
      <c r="F21" s="25">
        <v>1.5</v>
      </c>
    </row>
    <row r="22" spans="1:6" ht="142.5" thickBot="1" x14ac:dyDescent="0.25">
      <c r="A22" s="26" t="s">
        <v>727</v>
      </c>
      <c r="B22" s="25">
        <v>2</v>
      </c>
      <c r="C22" s="26" t="s">
        <v>728</v>
      </c>
      <c r="D22" s="25">
        <v>4</v>
      </c>
      <c r="E22" s="26" t="s">
        <v>729</v>
      </c>
      <c r="F22" s="25">
        <v>1.33</v>
      </c>
    </row>
    <row r="23" spans="1:6" ht="142.5" thickBot="1" x14ac:dyDescent="0.25">
      <c r="A23" s="26" t="s">
        <v>730</v>
      </c>
      <c r="B23" s="25">
        <v>2</v>
      </c>
      <c r="C23" s="26" t="s">
        <v>731</v>
      </c>
      <c r="D23" s="25">
        <v>4</v>
      </c>
      <c r="E23" s="26" t="s">
        <v>732</v>
      </c>
      <c r="F23" s="25">
        <v>1.33</v>
      </c>
    </row>
    <row r="24" spans="1:6" ht="142.5" thickBot="1" x14ac:dyDescent="0.25">
      <c r="A24" s="26" t="s">
        <v>733</v>
      </c>
      <c r="B24" s="25">
        <v>2</v>
      </c>
      <c r="C24" s="26" t="s">
        <v>734</v>
      </c>
      <c r="D24" s="25">
        <v>4</v>
      </c>
      <c r="E24" s="26" t="s">
        <v>735</v>
      </c>
      <c r="F24" s="25">
        <v>1.33</v>
      </c>
    </row>
    <row r="25" spans="1:6" ht="158.25" thickBot="1" x14ac:dyDescent="0.25">
      <c r="A25" s="26" t="s">
        <v>736</v>
      </c>
      <c r="B25" s="25">
        <v>2</v>
      </c>
      <c r="C25" s="26" t="s">
        <v>737</v>
      </c>
      <c r="D25" s="25">
        <v>5</v>
      </c>
      <c r="E25" s="26" t="s">
        <v>738</v>
      </c>
      <c r="F25" s="25">
        <v>2</v>
      </c>
    </row>
    <row r="26" spans="1:6" ht="32.25" thickBot="1" x14ac:dyDescent="0.25">
      <c r="A26" s="24" t="s">
        <v>739</v>
      </c>
      <c r="B26" s="24"/>
      <c r="C26" s="26"/>
      <c r="D26" s="26"/>
      <c r="E26" s="26"/>
      <c r="F26" s="25">
        <v>1.5</v>
      </c>
    </row>
    <row r="27" spans="1:6" ht="111" thickBot="1" x14ac:dyDescent="0.25">
      <c r="A27" s="26" t="s">
        <v>740</v>
      </c>
      <c r="B27" s="25">
        <v>3</v>
      </c>
      <c r="C27" s="26" t="s">
        <v>741</v>
      </c>
      <c r="D27" s="25">
        <v>4</v>
      </c>
      <c r="E27" s="26" t="s">
        <v>742</v>
      </c>
      <c r="F27" s="25">
        <v>1</v>
      </c>
    </row>
    <row r="28" spans="1:6" ht="111" thickBot="1" x14ac:dyDescent="0.25">
      <c r="A28" s="26" t="s">
        <v>743</v>
      </c>
      <c r="B28" s="25">
        <v>2</v>
      </c>
      <c r="C28" s="26" t="s">
        <v>744</v>
      </c>
      <c r="D28" s="25">
        <v>3</v>
      </c>
      <c r="E28" s="26" t="s">
        <v>745</v>
      </c>
      <c r="F28" s="25">
        <v>0.67</v>
      </c>
    </row>
    <row r="29" spans="1:6" ht="95.25" thickBot="1" x14ac:dyDescent="0.25">
      <c r="A29" s="26" t="s">
        <v>746</v>
      </c>
      <c r="B29" s="25">
        <v>3</v>
      </c>
      <c r="C29" s="26" t="s">
        <v>747</v>
      </c>
      <c r="D29" s="25">
        <v>4</v>
      </c>
      <c r="E29" s="26" t="s">
        <v>748</v>
      </c>
      <c r="F29" s="25">
        <v>1</v>
      </c>
    </row>
    <row r="30" spans="1:6" ht="126.75" thickBot="1" x14ac:dyDescent="0.25">
      <c r="A30" s="26" t="s">
        <v>749</v>
      </c>
      <c r="B30" s="25">
        <v>2</v>
      </c>
      <c r="C30" s="26" t="s">
        <v>750</v>
      </c>
      <c r="D30" s="25">
        <v>3</v>
      </c>
      <c r="E30" s="26" t="s">
        <v>751</v>
      </c>
      <c r="F30" s="25">
        <v>0.67</v>
      </c>
    </row>
    <row r="31" spans="1:6" ht="32.25" thickBot="1" x14ac:dyDescent="0.25">
      <c r="A31" s="24" t="s">
        <v>752</v>
      </c>
      <c r="B31" s="24"/>
      <c r="C31" s="26"/>
      <c r="D31" s="26"/>
      <c r="E31" s="26"/>
      <c r="F31" s="25">
        <v>0.83</v>
      </c>
    </row>
    <row r="32" spans="1:6" ht="79.5" thickBot="1" x14ac:dyDescent="0.25">
      <c r="A32" s="26" t="s">
        <v>753</v>
      </c>
      <c r="B32" s="25">
        <v>2</v>
      </c>
      <c r="C32" s="26" t="s">
        <v>754</v>
      </c>
      <c r="D32" s="25">
        <v>3</v>
      </c>
      <c r="E32" s="26" t="s">
        <v>755</v>
      </c>
      <c r="F32" s="25">
        <v>0.67</v>
      </c>
    </row>
    <row r="33" spans="1:6" ht="95.25" thickBot="1" x14ac:dyDescent="0.25">
      <c r="A33" s="26" t="s">
        <v>756</v>
      </c>
      <c r="B33" s="25">
        <v>1</v>
      </c>
      <c r="C33" s="26" t="s">
        <v>757</v>
      </c>
      <c r="D33" s="25">
        <v>2</v>
      </c>
      <c r="E33" s="26" t="s">
        <v>758</v>
      </c>
      <c r="F33" s="25">
        <v>0.5</v>
      </c>
    </row>
    <row r="34" spans="1:6" ht="79.5" thickBot="1" x14ac:dyDescent="0.25">
      <c r="A34" s="26" t="s">
        <v>759</v>
      </c>
      <c r="B34" s="25">
        <v>2</v>
      </c>
      <c r="C34" s="26" t="s">
        <v>760</v>
      </c>
      <c r="D34" s="25">
        <v>3</v>
      </c>
      <c r="E34" s="26" t="s">
        <v>761</v>
      </c>
      <c r="F34" s="25">
        <v>0.67</v>
      </c>
    </row>
    <row r="35" spans="1:6" ht="79.5" thickBot="1" x14ac:dyDescent="0.25">
      <c r="A35" s="26" t="s">
        <v>762</v>
      </c>
      <c r="B35" s="25">
        <v>1</v>
      </c>
      <c r="C35" s="26" t="s">
        <v>763</v>
      </c>
      <c r="D35" s="25">
        <v>2</v>
      </c>
      <c r="E35" s="26" t="s">
        <v>764</v>
      </c>
      <c r="F35" s="25">
        <v>0.5</v>
      </c>
    </row>
    <row r="36" spans="1:6" ht="32.25" thickBot="1" x14ac:dyDescent="0.25">
      <c r="A36" s="24" t="s">
        <v>765</v>
      </c>
      <c r="B36" s="24"/>
      <c r="C36" s="26"/>
      <c r="D36" s="26"/>
      <c r="E36" s="26"/>
      <c r="F36" s="25">
        <v>0.57999999999999996</v>
      </c>
    </row>
    <row r="37" spans="1:6" ht="95.25" thickBot="1" x14ac:dyDescent="0.25">
      <c r="A37" s="26" t="s">
        <v>766</v>
      </c>
      <c r="B37" s="25">
        <v>3</v>
      </c>
      <c r="C37" s="26" t="s">
        <v>767</v>
      </c>
      <c r="D37" s="25">
        <v>4</v>
      </c>
      <c r="E37" s="26" t="s">
        <v>768</v>
      </c>
      <c r="F37" s="25">
        <v>1</v>
      </c>
    </row>
    <row r="38" spans="1:6" ht="95.25" thickBot="1" x14ac:dyDescent="0.25">
      <c r="A38" s="26" t="s">
        <v>769</v>
      </c>
      <c r="B38" s="25">
        <v>2</v>
      </c>
      <c r="C38" s="26" t="s">
        <v>770</v>
      </c>
      <c r="D38" s="25">
        <v>3</v>
      </c>
      <c r="E38" s="26" t="s">
        <v>771</v>
      </c>
      <c r="F38" s="25">
        <v>0.67</v>
      </c>
    </row>
    <row r="39" spans="1:6" ht="95.25" thickBot="1" x14ac:dyDescent="0.25">
      <c r="A39" s="26" t="s">
        <v>772</v>
      </c>
      <c r="B39" s="25">
        <v>3</v>
      </c>
      <c r="C39" s="26" t="s">
        <v>773</v>
      </c>
      <c r="D39" s="25">
        <v>4</v>
      </c>
      <c r="E39" s="26" t="s">
        <v>774</v>
      </c>
      <c r="F39" s="25">
        <v>1</v>
      </c>
    </row>
    <row r="40" spans="1:6" ht="95.25" thickBot="1" x14ac:dyDescent="0.25">
      <c r="A40" s="26" t="s">
        <v>775</v>
      </c>
      <c r="B40" s="25">
        <v>2</v>
      </c>
      <c r="C40" s="26" t="s">
        <v>776</v>
      </c>
      <c r="D40" s="25">
        <v>3</v>
      </c>
      <c r="E40" s="26" t="s">
        <v>777</v>
      </c>
      <c r="F40" s="25">
        <v>0.67</v>
      </c>
    </row>
    <row r="41" spans="1:6" ht="48" thickBot="1" x14ac:dyDescent="0.25">
      <c r="A41" s="24" t="s">
        <v>778</v>
      </c>
      <c r="B41" s="24"/>
      <c r="C41" s="26"/>
      <c r="D41" s="26"/>
      <c r="E41" s="26"/>
      <c r="F41" s="25">
        <v>0.83</v>
      </c>
    </row>
    <row r="42" spans="1:6" ht="111" thickBot="1" x14ac:dyDescent="0.25">
      <c r="A42" s="26" t="s">
        <v>779</v>
      </c>
      <c r="B42" s="25">
        <v>2</v>
      </c>
      <c r="C42" s="26" t="s">
        <v>780</v>
      </c>
      <c r="D42" s="25">
        <v>3</v>
      </c>
      <c r="E42" s="26" t="s">
        <v>781</v>
      </c>
      <c r="F42" s="25">
        <v>0.67</v>
      </c>
    </row>
    <row r="43" spans="1:6" ht="111" thickBot="1" x14ac:dyDescent="0.25">
      <c r="A43" s="26" t="s">
        <v>782</v>
      </c>
      <c r="B43" s="25">
        <v>2</v>
      </c>
      <c r="C43" s="26" t="s">
        <v>783</v>
      </c>
      <c r="D43" s="25">
        <v>4</v>
      </c>
      <c r="E43" s="26" t="s">
        <v>784</v>
      </c>
      <c r="F43" s="25">
        <v>1.33</v>
      </c>
    </row>
    <row r="44" spans="1:6" ht="111" thickBot="1" x14ac:dyDescent="0.25">
      <c r="A44" s="26" t="s">
        <v>785</v>
      </c>
      <c r="B44" s="25">
        <v>2</v>
      </c>
      <c r="C44" s="26" t="s">
        <v>786</v>
      </c>
      <c r="D44" s="25">
        <v>3</v>
      </c>
      <c r="E44" s="26" t="s">
        <v>787</v>
      </c>
      <c r="F44" s="25">
        <v>0.67</v>
      </c>
    </row>
    <row r="45" spans="1:6" ht="111" thickBot="1" x14ac:dyDescent="0.25">
      <c r="A45" s="26" t="s">
        <v>788</v>
      </c>
      <c r="B45" s="25">
        <v>3</v>
      </c>
      <c r="C45" s="26" t="s">
        <v>789</v>
      </c>
      <c r="D45" s="25">
        <v>4</v>
      </c>
      <c r="E45" s="26" t="s">
        <v>790</v>
      </c>
      <c r="F45" s="25">
        <v>1</v>
      </c>
    </row>
    <row r="46" spans="1:6" ht="32.25" thickBot="1" x14ac:dyDescent="0.25">
      <c r="A46" s="24" t="s">
        <v>791</v>
      </c>
      <c r="B46" s="24"/>
      <c r="C46" s="26"/>
      <c r="D46" s="26"/>
      <c r="E46" s="26"/>
      <c r="F46" s="25">
        <v>0.92</v>
      </c>
    </row>
    <row r="47" spans="1:6" ht="95.25" thickBot="1" x14ac:dyDescent="0.25">
      <c r="A47" s="26" t="s">
        <v>792</v>
      </c>
      <c r="B47" s="25">
        <v>2</v>
      </c>
      <c r="C47" s="26" t="s">
        <v>793</v>
      </c>
      <c r="D47" s="25">
        <v>3</v>
      </c>
      <c r="E47" s="26" t="s">
        <v>794</v>
      </c>
      <c r="F47" s="25">
        <v>0.67</v>
      </c>
    </row>
    <row r="48" spans="1:6" ht="95.25" thickBot="1" x14ac:dyDescent="0.25">
      <c r="A48" s="26" t="s">
        <v>795</v>
      </c>
      <c r="B48" s="25">
        <v>2</v>
      </c>
      <c r="C48" s="26" t="s">
        <v>796</v>
      </c>
      <c r="D48" s="25">
        <v>4</v>
      </c>
      <c r="E48" s="26" t="s">
        <v>797</v>
      </c>
      <c r="F48" s="25">
        <v>1.33</v>
      </c>
    </row>
    <row r="49" spans="1:6" ht="111" thickBot="1" x14ac:dyDescent="0.25">
      <c r="A49" s="26" t="s">
        <v>798</v>
      </c>
      <c r="B49" s="25">
        <v>3</v>
      </c>
      <c r="C49" s="26" t="s">
        <v>799</v>
      </c>
      <c r="D49" s="25">
        <v>4</v>
      </c>
      <c r="E49" s="26" t="s">
        <v>800</v>
      </c>
      <c r="F49" s="25">
        <v>1</v>
      </c>
    </row>
    <row r="50" spans="1:6" ht="111" thickBot="1" x14ac:dyDescent="0.25">
      <c r="A50" s="26" t="s">
        <v>801</v>
      </c>
      <c r="B50" s="25">
        <v>2</v>
      </c>
      <c r="C50" s="26" t="s">
        <v>802</v>
      </c>
      <c r="D50" s="25">
        <v>4</v>
      </c>
      <c r="E50" s="26" t="s">
        <v>803</v>
      </c>
      <c r="F50" s="25">
        <v>1.33</v>
      </c>
    </row>
    <row r="51" spans="1:6" ht="32.25" thickBot="1" x14ac:dyDescent="0.25">
      <c r="A51" s="26" t="s">
        <v>804</v>
      </c>
      <c r="B51" s="24"/>
      <c r="C51" s="26"/>
      <c r="D51" s="26"/>
      <c r="E51" s="26"/>
      <c r="F51" s="25">
        <v>1.08</v>
      </c>
    </row>
    <row r="52" spans="1:6" ht="95.25" thickBot="1" x14ac:dyDescent="0.25">
      <c r="A52" s="26" t="s">
        <v>805</v>
      </c>
      <c r="B52" s="25">
        <v>2</v>
      </c>
      <c r="C52" s="26" t="s">
        <v>806</v>
      </c>
      <c r="D52" s="25">
        <v>3</v>
      </c>
      <c r="E52" s="26" t="s">
        <v>807</v>
      </c>
      <c r="F52" s="25">
        <v>0.67</v>
      </c>
    </row>
    <row r="53" spans="1:6" ht="95.25" thickBot="1" x14ac:dyDescent="0.25">
      <c r="A53" s="26" t="s">
        <v>808</v>
      </c>
      <c r="B53" s="25">
        <v>2</v>
      </c>
      <c r="C53" s="26" t="s">
        <v>809</v>
      </c>
      <c r="D53" s="25">
        <v>3</v>
      </c>
      <c r="E53" s="26" t="s">
        <v>810</v>
      </c>
      <c r="F53" s="25">
        <v>0.67</v>
      </c>
    </row>
    <row r="54" spans="1:6" ht="79.5" thickBot="1" x14ac:dyDescent="0.25">
      <c r="A54" s="26" t="s">
        <v>811</v>
      </c>
      <c r="B54" s="25">
        <v>2</v>
      </c>
      <c r="C54" s="26" t="s">
        <v>812</v>
      </c>
      <c r="D54" s="25">
        <v>3</v>
      </c>
      <c r="E54" s="26" t="s">
        <v>813</v>
      </c>
      <c r="F54" s="25">
        <v>0.67</v>
      </c>
    </row>
    <row r="55" spans="1:6" ht="95.25" thickBot="1" x14ac:dyDescent="0.25">
      <c r="A55" s="26" t="s">
        <v>814</v>
      </c>
      <c r="B55" s="25">
        <v>2</v>
      </c>
      <c r="C55" s="26" t="s">
        <v>815</v>
      </c>
      <c r="D55" s="25">
        <v>3</v>
      </c>
      <c r="E55" s="26" t="s">
        <v>816</v>
      </c>
      <c r="F55" s="25">
        <v>0.67</v>
      </c>
    </row>
    <row r="56" spans="1:6" ht="48" thickBot="1" x14ac:dyDescent="0.25">
      <c r="A56" s="24" t="s">
        <v>817</v>
      </c>
      <c r="B56" s="24"/>
      <c r="C56" s="26"/>
      <c r="D56" s="26"/>
      <c r="E56" s="26"/>
      <c r="F56" s="25">
        <v>0.67</v>
      </c>
    </row>
    <row r="57" spans="1:6" ht="111" thickBot="1" x14ac:dyDescent="0.25">
      <c r="A57" s="26" t="s">
        <v>818</v>
      </c>
      <c r="B57" s="25">
        <v>2</v>
      </c>
      <c r="C57" s="26" t="s">
        <v>819</v>
      </c>
      <c r="D57" s="25">
        <v>3</v>
      </c>
      <c r="E57" s="26" t="s">
        <v>820</v>
      </c>
      <c r="F57" s="25">
        <v>0.67</v>
      </c>
    </row>
    <row r="58" spans="1:6" ht="95.25" thickBot="1" x14ac:dyDescent="0.25">
      <c r="A58" s="26" t="s">
        <v>821</v>
      </c>
      <c r="B58" s="25">
        <v>2</v>
      </c>
      <c r="C58" s="26" t="s">
        <v>822</v>
      </c>
      <c r="D58" s="25">
        <v>3</v>
      </c>
      <c r="E58" s="26" t="s">
        <v>823</v>
      </c>
      <c r="F58" s="25">
        <v>0.67</v>
      </c>
    </row>
    <row r="59" spans="1:6" ht="95.25" thickBot="1" x14ac:dyDescent="0.25">
      <c r="A59" s="26" t="s">
        <v>824</v>
      </c>
      <c r="B59" s="25">
        <v>2</v>
      </c>
      <c r="C59" s="26" t="s">
        <v>825</v>
      </c>
      <c r="D59" s="25">
        <v>3</v>
      </c>
      <c r="E59" s="26" t="s">
        <v>826</v>
      </c>
      <c r="F59" s="25">
        <v>0.67</v>
      </c>
    </row>
    <row r="60" spans="1:6" ht="111" thickBot="1" x14ac:dyDescent="0.25">
      <c r="A60" s="26" t="s">
        <v>827</v>
      </c>
      <c r="B60" s="25">
        <v>2</v>
      </c>
      <c r="C60" s="26" t="s">
        <v>828</v>
      </c>
      <c r="D60" s="25">
        <v>3</v>
      </c>
      <c r="E60" s="26" t="s">
        <v>829</v>
      </c>
      <c r="F60" s="25">
        <v>0.67</v>
      </c>
    </row>
    <row r="61" spans="1:6" ht="32.25" thickBot="1" x14ac:dyDescent="0.25">
      <c r="A61" s="24" t="s">
        <v>830</v>
      </c>
      <c r="B61" s="24"/>
      <c r="C61" s="26"/>
      <c r="D61" s="26"/>
      <c r="E61" s="26"/>
      <c r="F61" s="25">
        <v>0.67</v>
      </c>
    </row>
    <row r="62" spans="1:6" ht="126.75" thickBot="1" x14ac:dyDescent="0.25">
      <c r="A62" s="26" t="s">
        <v>831</v>
      </c>
      <c r="B62" s="25">
        <v>2</v>
      </c>
      <c r="C62" s="26" t="s">
        <v>832</v>
      </c>
      <c r="D62" s="25">
        <v>3</v>
      </c>
      <c r="E62" s="26" t="s">
        <v>833</v>
      </c>
      <c r="F62" s="25">
        <v>0.67</v>
      </c>
    </row>
    <row r="63" spans="1:6" ht="111" thickBot="1" x14ac:dyDescent="0.25">
      <c r="A63" s="26" t="s">
        <v>834</v>
      </c>
      <c r="B63" s="25">
        <v>2</v>
      </c>
      <c r="C63" s="26" t="s">
        <v>835</v>
      </c>
      <c r="D63" s="25">
        <v>3</v>
      </c>
      <c r="E63" s="26" t="s">
        <v>836</v>
      </c>
      <c r="F63" s="25">
        <v>0.67</v>
      </c>
    </row>
    <row r="64" spans="1:6" ht="111" thickBot="1" x14ac:dyDescent="0.25">
      <c r="A64" s="26" t="s">
        <v>837</v>
      </c>
      <c r="B64" s="25">
        <v>2</v>
      </c>
      <c r="C64" s="26" t="s">
        <v>838</v>
      </c>
      <c r="D64" s="25">
        <v>3</v>
      </c>
      <c r="E64" s="26" t="s">
        <v>839</v>
      </c>
      <c r="F64" s="25">
        <v>0.67</v>
      </c>
    </row>
    <row r="65" spans="1:6" ht="111" thickBot="1" x14ac:dyDescent="0.25">
      <c r="A65" s="26" t="s">
        <v>840</v>
      </c>
      <c r="B65" s="25">
        <v>3</v>
      </c>
      <c r="C65" s="26" t="s">
        <v>841</v>
      </c>
      <c r="D65" s="25">
        <v>3</v>
      </c>
      <c r="E65" s="26" t="s">
        <v>842</v>
      </c>
      <c r="F65" s="25">
        <v>0</v>
      </c>
    </row>
    <row r="66" spans="1:6" ht="16.5" thickBot="1" x14ac:dyDescent="0.25">
      <c r="A66" s="26" t="s">
        <v>843</v>
      </c>
      <c r="B66" s="24"/>
      <c r="C66" s="26"/>
      <c r="D66" s="26"/>
      <c r="E66" s="26"/>
      <c r="F66" s="25">
        <v>0.5</v>
      </c>
    </row>
    <row r="67" spans="1:6" ht="95.25" thickBot="1" x14ac:dyDescent="0.25">
      <c r="A67" s="26" t="s">
        <v>844</v>
      </c>
      <c r="B67" s="25">
        <v>2</v>
      </c>
      <c r="C67" s="26" t="s">
        <v>845</v>
      </c>
      <c r="D67" s="25">
        <v>4</v>
      </c>
      <c r="E67" s="26" t="s">
        <v>846</v>
      </c>
      <c r="F67" s="25">
        <v>1.33</v>
      </c>
    </row>
    <row r="68" spans="1:6" ht="79.5" thickBot="1" x14ac:dyDescent="0.25">
      <c r="A68" s="26" t="s">
        <v>847</v>
      </c>
      <c r="B68" s="25">
        <v>1</v>
      </c>
      <c r="C68" s="26" t="s">
        <v>848</v>
      </c>
      <c r="D68" s="25">
        <v>3</v>
      </c>
      <c r="E68" s="26" t="s">
        <v>849</v>
      </c>
      <c r="F68" s="25">
        <v>1</v>
      </c>
    </row>
    <row r="69" spans="1:6" ht="95.25" thickBot="1" x14ac:dyDescent="0.25">
      <c r="A69" s="26" t="s">
        <v>850</v>
      </c>
      <c r="B69" s="25">
        <v>3</v>
      </c>
      <c r="C69" s="26" t="s">
        <v>851</v>
      </c>
      <c r="D69" s="25">
        <v>4</v>
      </c>
      <c r="E69" s="26" t="s">
        <v>852</v>
      </c>
      <c r="F69" s="25">
        <v>1</v>
      </c>
    </row>
    <row r="70" spans="1:6" ht="111" thickBot="1" x14ac:dyDescent="0.25">
      <c r="A70" s="26" t="s">
        <v>853</v>
      </c>
      <c r="B70" s="25">
        <v>2</v>
      </c>
      <c r="C70" s="26" t="s">
        <v>854</v>
      </c>
      <c r="D70" s="25">
        <v>3</v>
      </c>
      <c r="E70" s="26" t="s">
        <v>855</v>
      </c>
      <c r="F70" s="25">
        <v>0.67</v>
      </c>
    </row>
    <row r="71" spans="1:6" ht="16.5" thickBot="1" x14ac:dyDescent="0.25">
      <c r="A71" s="24" t="s">
        <v>856</v>
      </c>
      <c r="B71" s="24"/>
      <c r="C71" s="26"/>
      <c r="D71" s="26"/>
      <c r="E71" s="26"/>
      <c r="F71" s="25">
        <v>1</v>
      </c>
    </row>
    <row r="72" spans="1:6" ht="111" thickBot="1" x14ac:dyDescent="0.25">
      <c r="A72" s="26" t="s">
        <v>857</v>
      </c>
      <c r="B72" s="25">
        <v>2</v>
      </c>
      <c r="C72" s="26" t="s">
        <v>858</v>
      </c>
      <c r="D72" s="25">
        <v>3</v>
      </c>
      <c r="E72" s="26" t="s">
        <v>859</v>
      </c>
      <c r="F72" s="25">
        <v>0.67</v>
      </c>
    </row>
    <row r="73" spans="1:6" ht="126.75" thickBot="1" x14ac:dyDescent="0.25">
      <c r="A73" s="26" t="s">
        <v>860</v>
      </c>
      <c r="B73" s="25">
        <v>1</v>
      </c>
      <c r="C73" s="26" t="s">
        <v>861</v>
      </c>
      <c r="D73" s="25">
        <v>2</v>
      </c>
      <c r="E73" s="26" t="s">
        <v>862</v>
      </c>
      <c r="F73" s="25">
        <v>0.5</v>
      </c>
    </row>
    <row r="74" spans="1:6" ht="111" thickBot="1" x14ac:dyDescent="0.25">
      <c r="A74" s="26" t="s">
        <v>863</v>
      </c>
      <c r="B74" s="25">
        <v>3</v>
      </c>
      <c r="C74" s="26" t="s">
        <v>864</v>
      </c>
      <c r="D74" s="25">
        <v>4</v>
      </c>
      <c r="E74" s="26" t="s">
        <v>865</v>
      </c>
      <c r="F74" s="25">
        <v>1</v>
      </c>
    </row>
    <row r="75" spans="1:6" ht="126.75" thickBot="1" x14ac:dyDescent="0.25">
      <c r="A75" s="26" t="s">
        <v>866</v>
      </c>
      <c r="B75" s="25">
        <v>2</v>
      </c>
      <c r="C75" s="26" t="s">
        <v>867</v>
      </c>
      <c r="D75" s="25">
        <v>3</v>
      </c>
      <c r="E75" s="26" t="s">
        <v>868</v>
      </c>
      <c r="F75" s="25">
        <v>0.67</v>
      </c>
    </row>
    <row r="76" spans="1:6" ht="32.25" thickBot="1" x14ac:dyDescent="0.25">
      <c r="A76" s="24" t="s">
        <v>869</v>
      </c>
      <c r="B76" s="24"/>
      <c r="C76" s="26"/>
      <c r="D76" s="26"/>
      <c r="E76" s="26"/>
      <c r="F76" s="25">
        <v>0.71</v>
      </c>
    </row>
    <row r="77" spans="1:6" ht="111" thickBot="1" x14ac:dyDescent="0.25">
      <c r="A77" s="26" t="s">
        <v>870</v>
      </c>
      <c r="B77" s="25">
        <v>3</v>
      </c>
      <c r="C77" s="26" t="s">
        <v>871</v>
      </c>
      <c r="D77" s="25">
        <v>4</v>
      </c>
      <c r="E77" s="26" t="s">
        <v>872</v>
      </c>
      <c r="F77" s="25">
        <v>1</v>
      </c>
    </row>
    <row r="78" spans="1:6" ht="126.75" thickBot="1" x14ac:dyDescent="0.25">
      <c r="A78" s="26" t="s">
        <v>873</v>
      </c>
      <c r="B78" s="25">
        <v>2</v>
      </c>
      <c r="C78" s="26" t="s">
        <v>874</v>
      </c>
      <c r="D78" s="25">
        <v>3</v>
      </c>
      <c r="E78" s="26" t="s">
        <v>875</v>
      </c>
      <c r="F78" s="25">
        <v>0.67</v>
      </c>
    </row>
    <row r="79" spans="1:6" ht="111" thickBot="1" x14ac:dyDescent="0.25">
      <c r="A79" s="26" t="s">
        <v>876</v>
      </c>
      <c r="B79" s="25">
        <v>2</v>
      </c>
      <c r="C79" s="26" t="s">
        <v>877</v>
      </c>
      <c r="D79" s="25">
        <v>3</v>
      </c>
      <c r="E79" s="26" t="s">
        <v>878</v>
      </c>
      <c r="F79" s="25">
        <v>0.67</v>
      </c>
    </row>
    <row r="80" spans="1:6" ht="111" thickBot="1" x14ac:dyDescent="0.25">
      <c r="A80" s="26" t="s">
        <v>879</v>
      </c>
      <c r="B80" s="25">
        <v>3</v>
      </c>
      <c r="C80" s="26" t="s">
        <v>880</v>
      </c>
      <c r="D80" s="25">
        <v>4</v>
      </c>
      <c r="E80" s="26" t="s">
        <v>881</v>
      </c>
      <c r="F80" s="25">
        <v>1</v>
      </c>
    </row>
    <row r="81" spans="1:6" ht="32.25" thickBot="1" x14ac:dyDescent="0.25">
      <c r="A81" s="24" t="s">
        <v>882</v>
      </c>
      <c r="B81" s="24"/>
      <c r="C81" s="26"/>
      <c r="D81" s="26"/>
      <c r="E81" s="26"/>
      <c r="F81" s="25">
        <v>0.83</v>
      </c>
    </row>
    <row r="82" spans="1:6" ht="95.25" thickBot="1" x14ac:dyDescent="0.25">
      <c r="A82" s="26" t="s">
        <v>883</v>
      </c>
      <c r="B82" s="25">
        <v>3</v>
      </c>
      <c r="C82" s="26" t="s">
        <v>884</v>
      </c>
      <c r="D82" s="25">
        <v>4</v>
      </c>
      <c r="E82" s="26" t="s">
        <v>885</v>
      </c>
      <c r="F82" s="25">
        <v>1</v>
      </c>
    </row>
    <row r="83" spans="1:6" ht="111" thickBot="1" x14ac:dyDescent="0.25">
      <c r="A83" s="26" t="s">
        <v>886</v>
      </c>
      <c r="B83" s="25">
        <v>3</v>
      </c>
      <c r="C83" s="26" t="s">
        <v>887</v>
      </c>
      <c r="D83" s="25">
        <v>4</v>
      </c>
      <c r="E83" s="26" t="s">
        <v>888</v>
      </c>
      <c r="F83" s="25">
        <v>1</v>
      </c>
    </row>
    <row r="84" spans="1:6" ht="126.75" thickBot="1" x14ac:dyDescent="0.25">
      <c r="A84" s="26" t="s">
        <v>889</v>
      </c>
      <c r="B84" s="25">
        <v>3</v>
      </c>
      <c r="C84" s="26" t="s">
        <v>890</v>
      </c>
      <c r="D84" s="25">
        <v>4</v>
      </c>
      <c r="E84" s="26" t="s">
        <v>891</v>
      </c>
      <c r="F84" s="25">
        <v>1</v>
      </c>
    </row>
    <row r="85" spans="1:6" ht="126.75" thickBot="1" x14ac:dyDescent="0.25">
      <c r="A85" s="26" t="s">
        <v>892</v>
      </c>
      <c r="B85" s="25">
        <v>3</v>
      </c>
      <c r="C85" s="26" t="s">
        <v>893</v>
      </c>
      <c r="D85" s="25">
        <v>4</v>
      </c>
      <c r="E85" s="26" t="s">
        <v>894</v>
      </c>
      <c r="F85" s="25">
        <v>1</v>
      </c>
    </row>
    <row r="86" spans="1:6" ht="16.5" thickBot="1" x14ac:dyDescent="0.25">
      <c r="A86" s="26"/>
      <c r="B86" s="24"/>
      <c r="C86" s="26"/>
      <c r="D86" s="26"/>
      <c r="E86" s="26"/>
      <c r="F86" s="25">
        <v>1</v>
      </c>
    </row>
    <row r="87" spans="1:6" x14ac:dyDescent="0.25">
      <c r="A87" s="29"/>
    </row>
    <row r="88" spans="1:6" x14ac:dyDescent="0.25">
      <c r="A88" s="29"/>
    </row>
    <row r="89" spans="1:6" x14ac:dyDescent="0.25">
      <c r="A89" s="29"/>
    </row>
    <row r="90" spans="1:6" x14ac:dyDescent="0.25">
      <c r="A90" s="29"/>
      <c r="F90" s="27"/>
    </row>
    <row r="91" spans="1:6" x14ac:dyDescent="0.25">
      <c r="A91" s="30"/>
    </row>
    <row r="92" spans="1:6" x14ac:dyDescent="0.25">
      <c r="A92" s="29"/>
    </row>
    <row r="93" spans="1:6" x14ac:dyDescent="0.25">
      <c r="A93" s="29"/>
    </row>
    <row r="94" spans="1:6" x14ac:dyDescent="0.25">
      <c r="A94" s="29"/>
    </row>
    <row r="95" spans="1:6" x14ac:dyDescent="0.25">
      <c r="A95" s="29"/>
    </row>
    <row r="96" spans="1:6" x14ac:dyDescent="0.25">
      <c r="A96" s="29"/>
      <c r="F96" s="27"/>
    </row>
    <row r="97" spans="1:6" x14ac:dyDescent="0.25">
      <c r="A97" s="30"/>
    </row>
    <row r="98" spans="1:6" x14ac:dyDescent="0.25">
      <c r="A98" s="29"/>
    </row>
    <row r="99" spans="1:6" x14ac:dyDescent="0.25">
      <c r="A99" s="29"/>
    </row>
    <row r="100" spans="1:6" x14ac:dyDescent="0.25">
      <c r="A100" s="29"/>
    </row>
    <row r="101" spans="1:6" x14ac:dyDescent="0.25">
      <c r="A101" s="29"/>
    </row>
    <row r="102" spans="1:6" x14ac:dyDescent="0.25">
      <c r="F102" s="27"/>
    </row>
  </sheetData>
  <phoneticPr fontId="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
  <dimension ref="A1:R8"/>
  <sheetViews>
    <sheetView workbookViewId="0">
      <selection sqref="A1:R1048576"/>
    </sheetView>
  </sheetViews>
  <sheetFormatPr defaultRowHeight="12.75" x14ac:dyDescent="0.2"/>
  <cols>
    <col min="1" max="1" width="12.28515625" customWidth="1"/>
    <col min="2" max="18" width="9.140625" style="22"/>
  </cols>
  <sheetData>
    <row r="1" spans="1:18" x14ac:dyDescent="0.2">
      <c r="A1" t="s">
        <v>243</v>
      </c>
      <c r="B1" s="22" t="s">
        <v>445</v>
      </c>
      <c r="C1" s="22" t="s">
        <v>446</v>
      </c>
      <c r="D1" s="22" t="s">
        <v>447</v>
      </c>
      <c r="E1" s="22" t="s">
        <v>448</v>
      </c>
      <c r="F1" s="22" t="s">
        <v>449</v>
      </c>
      <c r="G1" s="22" t="s">
        <v>450</v>
      </c>
      <c r="H1" s="22" t="s">
        <v>451</v>
      </c>
      <c r="I1" s="22" t="s">
        <v>452</v>
      </c>
      <c r="J1" s="22" t="s">
        <v>453</v>
      </c>
      <c r="K1" s="22" t="s">
        <v>454</v>
      </c>
      <c r="L1" s="22" t="s">
        <v>455</v>
      </c>
      <c r="M1" s="22" t="s">
        <v>456</v>
      </c>
      <c r="N1" s="22" t="s">
        <v>457</v>
      </c>
      <c r="O1" s="22" t="s">
        <v>458</v>
      </c>
      <c r="P1" s="22" t="s">
        <v>459</v>
      </c>
      <c r="Q1" s="22" t="s">
        <v>460</v>
      </c>
      <c r="R1" s="22" t="s">
        <v>461</v>
      </c>
    </row>
    <row r="2" spans="1:18" x14ac:dyDescent="0.2">
      <c r="A2">
        <v>2017</v>
      </c>
      <c r="B2" s="22">
        <v>93.385078430175781</v>
      </c>
      <c r="C2" s="22">
        <v>36.852024078369141</v>
      </c>
      <c r="D2" s="22">
        <v>55.213714599609375</v>
      </c>
      <c r="E2" s="22">
        <v>65.300369262695313</v>
      </c>
      <c r="F2" s="22">
        <v>33.300739288330078</v>
      </c>
      <c r="G2" s="22">
        <v>73.716346740722656</v>
      </c>
      <c r="H2" s="22">
        <v>53.973793029785156</v>
      </c>
      <c r="I2" s="22">
        <v>68.254425048828125</v>
      </c>
      <c r="J2" s="22">
        <v>33.077934265136719</v>
      </c>
      <c r="K2" s="22">
        <v>72.533958435058594</v>
      </c>
      <c r="L2" s="22">
        <v>34.302524566650391</v>
      </c>
      <c r="M2" s="22">
        <v>81.556205749511719</v>
      </c>
      <c r="N2" s="22">
        <v>74.665122985839844</v>
      </c>
      <c r="O2" s="22">
        <v>42.901557922363281</v>
      </c>
      <c r="P2" s="22">
        <v>46.971038818359375</v>
      </c>
      <c r="Q2" s="22">
        <v>69.426445007324219</v>
      </c>
      <c r="R2" s="22">
        <v>51.738662719726563</v>
      </c>
    </row>
    <row r="3" spans="1:18" x14ac:dyDescent="0.2">
      <c r="A3">
        <v>2018</v>
      </c>
      <c r="B3" s="22">
        <v>96.310296211576627</v>
      </c>
      <c r="C3" s="22">
        <v>39.561089214845182</v>
      </c>
      <c r="D3" s="22">
        <v>58.851014263127233</v>
      </c>
      <c r="E3" s="22">
        <v>64.757870957102995</v>
      </c>
      <c r="F3" s="22">
        <v>36.394326942063515</v>
      </c>
      <c r="G3" s="22">
        <v>70.191410488293883</v>
      </c>
      <c r="H3" s="22">
        <v>53.971200086429228</v>
      </c>
      <c r="I3" s="22">
        <v>61.098366959344609</v>
      </c>
      <c r="J3" s="22">
        <v>33.097888529669781</v>
      </c>
      <c r="K3" s="22">
        <v>49.071628328644785</v>
      </c>
      <c r="L3" s="22">
        <v>56.117629652586288</v>
      </c>
      <c r="M3" s="22">
        <v>81.55620199498432</v>
      </c>
      <c r="N3" s="22">
        <v>80.647465248238092</v>
      </c>
      <c r="O3" s="22">
        <v>53.000563261084665</v>
      </c>
      <c r="P3" s="22">
        <v>46.066175293305136</v>
      </c>
      <c r="Q3" s="22">
        <v>71.893971411724451</v>
      </c>
      <c r="R3" s="22">
        <v>51.266810797935847</v>
      </c>
    </row>
    <row r="4" spans="1:18" x14ac:dyDescent="0.2">
      <c r="A4">
        <v>2019</v>
      </c>
      <c r="B4" s="22">
        <v>71.406456444408789</v>
      </c>
      <c r="C4" s="22">
        <v>42.567653143490233</v>
      </c>
      <c r="D4" s="22">
        <v>58.758006013518653</v>
      </c>
      <c r="E4" s="22">
        <v>80.242410615475947</v>
      </c>
      <c r="F4" s="22">
        <v>33.187863457581493</v>
      </c>
      <c r="G4" s="22">
        <v>56.582692499487734</v>
      </c>
      <c r="H4" s="22">
        <v>65.380015427828894</v>
      </c>
      <c r="I4" s="22">
        <v>83.243629360059714</v>
      </c>
      <c r="J4" s="22">
        <v>28.668793907447711</v>
      </c>
      <c r="K4" s="22">
        <v>48.957837803263061</v>
      </c>
      <c r="L4" s="22">
        <v>51.123524465723214</v>
      </c>
      <c r="M4" s="22">
        <v>94.460732959371455</v>
      </c>
      <c r="N4" s="22">
        <v>94.472972649647289</v>
      </c>
      <c r="O4" s="22">
        <v>51.240340188816376</v>
      </c>
      <c r="P4" s="22">
        <v>51.060938517470518</v>
      </c>
      <c r="Q4" s="22">
        <v>61.255014611243027</v>
      </c>
      <c r="R4" s="22">
        <v>65.698219633333338</v>
      </c>
    </row>
    <row r="5" spans="1:18" x14ac:dyDescent="0.2">
      <c r="A5">
        <v>2020</v>
      </c>
      <c r="B5" s="22">
        <v>74.522999999999996</v>
      </c>
      <c r="C5" s="22">
        <v>44.254857142857148</v>
      </c>
      <c r="D5" s="22">
        <v>55.851076923076917</v>
      </c>
      <c r="E5" s="22">
        <v>83.24466666666666</v>
      </c>
      <c r="F5" s="22">
        <v>31.111000000000001</v>
      </c>
      <c r="G5" s="22">
        <v>56.130600000000001</v>
      </c>
      <c r="H5" s="22">
        <v>68.74733333333333</v>
      </c>
      <c r="I5" s="22">
        <v>82.23960000000001</v>
      </c>
      <c r="J5" s="22">
        <v>40.631999999999998</v>
      </c>
      <c r="K5" s="22">
        <v>55.71</v>
      </c>
      <c r="L5" s="22">
        <v>49.493333333333339</v>
      </c>
      <c r="M5" s="22">
        <v>92.362166666666667</v>
      </c>
      <c r="N5" s="22">
        <v>96.779333333333341</v>
      </c>
      <c r="O5" s="22">
        <v>63.037200000000006</v>
      </c>
      <c r="P5" s="22">
        <v>50.356200000000001</v>
      </c>
      <c r="Q5" s="22">
        <v>61.136444444444436</v>
      </c>
      <c r="R5" s="22">
        <v>46.98</v>
      </c>
    </row>
    <row r="6" spans="1:18" x14ac:dyDescent="0.2">
      <c r="A6">
        <v>2021</v>
      </c>
      <c r="B6" s="22">
        <v>59.576500000000003</v>
      </c>
      <c r="C6" s="22">
        <v>52.439124999999997</v>
      </c>
      <c r="D6" s="22">
        <v>57.9704615384615</v>
      </c>
      <c r="E6" s="22">
        <v>86.477333333333306</v>
      </c>
      <c r="F6" s="22">
        <v>34.082250000000002</v>
      </c>
      <c r="G6" s="22">
        <v>56.130600000000001</v>
      </c>
      <c r="H6" s="22">
        <v>69.938666666666705</v>
      </c>
      <c r="I6" s="22">
        <v>71.092666666666702</v>
      </c>
      <c r="J6" s="22">
        <v>42.186500000000002</v>
      </c>
      <c r="K6" s="22">
        <v>27.855</v>
      </c>
      <c r="L6" s="22">
        <v>53.178249999999998</v>
      </c>
      <c r="M6" s="22">
        <v>91.7261666666667</v>
      </c>
      <c r="N6" s="22">
        <v>96.069333333333304</v>
      </c>
      <c r="O6" s="22">
        <v>62.231833333333299</v>
      </c>
      <c r="P6" s="22">
        <v>50.700600000000001</v>
      </c>
      <c r="Q6" s="22">
        <v>58.881700000000002</v>
      </c>
      <c r="R6" s="22">
        <v>50.738</v>
      </c>
    </row>
    <row r="7" spans="1:18" x14ac:dyDescent="0.2">
      <c r="A7">
        <v>2022</v>
      </c>
      <c r="B7" s="22">
        <v>61.27</v>
      </c>
      <c r="C7" s="22">
        <v>52.044125000000001</v>
      </c>
      <c r="D7" s="22">
        <v>62.275142857142903</v>
      </c>
      <c r="E7" s="22">
        <v>82.913499999999999</v>
      </c>
      <c r="F7" s="22">
        <v>33.89425</v>
      </c>
      <c r="G7" s="22">
        <v>58.575000000000003</v>
      </c>
      <c r="H7" s="22">
        <v>68.736249999999998</v>
      </c>
      <c r="I7" s="22">
        <v>70.146500000000003</v>
      </c>
      <c r="J7" s="22">
        <v>44.665500000000002</v>
      </c>
      <c r="K7" s="22">
        <v>38.450499999999998</v>
      </c>
      <c r="L7" s="22">
        <v>50.341250000000002</v>
      </c>
      <c r="M7" s="22">
        <v>96.200571428571394</v>
      </c>
      <c r="N7" s="22">
        <v>96.217333333333301</v>
      </c>
      <c r="O7" s="22">
        <v>54.5073333333333</v>
      </c>
      <c r="P7" s="22">
        <v>50.628799999999998</v>
      </c>
      <c r="Q7" s="22">
        <v>54.347000000000001</v>
      </c>
      <c r="R7" s="22">
        <v>50.184750000000001</v>
      </c>
    </row>
    <row r="8" spans="1:18" x14ac:dyDescent="0.2">
      <c r="A8">
        <v>2023</v>
      </c>
      <c r="B8" s="22">
        <v>86.233500000000006</v>
      </c>
      <c r="C8" s="22">
        <v>54.391750000000002</v>
      </c>
      <c r="D8" s="22">
        <v>64.791642857142904</v>
      </c>
      <c r="E8" s="22">
        <v>89.292249999999996</v>
      </c>
      <c r="F8" s="22">
        <v>46.253999999999998</v>
      </c>
      <c r="G8" s="22">
        <v>58.125399999999999</v>
      </c>
      <c r="H8" s="22">
        <v>66.208500000000001</v>
      </c>
      <c r="I8" s="22">
        <v>73.707999999999998</v>
      </c>
      <c r="J8" s="22">
        <v>50.960571428571399</v>
      </c>
      <c r="K8" s="22">
        <v>38.450499999999998</v>
      </c>
      <c r="L8" s="22">
        <v>50.046250000000001</v>
      </c>
      <c r="M8" s="22">
        <v>94.778857142857206</v>
      </c>
      <c r="N8" s="22">
        <v>94.281000000000006</v>
      </c>
      <c r="O8" s="22">
        <v>62.343166666666697</v>
      </c>
      <c r="P8" s="22">
        <v>45.613399999999999</v>
      </c>
      <c r="Q8" s="22">
        <v>48.511600000000001</v>
      </c>
      <c r="R8" s="22">
        <v>54.646250000000002</v>
      </c>
    </row>
  </sheetData>
  <sheetProtection selectLockedCells="1" selectUnlockedCells="1"/>
  <sortState xmlns:xlrd2="http://schemas.microsoft.com/office/spreadsheetml/2017/richdata2" ref="A2:R8">
    <sortCondition ref="A2"/>
  </sortState>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Charts</vt:lpstr>
      </vt:variant>
      <vt:variant>
        <vt:i4>1</vt:i4>
      </vt:variant>
    </vt:vector>
  </HeadingPairs>
  <TitlesOfParts>
    <vt:vector size="33" baseType="lpstr">
      <vt:lpstr>2023 Data</vt:lpstr>
      <vt:lpstr>2022 Data</vt:lpstr>
      <vt:lpstr>2021 Data</vt:lpstr>
      <vt:lpstr>2020 Data</vt:lpstr>
      <vt:lpstr>2019 Data</vt:lpstr>
      <vt:lpstr>2018 Data</vt:lpstr>
      <vt:lpstr>2017 Data</vt:lpstr>
      <vt:lpstr>SDG1</vt:lpstr>
      <vt:lpstr>SDG2</vt:lpstr>
      <vt:lpstr>SDG3</vt:lpstr>
      <vt:lpstr>SDG4</vt:lpstr>
      <vt:lpstr>SDG5</vt:lpstr>
      <vt:lpstr>SDG6</vt:lpstr>
      <vt:lpstr>SDG7</vt:lpstr>
      <vt:lpstr>SDG8</vt:lpstr>
      <vt:lpstr>SDG9</vt:lpstr>
      <vt:lpstr>SDG10</vt:lpstr>
      <vt:lpstr>SDG11</vt:lpstr>
      <vt:lpstr>SDG12</vt:lpstr>
      <vt:lpstr>SDG13</vt:lpstr>
      <vt:lpstr>SDG14</vt:lpstr>
      <vt:lpstr>SDG15</vt:lpstr>
      <vt:lpstr>SDG16</vt:lpstr>
      <vt:lpstr>SDG17</vt:lpstr>
      <vt:lpstr>Model Structure</vt:lpstr>
      <vt:lpstr>Minimums</vt:lpstr>
      <vt:lpstr>Scenarios</vt:lpstr>
      <vt:lpstr>SDGs 1-9</vt:lpstr>
      <vt:lpstr>SDGs 10-17</vt:lpstr>
      <vt:lpstr>Model</vt:lpstr>
      <vt:lpstr>Policies</vt:lpstr>
      <vt:lpstr>Time Series</vt:lpstr>
      <vt:lpstr>Chart1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dc:creator>
  <cp:lastModifiedBy>Ivan Taylor</cp:lastModifiedBy>
  <dcterms:created xsi:type="dcterms:W3CDTF">2023-08-13T00:51:46Z</dcterms:created>
  <dcterms:modified xsi:type="dcterms:W3CDTF">2024-04-27T23:31:13Z</dcterms:modified>
</cp:coreProperties>
</file>